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f329daad981773/Desktop/Data analyst project/Project 5 VLs environmetals/"/>
    </mc:Choice>
  </mc:AlternateContent>
  <xr:revisionPtr revIDLastSave="860" documentId="8_{BDB4BDDB-BF6C-4782-B4B9-202CABD816D5}" xr6:coauthVersionLast="47" xr6:coauthVersionMax="47" xr10:uidLastSave="{58F49959-A78D-4368-8D01-691DB24AB4AB}"/>
  <bookViews>
    <workbookView xWindow="-110" yWindow="-110" windowWidth="19420" windowHeight="11500" firstSheet="3" activeTab="6" xr2:uid="{3B83B554-BE83-449D-9955-AD0268DCA31F}"/>
  </bookViews>
  <sheets>
    <sheet name="Vendor_Master" sheetId="1" r:id="rId1"/>
    <sheet name="Sustainability_Documents" sheetId="2" r:id="rId2"/>
    <sheet name="Incident_Log" sheetId="3" r:id="rId3"/>
    <sheet name="OutReach_Log" sheetId="5" r:id="rId4"/>
    <sheet name="Compliance_Sheet" sheetId="6" r:id="rId5"/>
    <sheet name="Executive_Summary" sheetId="7" r:id="rId6"/>
    <sheet name="Pivot_Charts" sheetId="8" r:id="rId7"/>
  </sheets>
  <definedNames>
    <definedName name="_xlnm._FilterDatabase" localSheetId="4" hidden="1">Compliance_Sheet!$A$1:$R$401</definedName>
    <definedName name="_xlnm._FilterDatabase" localSheetId="2" hidden="1">Incident_Log!$A$1:$F$181</definedName>
    <definedName name="_xlnm._FilterDatabase" localSheetId="3" hidden="1">OutReach_Log!$A$1:$H$705</definedName>
    <definedName name="_xlnm._FilterDatabase" localSheetId="1" hidden="1">Sustainability_Documents!$A$1:$J$1601</definedName>
  </definedNames>
  <calcPr calcId="191029"/>
  <pivotCaches>
    <pivotCache cacheId="9" r:id="rId8"/>
    <pivotCache cacheId="14" r:id="rId9"/>
    <pivotCache cacheId="1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5" i="6" l="1"/>
  <c r="N396" i="6"/>
  <c r="M251" i="6"/>
  <c r="M252" i="6"/>
  <c r="M253" i="6"/>
  <c r="M351" i="6"/>
  <c r="L161" i="6"/>
  <c r="L177" i="6"/>
  <c r="L178" i="6"/>
  <c r="L183" i="6"/>
  <c r="J61" i="6"/>
  <c r="J62" i="6"/>
  <c r="J63" i="6"/>
  <c r="J267" i="6"/>
  <c r="J268" i="6"/>
  <c r="J269" i="6"/>
  <c r="J270" i="6"/>
  <c r="J352" i="6"/>
  <c r="J355" i="6"/>
  <c r="F81" i="6"/>
  <c r="F83" i="6"/>
  <c r="F84" i="6"/>
  <c r="F135" i="6"/>
  <c r="F263" i="6"/>
  <c r="F274" i="6"/>
  <c r="E39" i="6"/>
  <c r="E47" i="6"/>
  <c r="E49" i="6"/>
  <c r="E101" i="6"/>
  <c r="E132" i="6"/>
  <c r="E133" i="6"/>
  <c r="E161" i="6"/>
  <c r="E162" i="6"/>
  <c r="E163" i="6"/>
  <c r="E164" i="6"/>
  <c r="E165" i="6"/>
  <c r="E222" i="6"/>
  <c r="E223" i="6"/>
  <c r="E224" i="6"/>
  <c r="E225" i="6"/>
  <c r="E226" i="6"/>
  <c r="E321" i="6"/>
  <c r="E322" i="6"/>
  <c r="E323" i="6"/>
  <c r="E389" i="6"/>
  <c r="D18" i="6"/>
  <c r="D19" i="6"/>
  <c r="D21" i="6"/>
  <c r="D47" i="6"/>
  <c r="D49" i="6"/>
  <c r="D85" i="6"/>
  <c r="D146" i="6"/>
  <c r="D147" i="6"/>
  <c r="D148" i="6"/>
  <c r="D149" i="6"/>
  <c r="D209" i="6"/>
  <c r="D210" i="6"/>
  <c r="D211" i="6"/>
  <c r="D212" i="6"/>
  <c r="D213" i="6"/>
  <c r="D238" i="6"/>
  <c r="D239" i="6"/>
  <c r="D334" i="6"/>
  <c r="D337" i="6"/>
  <c r="D338" i="6"/>
  <c r="D341" i="6"/>
  <c r="C47" i="6"/>
  <c r="C49" i="6"/>
  <c r="C51" i="6"/>
  <c r="C61" i="6"/>
  <c r="C62" i="6"/>
  <c r="C63" i="6"/>
  <c r="C83" i="6"/>
  <c r="C92" i="6"/>
  <c r="C93" i="6"/>
  <c r="C114" i="6"/>
  <c r="C115" i="6"/>
  <c r="C125" i="6"/>
  <c r="C146" i="6"/>
  <c r="C190" i="6"/>
  <c r="C191" i="6"/>
  <c r="C193" i="6"/>
  <c r="C194" i="6"/>
  <c r="C195" i="6"/>
  <c r="C222" i="6"/>
  <c r="C223" i="6"/>
  <c r="C224" i="6"/>
  <c r="C225" i="6"/>
  <c r="C226" i="6"/>
  <c r="C236" i="6"/>
  <c r="C237" i="6"/>
  <c r="C254" i="6"/>
  <c r="C255" i="6"/>
  <c r="C274" i="6"/>
  <c r="C289" i="6"/>
  <c r="C323" i="6"/>
  <c r="C332" i="6"/>
  <c r="C334" i="6"/>
  <c r="C355" i="6"/>
  <c r="C364" i="6"/>
  <c r="C366" i="6"/>
  <c r="C367" i="6"/>
  <c r="C370" i="6"/>
  <c r="B17" i="6"/>
  <c r="B18" i="6"/>
  <c r="B19" i="6"/>
  <c r="B28" i="6"/>
  <c r="B29" i="6"/>
  <c r="B30" i="6"/>
  <c r="B34" i="6"/>
  <c r="B66" i="6"/>
  <c r="B77" i="6"/>
  <c r="B78" i="6"/>
  <c r="B83" i="6"/>
  <c r="B125" i="6"/>
  <c r="B130" i="6"/>
  <c r="B131" i="6"/>
  <c r="B161" i="6"/>
  <c r="B162" i="6"/>
  <c r="B163" i="6"/>
  <c r="B176" i="6"/>
  <c r="B177" i="6"/>
  <c r="B178" i="6"/>
  <c r="B179" i="6"/>
  <c r="B240" i="6"/>
  <c r="B241" i="6"/>
  <c r="B243" i="6"/>
  <c r="B253" i="6"/>
  <c r="B254" i="6"/>
  <c r="B255" i="6"/>
  <c r="B274" i="6"/>
  <c r="B284" i="6"/>
  <c r="B285" i="6"/>
  <c r="B286" i="6"/>
  <c r="B307" i="6"/>
  <c r="B316" i="6"/>
  <c r="B317" i="6"/>
  <c r="B370" i="6"/>
  <c r="B371" i="6"/>
  <c r="B380" i="6"/>
  <c r="B381" i="6"/>
  <c r="B382" i="6"/>
  <c r="B385" i="6"/>
  <c r="B386" i="6"/>
  <c r="A3" i="6" a="1"/>
  <c r="A3" i="6" s="1"/>
  <c r="B3" i="6" s="1"/>
  <c r="A4" i="6" a="1"/>
  <c r="A4" i="6" s="1"/>
  <c r="B183" i="6" s="1"/>
  <c r="A5" i="6" a="1"/>
  <c r="A5" i="6" s="1"/>
  <c r="A6" i="6" a="1"/>
  <c r="A6" i="6" s="1"/>
  <c r="A7" i="6" a="1"/>
  <c r="A7" i="6" s="1"/>
  <c r="A8" i="6" a="1"/>
  <c r="A8" i="6" s="1"/>
  <c r="A9" i="6" a="1"/>
  <c r="A9" i="6" s="1"/>
  <c r="A10" i="6" a="1"/>
  <c r="A10" i="6" s="1"/>
  <c r="A11" i="6" a="1"/>
  <c r="A11" i="6" s="1"/>
  <c r="J11" i="6" s="1"/>
  <c r="A12" i="6" a="1"/>
  <c r="A12" i="6" s="1"/>
  <c r="A13" i="6" a="1"/>
  <c r="A13" i="6" s="1"/>
  <c r="J13" i="6" s="1"/>
  <c r="A14" i="6" a="1"/>
  <c r="A14" i="6" s="1"/>
  <c r="A15" i="6" a="1"/>
  <c r="A15" i="6" s="1"/>
  <c r="A16" i="6" a="1"/>
  <c r="A16" i="6" s="1"/>
  <c r="A17" i="6" a="1"/>
  <c r="A17" i="6" s="1"/>
  <c r="C17" i="6" s="1"/>
  <c r="A18" i="6" a="1"/>
  <c r="A18" i="6" s="1"/>
  <c r="A19" i="6" a="1"/>
  <c r="A19" i="6" s="1"/>
  <c r="A20" i="6" a="1"/>
  <c r="A20" i="6" s="1"/>
  <c r="A21" i="6" a="1"/>
  <c r="A21" i="6" s="1"/>
  <c r="A22" i="6" a="1"/>
  <c r="A22" i="6" s="1"/>
  <c r="B201" i="6" s="1"/>
  <c r="A23" i="6" a="1"/>
  <c r="A23" i="6" s="1"/>
  <c r="A24" i="6" a="1"/>
  <c r="A24" i="6" s="1"/>
  <c r="A25" i="6" a="1"/>
  <c r="A25" i="6" s="1"/>
  <c r="A26" i="6" a="1"/>
  <c r="A26" i="6" s="1"/>
  <c r="L26" i="6" s="1"/>
  <c r="A27" i="6" a="1"/>
  <c r="A27" i="6" s="1"/>
  <c r="C27" i="6" s="1"/>
  <c r="A28" i="6" a="1"/>
  <c r="A28" i="6" s="1"/>
  <c r="A29" i="6" a="1"/>
  <c r="A29" i="6" s="1"/>
  <c r="A30" i="6" a="1"/>
  <c r="A30" i="6" s="1"/>
  <c r="A31" i="6" a="1"/>
  <c r="A31" i="6" s="1"/>
  <c r="C31" i="6" s="1"/>
  <c r="A32" i="6" a="1"/>
  <c r="A32" i="6" s="1"/>
  <c r="A33" i="6" a="1"/>
  <c r="A33" i="6" s="1"/>
  <c r="D33" i="6" s="1"/>
  <c r="A34" i="6" a="1"/>
  <c r="A34" i="6" s="1"/>
  <c r="D34" i="6" s="1"/>
  <c r="A35" i="6" a="1"/>
  <c r="A35" i="6" s="1"/>
  <c r="D35" i="6" s="1"/>
  <c r="A36" i="6" a="1"/>
  <c r="A36" i="6" s="1"/>
  <c r="D36" i="6" s="1"/>
  <c r="A37" i="6" a="1"/>
  <c r="A37" i="6" s="1"/>
  <c r="D37" i="6" s="1"/>
  <c r="A38" i="6" a="1"/>
  <c r="A38" i="6" s="1"/>
  <c r="E38" i="6" s="1"/>
  <c r="A39" i="6" a="1"/>
  <c r="A39" i="6" s="1"/>
  <c r="A40" i="6" a="1"/>
  <c r="A40" i="6"/>
  <c r="C40" i="6" s="1"/>
  <c r="A41" i="6" a="1"/>
  <c r="A41" i="6" s="1"/>
  <c r="A42" i="6" a="1"/>
  <c r="A42" i="6" s="1"/>
  <c r="A43" i="6" a="1"/>
  <c r="A43" i="6" s="1"/>
  <c r="A44" i="6" a="1"/>
  <c r="A44" i="6" s="1"/>
  <c r="B44" i="6" s="1"/>
  <c r="A45" i="6" a="1"/>
  <c r="A45" i="6" s="1"/>
  <c r="A46" i="6" a="1"/>
  <c r="A46" i="6" s="1"/>
  <c r="A47" i="6" a="1"/>
  <c r="A47" i="6" s="1"/>
  <c r="M47" i="6" s="1"/>
  <c r="A48" i="6" a="1"/>
  <c r="A48" i="6" s="1"/>
  <c r="B48" i="6" s="1"/>
  <c r="A49" i="6" a="1"/>
  <c r="A49" i="6" s="1"/>
  <c r="B49" i="6" s="1"/>
  <c r="A50" i="6" a="1"/>
  <c r="A50" i="6" s="1"/>
  <c r="C50" i="6" s="1"/>
  <c r="A51" i="6" a="1"/>
  <c r="A51" i="6" s="1"/>
  <c r="D51" i="6" s="1"/>
  <c r="A52" i="6" a="1"/>
  <c r="A52" i="6" s="1"/>
  <c r="E52" i="6" s="1"/>
  <c r="A53" i="6" a="1"/>
  <c r="A53" i="6" s="1"/>
  <c r="D53" i="6" s="1"/>
  <c r="A54" i="6" a="1"/>
  <c r="A54" i="6" s="1"/>
  <c r="A55" i="6" a="1"/>
  <c r="A55" i="6" s="1"/>
  <c r="C55" i="6" s="1"/>
  <c r="A56" i="6" a="1"/>
  <c r="A56" i="6"/>
  <c r="A57" i="6" a="1"/>
  <c r="A57" i="6" s="1"/>
  <c r="A58" i="6" a="1"/>
  <c r="A58" i="6" s="1"/>
  <c r="A59" i="6" a="1"/>
  <c r="A59" i="6" s="1"/>
  <c r="A60" i="6" a="1"/>
  <c r="A60" i="6" s="1"/>
  <c r="B60" i="6" s="1"/>
  <c r="A61" i="6" a="1"/>
  <c r="A61" i="6" s="1"/>
  <c r="N61" i="6" s="1"/>
  <c r="A62" i="6" a="1"/>
  <c r="A62" i="6" s="1"/>
  <c r="B105" i="6" s="1"/>
  <c r="A63" i="6" a="1"/>
  <c r="A63" i="6" s="1"/>
  <c r="B63" i="6" s="1"/>
  <c r="A64" i="6" a="1"/>
  <c r="A64" i="6"/>
  <c r="J64" i="6" s="1"/>
  <c r="A65" i="6" a="1"/>
  <c r="A65" i="6" s="1"/>
  <c r="C65" i="6" s="1"/>
  <c r="A66" i="6" a="1"/>
  <c r="A66" i="6" s="1"/>
  <c r="C66" i="6" s="1"/>
  <c r="A67" i="6" a="1"/>
  <c r="A67" i="6" s="1"/>
  <c r="C67" i="6" s="1"/>
  <c r="A68" i="6" a="1"/>
  <c r="A68" i="6" s="1"/>
  <c r="D68" i="6" s="1"/>
  <c r="A69" i="6" a="1"/>
  <c r="A69" i="6" s="1"/>
  <c r="A70" i="6" a="1"/>
  <c r="A70" i="6" s="1"/>
  <c r="A71" i="6" a="1"/>
  <c r="A71" i="6" s="1"/>
  <c r="A72" i="6" a="1"/>
  <c r="A72" i="6"/>
  <c r="A73" i="6" a="1"/>
  <c r="A73" i="6" s="1"/>
  <c r="A74" i="6" a="1"/>
  <c r="A74" i="6" s="1"/>
  <c r="A75" i="6" a="1"/>
  <c r="A75" i="6" s="1"/>
  <c r="C75" i="6" s="1"/>
  <c r="A76" i="6" a="1"/>
  <c r="A76" i="6" s="1"/>
  <c r="L76" i="6" s="1"/>
  <c r="A77" i="6" a="1"/>
  <c r="A77" i="6" s="1"/>
  <c r="L77" i="6" s="1"/>
  <c r="A78" i="6" a="1"/>
  <c r="A78" i="6" s="1"/>
  <c r="N78" i="6" s="1"/>
  <c r="A79" i="6" a="1"/>
  <c r="A79" i="6" s="1"/>
  <c r="N79" i="6" s="1"/>
  <c r="A80" i="6" a="1"/>
  <c r="A80" i="6" s="1"/>
  <c r="A81" i="6" a="1"/>
  <c r="A81" i="6" s="1"/>
  <c r="D81" i="6" s="1"/>
  <c r="A82" i="6" a="1"/>
  <c r="A82" i="6" s="1"/>
  <c r="E82" i="6" s="1"/>
  <c r="A83" i="6" a="1"/>
  <c r="A83" i="6" s="1"/>
  <c r="D83" i="6" s="1"/>
  <c r="A84" i="6" a="1"/>
  <c r="A84" i="6" s="1"/>
  <c r="D84" i="6" s="1"/>
  <c r="A85" i="6" a="1"/>
  <c r="A85" i="6" s="1"/>
  <c r="F85" i="6" s="1"/>
  <c r="A86" i="6" a="1"/>
  <c r="A86" i="6" s="1"/>
  <c r="F86" i="6" s="1"/>
  <c r="A87" i="6" a="1"/>
  <c r="A87" i="6" s="1"/>
  <c r="A88" i="6" a="1"/>
  <c r="A88" i="6" s="1"/>
  <c r="A89" i="6" a="1"/>
  <c r="A89" i="6" s="1"/>
  <c r="C89" i="6" s="1"/>
  <c r="A90" i="6" a="1"/>
  <c r="A90" i="6" s="1"/>
  <c r="C90" i="6" s="1"/>
  <c r="A91" i="6" a="1"/>
  <c r="A91" i="6" s="1"/>
  <c r="C91" i="6" s="1"/>
  <c r="A92" i="6" a="1"/>
  <c r="A92" i="6" s="1"/>
  <c r="A93" i="6" a="1"/>
  <c r="A93" i="6" s="1"/>
  <c r="A94" i="6" a="1"/>
  <c r="A94" i="6" s="1"/>
  <c r="E94" i="6" s="1"/>
  <c r="A95" i="6" a="1"/>
  <c r="A95" i="6" s="1"/>
  <c r="E95" i="6" s="1"/>
  <c r="A96" i="6" a="1"/>
  <c r="A96" i="6"/>
  <c r="E96" i="6" s="1"/>
  <c r="A97" i="6" a="1"/>
  <c r="A97" i="6" s="1"/>
  <c r="D97" i="6" s="1"/>
  <c r="A98" i="6" a="1"/>
  <c r="A98" i="6" s="1"/>
  <c r="B98" i="6" s="1"/>
  <c r="A99" i="6" a="1"/>
  <c r="A99" i="6" s="1"/>
  <c r="B99" i="6" s="1"/>
  <c r="A100" i="6" a="1"/>
  <c r="A100" i="6" s="1"/>
  <c r="E100" i="6" s="1"/>
  <c r="A101" i="6" a="1"/>
  <c r="A101" i="6" s="1"/>
  <c r="A102" i="6" a="1"/>
  <c r="A102" i="6" s="1"/>
  <c r="A103" i="6" a="1"/>
  <c r="A103" i="6" s="1"/>
  <c r="A104" i="6" a="1"/>
  <c r="A104" i="6" s="1"/>
  <c r="A105" i="6" a="1"/>
  <c r="A105" i="6" s="1"/>
  <c r="C105" i="6" s="1"/>
  <c r="A106" i="6" a="1"/>
  <c r="A106" i="6" s="1"/>
  <c r="C106" i="6" s="1"/>
  <c r="A107" i="6" a="1"/>
  <c r="A107" i="6" s="1"/>
  <c r="C107" i="6" s="1"/>
  <c r="A108" i="6" a="1"/>
  <c r="A108" i="6" s="1"/>
  <c r="C108" i="6" s="1"/>
  <c r="A109" i="6" a="1"/>
  <c r="A109" i="6" s="1"/>
  <c r="M109" i="6" s="1"/>
  <c r="A110" i="6" a="1"/>
  <c r="A110" i="6" s="1"/>
  <c r="M110" i="6" s="1"/>
  <c r="A111" i="6" a="1"/>
  <c r="A111" i="6" s="1"/>
  <c r="F111" i="6" s="1"/>
  <c r="A112" i="6" a="1"/>
  <c r="A112" i="6" s="1"/>
  <c r="A113" i="6" a="1"/>
  <c r="A113" i="6" s="1"/>
  <c r="L113" i="6" s="1"/>
  <c r="A114" i="6" a="1"/>
  <c r="A114" i="6" s="1"/>
  <c r="B114" i="6" s="1"/>
  <c r="A115" i="6" a="1"/>
  <c r="A115" i="6" s="1"/>
  <c r="D115" i="6" s="1"/>
  <c r="A116" i="6" a="1"/>
  <c r="A116" i="6" s="1"/>
  <c r="A117" i="6" a="1"/>
  <c r="A117" i="6" s="1"/>
  <c r="A118" i="6" a="1"/>
  <c r="A118" i="6" s="1"/>
  <c r="C118" i="6" s="1"/>
  <c r="A119" i="6" a="1"/>
  <c r="A119" i="6" s="1"/>
  <c r="C119" i="6" s="1"/>
  <c r="A120" i="6" a="1"/>
  <c r="A120" i="6"/>
  <c r="C120" i="6" s="1"/>
  <c r="A121" i="6" a="1"/>
  <c r="A121" i="6" s="1"/>
  <c r="C121" i="6" s="1"/>
  <c r="A122" i="6" a="1"/>
  <c r="A122" i="6" s="1"/>
  <c r="C122" i="6" s="1"/>
  <c r="A123" i="6" a="1"/>
  <c r="A123" i="6" s="1"/>
  <c r="C123" i="6" s="1"/>
  <c r="A124" i="6" a="1"/>
  <c r="A124" i="6" s="1"/>
  <c r="B124" i="6" s="1"/>
  <c r="A125" i="6" a="1"/>
  <c r="A125" i="6" s="1"/>
  <c r="A126" i="6" a="1"/>
  <c r="A126" i="6" s="1"/>
  <c r="E126" i="6" s="1"/>
  <c r="A127" i="6" a="1"/>
  <c r="A127" i="6" s="1"/>
  <c r="C127" i="6" s="1"/>
  <c r="A128" i="6" a="1"/>
  <c r="A128" i="6" s="1"/>
  <c r="B128" i="6" s="1"/>
  <c r="A129" i="6" a="1"/>
  <c r="A129" i="6" s="1"/>
  <c r="B129" i="6" s="1"/>
  <c r="A130" i="6" a="1"/>
  <c r="A130" i="6" s="1"/>
  <c r="E130" i="6" s="1"/>
  <c r="A131" i="6" a="1"/>
  <c r="A131" i="6" s="1"/>
  <c r="E131" i="6" s="1"/>
  <c r="A132" i="6" a="1"/>
  <c r="A132" i="6" s="1"/>
  <c r="A133" i="6" a="1"/>
  <c r="A133" i="6" s="1"/>
  <c r="A134" i="6" a="1"/>
  <c r="A134" i="6" s="1"/>
  <c r="A135" i="6" a="1"/>
  <c r="A135" i="6" s="1"/>
  <c r="B313" i="6" s="1"/>
  <c r="A136" i="6" a="1"/>
  <c r="A136" i="6" s="1"/>
  <c r="A137" i="6" a="1"/>
  <c r="A137" i="6" s="1"/>
  <c r="B315" i="6" s="1"/>
  <c r="A138" i="6" a="1"/>
  <c r="A138" i="6" s="1"/>
  <c r="N138" i="6" s="1"/>
  <c r="A139" i="6" a="1"/>
  <c r="A139" i="6" s="1"/>
  <c r="C139" i="6" s="1"/>
  <c r="A140" i="6" a="1"/>
  <c r="A140" i="6" s="1"/>
  <c r="C140" i="6" s="1"/>
  <c r="A141" i="6" a="1"/>
  <c r="A141" i="6" s="1"/>
  <c r="N141" i="6" s="1"/>
  <c r="A142" i="6" a="1"/>
  <c r="A142" i="6" s="1"/>
  <c r="B142" i="6" s="1"/>
  <c r="A143" i="6" a="1"/>
  <c r="A143" i="6" s="1"/>
  <c r="A144" i="6" a="1"/>
  <c r="A144" i="6"/>
  <c r="C144" i="6" s="1"/>
  <c r="A145" i="6" a="1"/>
  <c r="A145" i="6" s="1"/>
  <c r="C145" i="6" s="1"/>
  <c r="A146" i="6" a="1"/>
  <c r="A146" i="6" s="1"/>
  <c r="E146" i="6" s="1"/>
  <c r="A147" i="6" a="1"/>
  <c r="A147" i="6" s="1"/>
  <c r="E147" i="6" s="1"/>
  <c r="A148" i="6" a="1"/>
  <c r="A148" i="6" s="1"/>
  <c r="E148" i="6" s="1"/>
  <c r="A149" i="6" a="1"/>
  <c r="A149" i="6" s="1"/>
  <c r="E149" i="6" s="1"/>
  <c r="A150" i="6" a="1"/>
  <c r="A150" i="6" s="1"/>
  <c r="F150" i="6" s="1"/>
  <c r="A151" i="6" a="1"/>
  <c r="A151" i="6" s="1"/>
  <c r="A152" i="6" a="1"/>
  <c r="A152" i="6" s="1"/>
  <c r="A153" i="6" a="1"/>
  <c r="A153" i="6" s="1"/>
  <c r="C153" i="6" s="1"/>
  <c r="A154" i="6" a="1"/>
  <c r="A154" i="6" s="1"/>
  <c r="C154" i="6" s="1"/>
  <c r="A155" i="6" a="1"/>
  <c r="A155" i="6" s="1"/>
  <c r="C155" i="6" s="1"/>
  <c r="A156" i="6" a="1"/>
  <c r="A156" i="6" s="1"/>
  <c r="B156" i="6" s="1"/>
  <c r="A157" i="6" a="1"/>
  <c r="A157" i="6" s="1"/>
  <c r="B157" i="6" s="1"/>
  <c r="A158" i="6" a="1"/>
  <c r="A158" i="6" s="1"/>
  <c r="B158" i="6" s="1"/>
  <c r="A159" i="6" a="1"/>
  <c r="A159" i="6" s="1"/>
  <c r="C159" i="6" s="1"/>
  <c r="A160" i="6" a="1"/>
  <c r="A160" i="6" s="1"/>
  <c r="A161" i="6" a="1"/>
  <c r="A161" i="6" s="1"/>
  <c r="D161" i="6" s="1"/>
  <c r="A162" i="6" a="1"/>
  <c r="A162" i="6" s="1"/>
  <c r="D162" i="6" s="1"/>
  <c r="A163" i="6" a="1"/>
  <c r="A163" i="6" s="1"/>
  <c r="D163" i="6" s="1"/>
  <c r="A164" i="6" a="1"/>
  <c r="A164" i="6" s="1"/>
  <c r="D164" i="6" s="1"/>
  <c r="A165" i="6" a="1"/>
  <c r="A165" i="6" s="1"/>
  <c r="D165" i="6" s="1"/>
  <c r="A166" i="6" a="1"/>
  <c r="A166" i="6" s="1"/>
  <c r="A167" i="6" a="1"/>
  <c r="A167" i="6" s="1"/>
  <c r="J167" i="6" s="1"/>
  <c r="A168" i="6" a="1"/>
  <c r="A168" i="6"/>
  <c r="C168" i="6" s="1"/>
  <c r="A169" i="6" a="1"/>
  <c r="A169" i="6" s="1"/>
  <c r="C169" i="6" s="1"/>
  <c r="A170" i="6" a="1"/>
  <c r="A170" i="6" s="1"/>
  <c r="J170" i="6" s="1"/>
  <c r="A171" i="6" a="1"/>
  <c r="A171" i="6" s="1"/>
  <c r="A172" i="6" a="1"/>
  <c r="A172" i="6" s="1"/>
  <c r="A173" i="6" a="1"/>
  <c r="A173" i="6" s="1"/>
  <c r="B351" i="6" s="1"/>
  <c r="A174" i="6" a="1"/>
  <c r="A174" i="6" s="1"/>
  <c r="A175" i="6" a="1"/>
  <c r="A175" i="6" s="1"/>
  <c r="E175" i="6" s="1"/>
  <c r="A176" i="6" a="1"/>
  <c r="A176" i="6" s="1"/>
  <c r="A177" i="6" a="1"/>
  <c r="A177" i="6" s="1"/>
  <c r="D177" i="6" s="1"/>
  <c r="A178" i="6" a="1"/>
  <c r="A178" i="6" s="1"/>
  <c r="D178" i="6" s="1"/>
  <c r="A179" i="6" a="1"/>
  <c r="A179" i="6" s="1"/>
  <c r="D179" i="6" s="1"/>
  <c r="A180" i="6" a="1"/>
  <c r="A180" i="6" s="1"/>
  <c r="D180" i="6" s="1"/>
  <c r="A181" i="6" a="1"/>
  <c r="A181" i="6" s="1"/>
  <c r="D181" i="6" s="1"/>
  <c r="A182" i="6" a="1"/>
  <c r="A182" i="6" s="1"/>
  <c r="A183" i="6" a="1"/>
  <c r="A183" i="6" s="1"/>
  <c r="C183" i="6" s="1"/>
  <c r="A184" i="6" a="1"/>
  <c r="A184" i="6"/>
  <c r="A185" i="6" a="1"/>
  <c r="A185" i="6" s="1"/>
  <c r="A186" i="6" a="1"/>
  <c r="A186" i="6" s="1"/>
  <c r="A187" i="6" a="1"/>
  <c r="A187" i="6" s="1"/>
  <c r="A188" i="6" a="1"/>
  <c r="A188" i="6" s="1"/>
  <c r="B188" i="6" s="1"/>
  <c r="A189" i="6" a="1"/>
  <c r="A189" i="6" s="1"/>
  <c r="B189" i="6" s="1"/>
  <c r="A190" i="6" a="1"/>
  <c r="A190" i="6" s="1"/>
  <c r="M190" i="6" s="1"/>
  <c r="A191" i="6" a="1"/>
  <c r="A191" i="6" s="1"/>
  <c r="M191" i="6" s="1"/>
  <c r="A192" i="6" a="1"/>
  <c r="A192" i="6" s="1"/>
  <c r="A193" i="6" a="1"/>
  <c r="A193" i="6" s="1"/>
  <c r="M193" i="6" s="1"/>
  <c r="A194" i="6" a="1"/>
  <c r="A194" i="6" s="1"/>
  <c r="E194" i="6" s="1"/>
  <c r="A195" i="6" a="1"/>
  <c r="A195" i="6" s="1"/>
  <c r="E195" i="6" s="1"/>
  <c r="A196" i="6" a="1"/>
  <c r="A196" i="6" s="1"/>
  <c r="E196" i="6" s="1"/>
  <c r="A197" i="6" a="1"/>
  <c r="A197" i="6" s="1"/>
  <c r="E197" i="6" s="1"/>
  <c r="A198" i="6" a="1"/>
  <c r="A198" i="6" s="1"/>
  <c r="A199" i="6" a="1"/>
  <c r="A199" i="6" s="1"/>
  <c r="A200" i="6" a="1"/>
  <c r="A200" i="6"/>
  <c r="A201" i="6" a="1"/>
  <c r="A201" i="6" s="1"/>
  <c r="A202" i="6" a="1"/>
  <c r="A202" i="6" s="1"/>
  <c r="A203" i="6" a="1"/>
  <c r="A203" i="6" s="1"/>
  <c r="N203" i="6" s="1"/>
  <c r="A204" i="6" a="1"/>
  <c r="A204" i="6" s="1"/>
  <c r="C204" i="6" s="1"/>
  <c r="A205" i="6" a="1"/>
  <c r="A205" i="6" s="1"/>
  <c r="C205" i="6" s="1"/>
  <c r="A206" i="6" a="1"/>
  <c r="A206" i="6" s="1"/>
  <c r="C206" i="6" s="1"/>
  <c r="A207" i="6" a="1"/>
  <c r="A207" i="6" s="1"/>
  <c r="C207" i="6" s="1"/>
  <c r="A208" i="6" a="1"/>
  <c r="A208" i="6" s="1"/>
  <c r="A209" i="6" a="1"/>
  <c r="A209" i="6" s="1"/>
  <c r="C209" i="6" s="1"/>
  <c r="A210" i="6" a="1"/>
  <c r="A210" i="6" s="1"/>
  <c r="J210" i="6" s="1"/>
  <c r="A211" i="6" a="1"/>
  <c r="A211" i="6" s="1"/>
  <c r="E211" i="6" s="1"/>
  <c r="A212" i="6" a="1"/>
  <c r="A212" i="6" s="1"/>
  <c r="E212" i="6" s="1"/>
  <c r="A213" i="6" a="1"/>
  <c r="A213" i="6" s="1"/>
  <c r="F213" i="6" s="1"/>
  <c r="A214" i="6" a="1"/>
  <c r="A214" i="6" s="1"/>
  <c r="F214" i="6" s="1"/>
  <c r="A215" i="6" a="1"/>
  <c r="A215" i="6" s="1"/>
  <c r="A216" i="6" a="1"/>
  <c r="A216" i="6" s="1"/>
  <c r="A217" i="6" a="1"/>
  <c r="A217" i="6" s="1"/>
  <c r="C217" i="6" s="1"/>
  <c r="A218" i="6" a="1"/>
  <c r="A218" i="6" s="1"/>
  <c r="J218" i="6" s="1"/>
  <c r="A219" i="6" a="1"/>
  <c r="A219" i="6" s="1"/>
  <c r="J219" i="6" s="1"/>
  <c r="A220" i="6" a="1"/>
  <c r="A220" i="6" s="1"/>
  <c r="J220" i="6" s="1"/>
  <c r="A221" i="6" a="1"/>
  <c r="A221" i="6" s="1"/>
  <c r="C221" i="6" s="1"/>
  <c r="A222" i="6" a="1"/>
  <c r="A222" i="6" s="1"/>
  <c r="A223" i="6" a="1"/>
  <c r="A223" i="6" s="1"/>
  <c r="A224" i="6" a="1"/>
  <c r="A224" i="6"/>
  <c r="A225" i="6" a="1"/>
  <c r="A225" i="6" s="1"/>
  <c r="M225" i="6" s="1"/>
  <c r="A226" i="6" a="1"/>
  <c r="A226" i="6" s="1"/>
  <c r="D226" i="6" s="1"/>
  <c r="A227" i="6" a="1"/>
  <c r="A227" i="6" s="1"/>
  <c r="E227" i="6" s="1"/>
  <c r="A228" i="6" a="1"/>
  <c r="A228" i="6" s="1"/>
  <c r="E228" i="6" s="1"/>
  <c r="A229" i="6" a="1"/>
  <c r="A229" i="6" s="1"/>
  <c r="E229" i="6" s="1"/>
  <c r="A230" i="6" a="1"/>
  <c r="A230" i="6" s="1"/>
  <c r="A231" i="6" a="1"/>
  <c r="A231" i="6" s="1"/>
  <c r="A232" i="6" a="1"/>
  <c r="A232" i="6" s="1"/>
  <c r="A233" i="6" a="1"/>
  <c r="A233" i="6" s="1"/>
  <c r="C233" i="6" s="1"/>
  <c r="A234" i="6" a="1"/>
  <c r="A234" i="6" s="1"/>
  <c r="C234" i="6" s="1"/>
  <c r="A235" i="6" a="1"/>
  <c r="A235" i="6" s="1"/>
  <c r="C235" i="6" s="1"/>
  <c r="A236" i="6" a="1"/>
  <c r="A236" i="6" s="1"/>
  <c r="A237" i="6" a="1"/>
  <c r="A237" i="6" s="1"/>
  <c r="A238" i="6" a="1"/>
  <c r="A238" i="6" s="1"/>
  <c r="C238" i="6" s="1"/>
  <c r="A239" i="6" a="1"/>
  <c r="A239" i="6" s="1"/>
  <c r="C239" i="6" s="1"/>
  <c r="A240" i="6" a="1"/>
  <c r="A240" i="6"/>
  <c r="D240" i="6" s="1"/>
  <c r="A241" i="6" a="1"/>
  <c r="A241" i="6" s="1"/>
  <c r="D241" i="6" s="1"/>
  <c r="A242" i="6" a="1"/>
  <c r="A242" i="6" s="1"/>
  <c r="C242" i="6" s="1"/>
  <c r="A243" i="6" a="1"/>
  <c r="A243" i="6" s="1"/>
  <c r="D243" i="6" s="1"/>
  <c r="A244" i="6" a="1"/>
  <c r="A244" i="6" s="1"/>
  <c r="A245" i="6" a="1"/>
  <c r="A245" i="6" s="1"/>
  <c r="A246" i="6" a="1"/>
  <c r="A246" i="6" s="1"/>
  <c r="C246" i="6" s="1"/>
  <c r="A247" i="6" a="1"/>
  <c r="A247" i="6" s="1"/>
  <c r="C247" i="6" s="1"/>
  <c r="A248" i="6" a="1"/>
  <c r="A248" i="6" s="1"/>
  <c r="A249" i="6" a="1"/>
  <c r="A249" i="6" s="1"/>
  <c r="C249" i="6" s="1"/>
  <c r="A250" i="6" a="1"/>
  <c r="A250" i="6" s="1"/>
  <c r="C250" i="6" s="1"/>
  <c r="A251" i="6" a="1"/>
  <c r="A251" i="6" s="1"/>
  <c r="C251" i="6" s="1"/>
  <c r="A252" i="6" a="1"/>
  <c r="A252" i="6" s="1"/>
  <c r="N252" i="6" s="1"/>
  <c r="A253" i="6" a="1"/>
  <c r="A253" i="6" s="1"/>
  <c r="N253" i="6" s="1"/>
  <c r="A254" i="6" a="1"/>
  <c r="A254" i="6" s="1"/>
  <c r="E254" i="6" s="1"/>
  <c r="A255" i="6" a="1"/>
  <c r="A255" i="6" s="1"/>
  <c r="A256" i="6" a="1"/>
  <c r="A256" i="6"/>
  <c r="N256" i="6" s="1"/>
  <c r="A257" i="6" a="1"/>
  <c r="A257" i="6" s="1"/>
  <c r="N257" i="6" s="1"/>
  <c r="A258" i="6" a="1"/>
  <c r="A258" i="6" s="1"/>
  <c r="E258" i="6" s="1"/>
  <c r="A259" i="6" a="1"/>
  <c r="A259" i="6" s="1"/>
  <c r="E259" i="6" s="1"/>
  <c r="A260" i="6" a="1"/>
  <c r="A260" i="6" s="1"/>
  <c r="D260" i="6" s="1"/>
  <c r="A261" i="6" a="1"/>
  <c r="A261" i="6" s="1"/>
  <c r="D261" i="6" s="1"/>
  <c r="A262" i="6" a="1"/>
  <c r="A262" i="6" s="1"/>
  <c r="A263" i="6" a="1"/>
  <c r="A263" i="6" s="1"/>
  <c r="B11" i="6" s="1"/>
  <c r="A264" i="6" a="1"/>
  <c r="A264" i="6" s="1"/>
  <c r="A265" i="6" a="1"/>
  <c r="A265" i="6" s="1"/>
  <c r="A266" i="6" a="1"/>
  <c r="A266" i="6" s="1"/>
  <c r="J266" i="6" s="1"/>
  <c r="A267" i="6" a="1"/>
  <c r="A267" i="6" s="1"/>
  <c r="C267" i="6" s="1"/>
  <c r="A268" i="6" a="1"/>
  <c r="A268" i="6" s="1"/>
  <c r="B268" i="6" s="1"/>
  <c r="A269" i="6" a="1"/>
  <c r="A269" i="6" s="1"/>
  <c r="B269" i="6" s="1"/>
  <c r="A270" i="6" a="1"/>
  <c r="A270" i="6" s="1"/>
  <c r="B270" i="6" s="1"/>
  <c r="A271" i="6" a="1"/>
  <c r="A271" i="6" s="1"/>
  <c r="B271" i="6" s="1"/>
  <c r="A272" i="6" a="1"/>
  <c r="A272" i="6"/>
  <c r="C272" i="6" s="1"/>
  <c r="A273" i="6" a="1"/>
  <c r="A273" i="6" s="1"/>
  <c r="C273" i="6" s="1"/>
  <c r="A274" i="6" a="1"/>
  <c r="A274" i="6" s="1"/>
  <c r="E274" i="6" s="1"/>
  <c r="A275" i="6" a="1"/>
  <c r="A275" i="6" s="1"/>
  <c r="E275" i="6" s="1"/>
  <c r="A276" i="6" a="1"/>
  <c r="A276" i="6" s="1"/>
  <c r="E276" i="6" s="1"/>
  <c r="A277" i="6" a="1"/>
  <c r="A277" i="6" s="1"/>
  <c r="B25" i="6" s="1"/>
  <c r="A278" i="6" a="1"/>
  <c r="A278" i="6" s="1"/>
  <c r="F278" i="6" s="1"/>
  <c r="A279" i="6" a="1"/>
  <c r="A279" i="6" s="1"/>
  <c r="A280" i="6" a="1"/>
  <c r="A280" i="6" s="1"/>
  <c r="A281" i="6" a="1"/>
  <c r="A281" i="6" s="1"/>
  <c r="A282" i="6" a="1"/>
  <c r="A282" i="6" s="1"/>
  <c r="C282" i="6" s="1"/>
  <c r="A283" i="6" a="1"/>
  <c r="A283" i="6" s="1"/>
  <c r="C283" i="6" s="1"/>
  <c r="A284" i="6" a="1"/>
  <c r="A284" i="6" s="1"/>
  <c r="A285" i="6" a="1"/>
  <c r="A285" i="6" s="1"/>
  <c r="A286" i="6" a="1"/>
  <c r="A286" i="6" s="1"/>
  <c r="A287" i="6" a="1"/>
  <c r="A287" i="6" s="1"/>
  <c r="C287" i="6" s="1"/>
  <c r="A288" i="6" a="1"/>
  <c r="A288" i="6" s="1"/>
  <c r="B288" i="6" s="1"/>
  <c r="A289" i="6" a="1"/>
  <c r="A289" i="6" s="1"/>
  <c r="D289" i="6" s="1"/>
  <c r="A290" i="6" a="1"/>
  <c r="A290" i="6" s="1"/>
  <c r="D290" i="6" s="1"/>
  <c r="A291" i="6" a="1"/>
  <c r="A291" i="6" s="1"/>
  <c r="D291" i="6" s="1"/>
  <c r="A292" i="6" a="1"/>
  <c r="A292" i="6" s="1"/>
  <c r="D292" i="6" s="1"/>
  <c r="A293" i="6" a="1"/>
  <c r="A293" i="6" s="1"/>
  <c r="D293" i="6" s="1"/>
  <c r="A294" i="6" a="1"/>
  <c r="A294" i="6" s="1"/>
  <c r="A295" i="6" a="1"/>
  <c r="A295" i="6" s="1"/>
  <c r="A296" i="6" a="1"/>
  <c r="A296" i="6" s="1"/>
  <c r="A297" i="6" a="1"/>
  <c r="A297" i="6" s="1"/>
  <c r="C297" i="6" s="1"/>
  <c r="A298" i="6" a="1"/>
  <c r="A298" i="6" s="1"/>
  <c r="A299" i="6" a="1"/>
  <c r="A299" i="6" s="1"/>
  <c r="A300" i="6" a="1"/>
  <c r="A300" i="6" s="1"/>
  <c r="B300" i="6" s="1"/>
  <c r="A301" i="6" a="1"/>
  <c r="A301" i="6" s="1"/>
  <c r="B301" i="6" s="1"/>
  <c r="A302" i="6" a="1"/>
  <c r="A302" i="6" s="1"/>
  <c r="B302" i="6" s="1"/>
  <c r="A303" i="6" a="1"/>
  <c r="A303" i="6" s="1"/>
  <c r="F303" i="6" s="1"/>
  <c r="A304" i="6" a="1"/>
  <c r="A304" i="6" s="1"/>
  <c r="B304" i="6" s="1"/>
  <c r="A305" i="6" a="1"/>
  <c r="A305" i="6" s="1"/>
  <c r="C305" i="6" s="1"/>
  <c r="A306" i="6" a="1"/>
  <c r="A306" i="6" s="1"/>
  <c r="B43" i="6" s="1"/>
  <c r="A307" i="6" a="1"/>
  <c r="A307" i="6" s="1"/>
  <c r="C307" i="6" s="1"/>
  <c r="A308" i="6" a="1"/>
  <c r="A308" i="6" s="1"/>
  <c r="D308" i="6" s="1"/>
  <c r="A309" i="6" a="1"/>
  <c r="A309" i="6" s="1"/>
  <c r="D309" i="6" s="1"/>
  <c r="A310" i="6" a="1"/>
  <c r="A310" i="6" s="1"/>
  <c r="A311" i="6" a="1"/>
  <c r="A311" i="6" s="1"/>
  <c r="A312" i="6" a="1"/>
  <c r="A312" i="6" s="1"/>
  <c r="A313" i="6" a="1"/>
  <c r="A313" i="6" s="1"/>
  <c r="A314" i="6" a="1"/>
  <c r="A314" i="6" s="1"/>
  <c r="A315" i="6" a="1"/>
  <c r="A315" i="6" s="1"/>
  <c r="A316" i="6" a="1"/>
  <c r="A316" i="6" s="1"/>
  <c r="A317" i="6" a="1"/>
  <c r="A317" i="6" s="1"/>
  <c r="N317" i="6" s="1"/>
  <c r="A318" i="6" a="1"/>
  <c r="A318" i="6" s="1"/>
  <c r="A319" i="6" a="1"/>
  <c r="A319" i="6" s="1"/>
  <c r="B87" i="6" s="1"/>
  <c r="A320" i="6" a="1"/>
  <c r="A320" i="6"/>
  <c r="M320" i="6" s="1"/>
  <c r="A321" i="6" a="1"/>
  <c r="A321" i="6" s="1"/>
  <c r="B321" i="6" s="1"/>
  <c r="A322" i="6" a="1"/>
  <c r="A322" i="6" s="1"/>
  <c r="C322" i="6" s="1"/>
  <c r="A323" i="6" a="1"/>
  <c r="A323" i="6" s="1"/>
  <c r="A324" i="6" a="1"/>
  <c r="A324" i="6" s="1"/>
  <c r="D324" i="6" s="1"/>
  <c r="A325" i="6" a="1"/>
  <c r="A325" i="6" s="1"/>
  <c r="E325" i="6" s="1"/>
  <c r="A326" i="6" a="1"/>
  <c r="A326" i="6" s="1"/>
  <c r="B57" i="6" s="1"/>
  <c r="A327" i="6" a="1"/>
  <c r="A327" i="6" s="1"/>
  <c r="A328" i="6" a="1"/>
  <c r="A328" i="6"/>
  <c r="A329" i="6" a="1"/>
  <c r="A329" i="6" s="1"/>
  <c r="A330" i="6" a="1"/>
  <c r="A330" i="6" s="1"/>
  <c r="A331" i="6" a="1"/>
  <c r="A331" i="6" s="1"/>
  <c r="C331" i="6" s="1"/>
  <c r="A332" i="6" a="1"/>
  <c r="A332" i="6" s="1"/>
  <c r="B118" i="6" s="1"/>
  <c r="A333" i="6" a="1"/>
  <c r="A333" i="6" s="1"/>
  <c r="A334" i="6" a="1"/>
  <c r="A334" i="6" s="1"/>
  <c r="B120" i="6" s="1"/>
  <c r="A335" i="6" a="1"/>
  <c r="A335" i="6" s="1"/>
  <c r="N335" i="6" s="1"/>
  <c r="A336" i="6" a="1"/>
  <c r="A336" i="6" s="1"/>
  <c r="A337" i="6" a="1"/>
  <c r="A337" i="6" s="1"/>
  <c r="F337" i="6" s="1"/>
  <c r="A338" i="6" a="1"/>
  <c r="A338" i="6" s="1"/>
  <c r="F338" i="6" s="1"/>
  <c r="A339" i="6" a="1"/>
  <c r="A339" i="6" s="1"/>
  <c r="C339" i="6" s="1"/>
  <c r="A340" i="6" a="1"/>
  <c r="A340" i="6" s="1"/>
  <c r="E340" i="6" s="1"/>
  <c r="A341" i="6" a="1"/>
  <c r="A341" i="6" s="1"/>
  <c r="A342" i="6" a="1"/>
  <c r="A342" i="6" s="1"/>
  <c r="A343" i="6" a="1"/>
  <c r="A343" i="6" s="1"/>
  <c r="A344" i="6" a="1"/>
  <c r="A344" i="6"/>
  <c r="A345" i="6" a="1"/>
  <c r="A345" i="6" s="1"/>
  <c r="C345" i="6" s="1"/>
  <c r="A346" i="6" a="1"/>
  <c r="A346" i="6" s="1"/>
  <c r="C346" i="6" s="1"/>
  <c r="A347" i="6" a="1"/>
  <c r="A347" i="6" s="1"/>
  <c r="B74" i="6" s="1"/>
  <c r="A348" i="6" a="1"/>
  <c r="A348" i="6" s="1"/>
  <c r="C348" i="6" s="1"/>
  <c r="A349" i="6" a="1"/>
  <c r="A349" i="6" s="1"/>
  <c r="C349" i="6" s="1"/>
  <c r="A350" i="6" a="1"/>
  <c r="A350" i="6" s="1"/>
  <c r="C350" i="6" s="1"/>
  <c r="A351" i="6" a="1"/>
  <c r="A351" i="6" s="1"/>
  <c r="B107" i="6" s="1"/>
  <c r="A352" i="6" a="1"/>
  <c r="A352" i="6"/>
  <c r="E352" i="6" s="1"/>
  <c r="A353" i="6" a="1"/>
  <c r="A353" i="6" s="1"/>
  <c r="D353" i="6" s="1"/>
  <c r="A354" i="6" a="1"/>
  <c r="A354" i="6" s="1"/>
  <c r="D354" i="6" s="1"/>
  <c r="A355" i="6" a="1"/>
  <c r="A355" i="6" s="1"/>
  <c r="B355" i="6" s="1"/>
  <c r="A356" i="6" a="1"/>
  <c r="A356" i="6" s="1"/>
  <c r="J356" i="6" s="1"/>
  <c r="A357" i="6" a="1"/>
  <c r="A357" i="6" s="1"/>
  <c r="J357" i="6" s="1"/>
  <c r="A358" i="6" a="1"/>
  <c r="A358" i="6" s="1"/>
  <c r="J358" i="6" s="1"/>
  <c r="A359" i="6" a="1"/>
  <c r="A359" i="6" s="1"/>
  <c r="A360" i="6" a="1"/>
  <c r="A360" i="6" s="1"/>
  <c r="A361" i="6" a="1"/>
  <c r="A361" i="6" s="1"/>
  <c r="C361" i="6" s="1"/>
  <c r="A362" i="6" a="1"/>
  <c r="A362" i="6" s="1"/>
  <c r="C362" i="6" s="1"/>
  <c r="A363" i="6" a="1"/>
  <c r="A363" i="6" s="1"/>
  <c r="C363" i="6" s="1"/>
  <c r="A364" i="6" a="1"/>
  <c r="A364" i="6" s="1"/>
  <c r="A365" i="6" a="1"/>
  <c r="A365" i="6" s="1"/>
  <c r="C365" i="6" s="1"/>
  <c r="A366" i="6" a="1"/>
  <c r="A366" i="6" s="1"/>
  <c r="D366" i="6" s="1"/>
  <c r="A367" i="6" a="1"/>
  <c r="A367" i="6" s="1"/>
  <c r="F367" i="6" s="1"/>
  <c r="A368" i="6" a="1"/>
  <c r="A368" i="6"/>
  <c r="D368" i="6" s="1"/>
  <c r="A369" i="6" a="1"/>
  <c r="A369" i="6" s="1"/>
  <c r="D369" i="6" s="1"/>
  <c r="A370" i="6" a="1"/>
  <c r="A370" i="6" s="1"/>
  <c r="M370" i="6" s="1"/>
  <c r="A371" i="6" a="1"/>
  <c r="A371" i="6" s="1"/>
  <c r="C371" i="6" s="1"/>
  <c r="A372" i="6" a="1"/>
  <c r="A372" i="6" s="1"/>
  <c r="A373" i="6" a="1"/>
  <c r="A373" i="6" s="1"/>
  <c r="A374" i="6" a="1"/>
  <c r="A374" i="6" s="1"/>
  <c r="C374" i="6" s="1"/>
  <c r="A375" i="6" a="1"/>
  <c r="A375" i="6" s="1"/>
  <c r="C375" i="6" s="1"/>
  <c r="A376" i="6" a="1"/>
  <c r="A376" i="6"/>
  <c r="C376" i="6" s="1"/>
  <c r="A377" i="6" a="1"/>
  <c r="A377" i="6" s="1"/>
  <c r="C377" i="6" s="1"/>
  <c r="A378" i="6" a="1"/>
  <c r="A378" i="6" s="1"/>
  <c r="C378" i="6" s="1"/>
  <c r="A379" i="6" a="1"/>
  <c r="A379" i="6" s="1"/>
  <c r="C379" i="6" s="1"/>
  <c r="A380" i="6" a="1"/>
  <c r="A380" i="6" s="1"/>
  <c r="C380" i="6" s="1"/>
  <c r="A381" i="6" a="1"/>
  <c r="A381" i="6" s="1"/>
  <c r="B103" i="6" s="1"/>
  <c r="A382" i="6" a="1"/>
  <c r="A382" i="6" s="1"/>
  <c r="E382" i="6" s="1"/>
  <c r="A383" i="6" a="1"/>
  <c r="A383" i="6" s="1"/>
  <c r="C383" i="6" s="1"/>
  <c r="A384" i="6" a="1"/>
  <c r="A384" i="6" s="1"/>
  <c r="A385" i="6" a="1"/>
  <c r="A385" i="6" s="1"/>
  <c r="C385" i="6" s="1"/>
  <c r="A386" i="6" a="1"/>
  <c r="A386" i="6" s="1"/>
  <c r="E386" i="6" s="1"/>
  <c r="A387" i="6" a="1"/>
  <c r="A387" i="6" s="1"/>
  <c r="E387" i="6" s="1"/>
  <c r="A388" i="6" a="1"/>
  <c r="A388" i="6" s="1"/>
  <c r="J388" i="6" s="1"/>
  <c r="A389" i="6" a="1"/>
  <c r="A389" i="6" s="1"/>
  <c r="J389" i="6" s="1"/>
  <c r="A390" i="6" a="1"/>
  <c r="A390" i="6" s="1"/>
  <c r="J390" i="6" s="1"/>
  <c r="A391" i="6" a="1"/>
  <c r="A391" i="6" s="1"/>
  <c r="F391" i="6" s="1"/>
  <c r="A392" i="6" a="1"/>
  <c r="A392" i="6" s="1"/>
  <c r="A393" i="6" a="1"/>
  <c r="A393" i="6" s="1"/>
  <c r="D393" i="6" s="1"/>
  <c r="A394" i="6" a="1"/>
  <c r="A394" i="6" s="1"/>
  <c r="N394" i="6" s="1"/>
  <c r="A395" i="6" a="1"/>
  <c r="A395" i="6" s="1"/>
  <c r="C395" i="6" s="1"/>
  <c r="A396" i="6" a="1"/>
  <c r="A396" i="6" s="1"/>
  <c r="B396" i="6" s="1"/>
  <c r="A397" i="6" a="1"/>
  <c r="A397" i="6" s="1"/>
  <c r="B397" i="6" s="1"/>
  <c r="A398" i="6" a="1"/>
  <c r="A398" i="6" s="1"/>
  <c r="B398" i="6" s="1"/>
  <c r="A399" i="6" a="1"/>
  <c r="A399" i="6" s="1"/>
  <c r="B399" i="6" s="1"/>
  <c r="A400" i="6" a="1"/>
  <c r="A400" i="6" s="1"/>
  <c r="A401" i="6" a="1"/>
  <c r="A401" i="6" s="1"/>
  <c r="D401" i="6" s="1"/>
  <c r="A2" i="6" a="1"/>
  <c r="A2" i="6" s="1"/>
  <c r="L2" i="6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2" i="5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2" i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2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H49" i="2" s="1"/>
  <c r="I49" i="2" s="1"/>
  <c r="D50" i="2"/>
  <c r="H50" i="2" s="1"/>
  <c r="I50" i="2" s="1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H65" i="2" s="1"/>
  <c r="I65" i="2" s="1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H81" i="2" s="1"/>
  <c r="I81" i="2" s="1"/>
  <c r="D82" i="2"/>
  <c r="H82" i="2" s="1"/>
  <c r="I82" i="2" s="1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H96" i="2" s="1"/>
  <c r="I96" i="2" s="1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H145" i="2" s="1"/>
  <c r="I145" i="2" s="1"/>
  <c r="D146" i="2"/>
  <c r="H146" i="2" s="1"/>
  <c r="I146" i="2" s="1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H161" i="2" s="1"/>
  <c r="I161" i="2" s="1"/>
  <c r="D162" i="2"/>
  <c r="H162" i="2" s="1"/>
  <c r="I162" i="2" s="1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H177" i="2" s="1"/>
  <c r="I177" i="2" s="1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H225" i="2" s="1"/>
  <c r="I225" i="2" s="1"/>
  <c r="D226" i="2"/>
  <c r="H226" i="2" s="1"/>
  <c r="I226" i="2" s="1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H257" i="2" s="1"/>
  <c r="I257" i="2" s="1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H337" i="2" s="1"/>
  <c r="I337" i="2" s="1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H353" i="2" s="1"/>
  <c r="I353" i="2" s="1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H369" i="2" s="1"/>
  <c r="I369" i="2" s="1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H417" i="2" s="1"/>
  <c r="I417" i="2" s="1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H433" i="2" s="1"/>
  <c r="I433" i="2" s="1"/>
  <c r="D434" i="2"/>
  <c r="H434" i="2" s="1"/>
  <c r="I434" i="2" s="1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H449" i="2" s="1"/>
  <c r="I449" i="2" s="1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H465" i="2" s="1"/>
  <c r="I465" i="2" s="1"/>
  <c r="D466" i="2"/>
  <c r="H466" i="2" s="1"/>
  <c r="I466" i="2" s="1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H510" i="2" s="1"/>
  <c r="I510" i="2" s="1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H530" i="2" s="1"/>
  <c r="I530" i="2" s="1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H545" i="2" s="1"/>
  <c r="I545" i="2" s="1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H577" i="2" s="1"/>
  <c r="I577" i="2" s="1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H592" i="2" s="1"/>
  <c r="I592" i="2" s="1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H658" i="2" s="1"/>
  <c r="I658" i="2" s="1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H720" i="2" s="1"/>
  <c r="I720" i="2" s="1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H786" i="2" s="1"/>
  <c r="I786" i="2" s="1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H801" i="2" s="1"/>
  <c r="I801" i="2" s="1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H849" i="2" s="1"/>
  <c r="I849" i="2" s="1"/>
  <c r="D850" i="2"/>
  <c r="H850" i="2" s="1"/>
  <c r="I850" i="2" s="1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H890" i="2" s="1"/>
  <c r="I890" i="2" s="1"/>
  <c r="D891" i="2"/>
  <c r="H891" i="2" s="1"/>
  <c r="I891" i="2" s="1"/>
  <c r="D892" i="2"/>
  <c r="D893" i="2"/>
  <c r="D894" i="2"/>
  <c r="D895" i="2"/>
  <c r="D896" i="2"/>
  <c r="D897" i="2"/>
  <c r="D898" i="2"/>
  <c r="H898" i="2" s="1"/>
  <c r="I898" i="2" s="1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H930" i="2" s="1"/>
  <c r="I930" i="2" s="1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H944" i="2" s="1"/>
  <c r="I944" i="2" s="1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H993" i="2" s="1"/>
  <c r="I993" i="2" s="1"/>
  <c r="D994" i="2"/>
  <c r="H994" i="2" s="1"/>
  <c r="I994" i="2" s="1"/>
  <c r="D995" i="2"/>
  <c r="D996" i="2"/>
  <c r="D997" i="2"/>
  <c r="D998" i="2"/>
  <c r="D999" i="2"/>
  <c r="D1000" i="2"/>
  <c r="D1001" i="2"/>
  <c r="D1002" i="2"/>
  <c r="D1003" i="2"/>
  <c r="D1004" i="2"/>
  <c r="H1004" i="2" s="1"/>
  <c r="I1004" i="2" s="1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H1025" i="2" s="1"/>
  <c r="I1025" i="2" s="1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H1105" i="2" s="1"/>
  <c r="I1105" i="2" s="1"/>
  <c r="D1106" i="2"/>
  <c r="H1106" i="2" s="1"/>
  <c r="I1106" i="2" s="1"/>
  <c r="D1107" i="2"/>
  <c r="D1108" i="2"/>
  <c r="D1109" i="2"/>
  <c r="D1110" i="2"/>
  <c r="D1111" i="2"/>
  <c r="D1112" i="2"/>
  <c r="D1113" i="2"/>
  <c r="D1114" i="2"/>
  <c r="H1114" i="2" s="1"/>
  <c r="I1114" i="2" s="1"/>
  <c r="D1115" i="2"/>
  <c r="D1116" i="2"/>
  <c r="H1116" i="2" s="1"/>
  <c r="I1116" i="2" s="1"/>
  <c r="D1117" i="2"/>
  <c r="H1117" i="2" s="1"/>
  <c r="I1117" i="2" s="1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H1137" i="2" s="1"/>
  <c r="I1137" i="2" s="1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H1186" i="2" s="1"/>
  <c r="I1186" i="2" s="1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H1214" i="2" s="1"/>
  <c r="I1214" i="2" s="1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H1226" i="2" s="1"/>
  <c r="I1226" i="2" s="1"/>
  <c r="D1227" i="2"/>
  <c r="H1227" i="2" s="1"/>
  <c r="I1227" i="2" s="1"/>
  <c r="D1228" i="2"/>
  <c r="H1228" i="2" s="1"/>
  <c r="I1228" i="2" s="1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H1260" i="2" s="1"/>
  <c r="I1260" i="2" s="1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H1281" i="2" s="1"/>
  <c r="I1281" i="2" s="1"/>
  <c r="D1282" i="2"/>
  <c r="H1282" i="2" s="1"/>
  <c r="I1282" i="2" s="1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H1297" i="2" s="1"/>
  <c r="I1297" i="2" s="1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H1313" i="2" s="1"/>
  <c r="I1313" i="2" s="1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H1329" i="2" s="1"/>
  <c r="I1329" i="2" s="1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H1366" i="2" s="1"/>
  <c r="I1366" i="2" s="1"/>
  <c r="D1367" i="2"/>
  <c r="D1368" i="2"/>
  <c r="D1369" i="2"/>
  <c r="D1370" i="2"/>
  <c r="D1371" i="2"/>
  <c r="D1372" i="2"/>
  <c r="D1373" i="2"/>
  <c r="D1374" i="2"/>
  <c r="D1375" i="2"/>
  <c r="D1376" i="2"/>
  <c r="D1377" i="2"/>
  <c r="H1377" i="2" s="1"/>
  <c r="I1377" i="2" s="1"/>
  <c r="D1378" i="2"/>
  <c r="H1378" i="2" s="1"/>
  <c r="I1378" i="2" s="1"/>
  <c r="D1379" i="2"/>
  <c r="D1380" i="2"/>
  <c r="D1381" i="2"/>
  <c r="D1382" i="2"/>
  <c r="H1382" i="2" s="1"/>
  <c r="I1382" i="2" s="1"/>
  <c r="D1383" i="2"/>
  <c r="D1384" i="2"/>
  <c r="D1385" i="2"/>
  <c r="D1386" i="2"/>
  <c r="D1387" i="2"/>
  <c r="D1388" i="2"/>
  <c r="D1389" i="2"/>
  <c r="D1390" i="2"/>
  <c r="D1391" i="2"/>
  <c r="D1392" i="2"/>
  <c r="H1392" i="2" s="1"/>
  <c r="I1392" i="2" s="1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H1409" i="2" s="1"/>
  <c r="I1409" i="2" s="1"/>
  <c r="D1410" i="2"/>
  <c r="H1410" i="2" s="1"/>
  <c r="I1410" i="2" s="1"/>
  <c r="D1411" i="2"/>
  <c r="D1412" i="2"/>
  <c r="D1413" i="2"/>
  <c r="D1414" i="2"/>
  <c r="H1414" i="2" s="1"/>
  <c r="I1414" i="2" s="1"/>
  <c r="D1415" i="2"/>
  <c r="D1416" i="2"/>
  <c r="D1417" i="2"/>
  <c r="D1418" i="2"/>
  <c r="D1419" i="2"/>
  <c r="D1420" i="2"/>
  <c r="D1421" i="2"/>
  <c r="D1422" i="2"/>
  <c r="D1423" i="2"/>
  <c r="D1424" i="2"/>
  <c r="D1425" i="2"/>
  <c r="H1425" i="2" s="1"/>
  <c r="I1425" i="2" s="1"/>
  <c r="D1426" i="2"/>
  <c r="H1426" i="2" s="1"/>
  <c r="I1426" i="2" s="1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H1446" i="2" s="1"/>
  <c r="I1446" i="2" s="1"/>
  <c r="D1447" i="2"/>
  <c r="D1448" i="2"/>
  <c r="D1449" i="2"/>
  <c r="D1450" i="2"/>
  <c r="D1451" i="2"/>
  <c r="D1452" i="2"/>
  <c r="D1453" i="2"/>
  <c r="D1454" i="2"/>
  <c r="D1455" i="2"/>
  <c r="D1456" i="2"/>
  <c r="D1457" i="2"/>
  <c r="H1457" i="2" s="1"/>
  <c r="I1457" i="2" s="1"/>
  <c r="D1458" i="2"/>
  <c r="H1458" i="2" s="1"/>
  <c r="I1458" i="2" s="1"/>
  <c r="D1459" i="2"/>
  <c r="H1459" i="2" s="1"/>
  <c r="I1459" i="2" s="1"/>
  <c r="D1460" i="2"/>
  <c r="H1460" i="2" s="1"/>
  <c r="I1460" i="2" s="1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H1478" i="2" s="1"/>
  <c r="I1478" i="2" s="1"/>
  <c r="D1479" i="2"/>
  <c r="D1480" i="2"/>
  <c r="D1481" i="2"/>
  <c r="D1482" i="2"/>
  <c r="D1483" i="2"/>
  <c r="D1484" i="2"/>
  <c r="D1485" i="2"/>
  <c r="D1486" i="2"/>
  <c r="D1487" i="2"/>
  <c r="D1488" i="2"/>
  <c r="D1489" i="2"/>
  <c r="H1489" i="2" s="1"/>
  <c r="I1489" i="2" s="1"/>
  <c r="D1490" i="2"/>
  <c r="D1491" i="2"/>
  <c r="D1492" i="2"/>
  <c r="D1493" i="2"/>
  <c r="D1494" i="2"/>
  <c r="H1494" i="2" s="1"/>
  <c r="I1494" i="2" s="1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H1521" i="2" s="1"/>
  <c r="I1521" i="2" s="1"/>
  <c r="D1522" i="2"/>
  <c r="H1522" i="2" s="1"/>
  <c r="I1522" i="2" s="1"/>
  <c r="D1523" i="2"/>
  <c r="H1523" i="2" s="1"/>
  <c r="I1523" i="2" s="1"/>
  <c r="D1524" i="2"/>
  <c r="D1525" i="2"/>
  <c r="D1526" i="2"/>
  <c r="H1526" i="2" s="1"/>
  <c r="I1526" i="2" s="1"/>
  <c r="D1527" i="2"/>
  <c r="D1528" i="2"/>
  <c r="D1529" i="2"/>
  <c r="D1530" i="2"/>
  <c r="D1531" i="2"/>
  <c r="D1532" i="2"/>
  <c r="D1533" i="2"/>
  <c r="D1534" i="2"/>
  <c r="D1535" i="2"/>
  <c r="D1536" i="2"/>
  <c r="D1537" i="2"/>
  <c r="H1537" i="2" s="1"/>
  <c r="I1537" i="2" s="1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H1569" i="2" s="1"/>
  <c r="I1569" i="2" s="1"/>
  <c r="D1570" i="2"/>
  <c r="H1570" i="2" s="1"/>
  <c r="I1570" i="2" s="1"/>
  <c r="D1571" i="2"/>
  <c r="H1571" i="2" s="1"/>
  <c r="I1571" i="2" s="1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H1590" i="2" s="1"/>
  <c r="I1590" i="2" s="1"/>
  <c r="D1591" i="2"/>
  <c r="D1592" i="2"/>
  <c r="D1593" i="2"/>
  <c r="D1594" i="2"/>
  <c r="D1595" i="2"/>
  <c r="D1596" i="2"/>
  <c r="D1597" i="2"/>
  <c r="D1598" i="2"/>
  <c r="D1599" i="2"/>
  <c r="D1600" i="2"/>
  <c r="D1601" i="2"/>
  <c r="D2" i="2"/>
  <c r="H272" i="2"/>
  <c r="I272" i="2" s="1"/>
  <c r="H321" i="2"/>
  <c r="I321" i="2" s="1"/>
  <c r="H673" i="2"/>
  <c r="I673" i="2" s="1"/>
  <c r="H705" i="2"/>
  <c r="I705" i="2" s="1"/>
  <c r="H1003" i="2"/>
  <c r="I1003" i="2" s="1"/>
  <c r="G10" i="2"/>
  <c r="G11" i="2"/>
  <c r="G12" i="2"/>
  <c r="G13" i="2"/>
  <c r="G16" i="2"/>
  <c r="G17" i="2"/>
  <c r="G18" i="2"/>
  <c r="G26" i="2"/>
  <c r="G27" i="2"/>
  <c r="G28" i="2"/>
  <c r="G29" i="2"/>
  <c r="G32" i="2"/>
  <c r="G33" i="2"/>
  <c r="G34" i="2"/>
  <c r="G42" i="2"/>
  <c r="G43" i="2"/>
  <c r="G44" i="2"/>
  <c r="G45" i="2"/>
  <c r="G48" i="2"/>
  <c r="G49" i="2"/>
  <c r="G50" i="2"/>
  <c r="G58" i="2"/>
  <c r="G59" i="2"/>
  <c r="G60" i="2"/>
  <c r="G61" i="2"/>
  <c r="G64" i="2"/>
  <c r="G65" i="2"/>
  <c r="G66" i="2"/>
  <c r="G74" i="2"/>
  <c r="G75" i="2"/>
  <c r="G76" i="2"/>
  <c r="G77" i="2"/>
  <c r="G80" i="2"/>
  <c r="G81" i="2"/>
  <c r="G82" i="2"/>
  <c r="G90" i="2"/>
  <c r="G91" i="2"/>
  <c r="G92" i="2"/>
  <c r="G93" i="2"/>
  <c r="G96" i="2"/>
  <c r="G97" i="2"/>
  <c r="G98" i="2"/>
  <c r="G106" i="2"/>
  <c r="G107" i="2"/>
  <c r="G108" i="2"/>
  <c r="G109" i="2"/>
  <c r="G112" i="2"/>
  <c r="G113" i="2"/>
  <c r="G114" i="2"/>
  <c r="G122" i="2"/>
  <c r="G123" i="2"/>
  <c r="G124" i="2"/>
  <c r="G125" i="2"/>
  <c r="G128" i="2"/>
  <c r="G129" i="2"/>
  <c r="G130" i="2"/>
  <c r="G138" i="2"/>
  <c r="G139" i="2"/>
  <c r="G140" i="2"/>
  <c r="G141" i="2"/>
  <c r="G144" i="2"/>
  <c r="G145" i="2"/>
  <c r="G146" i="2"/>
  <c r="G154" i="2"/>
  <c r="G155" i="2"/>
  <c r="G156" i="2"/>
  <c r="G157" i="2"/>
  <c r="G160" i="2"/>
  <c r="G161" i="2"/>
  <c r="G162" i="2"/>
  <c r="G170" i="2"/>
  <c r="G171" i="2"/>
  <c r="G172" i="2"/>
  <c r="G173" i="2"/>
  <c r="G176" i="2"/>
  <c r="G177" i="2"/>
  <c r="G178" i="2"/>
  <c r="G186" i="2"/>
  <c r="G187" i="2"/>
  <c r="G188" i="2"/>
  <c r="G189" i="2"/>
  <c r="G192" i="2"/>
  <c r="G193" i="2"/>
  <c r="G194" i="2"/>
  <c r="G202" i="2"/>
  <c r="G203" i="2"/>
  <c r="G204" i="2"/>
  <c r="G205" i="2"/>
  <c r="G208" i="2"/>
  <c r="G209" i="2"/>
  <c r="G210" i="2"/>
  <c r="G218" i="2"/>
  <c r="G219" i="2"/>
  <c r="G220" i="2"/>
  <c r="G221" i="2"/>
  <c r="G224" i="2"/>
  <c r="G225" i="2"/>
  <c r="G226" i="2"/>
  <c r="G234" i="2"/>
  <c r="G235" i="2"/>
  <c r="G236" i="2"/>
  <c r="G237" i="2"/>
  <c r="G240" i="2"/>
  <c r="G241" i="2"/>
  <c r="G242" i="2"/>
  <c r="G250" i="2"/>
  <c r="G251" i="2"/>
  <c r="G252" i="2"/>
  <c r="G253" i="2"/>
  <c r="G256" i="2"/>
  <c r="G257" i="2"/>
  <c r="G258" i="2"/>
  <c r="G266" i="2"/>
  <c r="G267" i="2"/>
  <c r="G268" i="2"/>
  <c r="G269" i="2"/>
  <c r="G272" i="2"/>
  <c r="G273" i="2"/>
  <c r="G274" i="2"/>
  <c r="G282" i="2"/>
  <c r="G283" i="2"/>
  <c r="G284" i="2"/>
  <c r="G285" i="2"/>
  <c r="G288" i="2"/>
  <c r="G289" i="2"/>
  <c r="G290" i="2"/>
  <c r="G298" i="2"/>
  <c r="G299" i="2"/>
  <c r="G300" i="2"/>
  <c r="G301" i="2"/>
  <c r="G304" i="2"/>
  <c r="G305" i="2"/>
  <c r="G306" i="2"/>
  <c r="G314" i="2"/>
  <c r="G315" i="2"/>
  <c r="G316" i="2"/>
  <c r="G317" i="2"/>
  <c r="G320" i="2"/>
  <c r="G321" i="2"/>
  <c r="G322" i="2"/>
  <c r="G330" i="2"/>
  <c r="G331" i="2"/>
  <c r="G332" i="2"/>
  <c r="G333" i="2"/>
  <c r="G336" i="2"/>
  <c r="G337" i="2"/>
  <c r="G338" i="2"/>
  <c r="G346" i="2"/>
  <c r="G347" i="2"/>
  <c r="G348" i="2"/>
  <c r="G349" i="2"/>
  <c r="G352" i="2"/>
  <c r="G353" i="2"/>
  <c r="G354" i="2"/>
  <c r="G362" i="2"/>
  <c r="G363" i="2"/>
  <c r="G364" i="2"/>
  <c r="G365" i="2"/>
  <c r="G368" i="2"/>
  <c r="G369" i="2"/>
  <c r="G370" i="2"/>
  <c r="G378" i="2"/>
  <c r="G379" i="2"/>
  <c r="G380" i="2"/>
  <c r="G381" i="2"/>
  <c r="G384" i="2"/>
  <c r="G385" i="2"/>
  <c r="G386" i="2"/>
  <c r="G394" i="2"/>
  <c r="G395" i="2"/>
  <c r="G396" i="2"/>
  <c r="G397" i="2"/>
  <c r="G400" i="2"/>
  <c r="G401" i="2"/>
  <c r="G402" i="2"/>
  <c r="G410" i="2"/>
  <c r="G411" i="2"/>
  <c r="G412" i="2"/>
  <c r="G413" i="2"/>
  <c r="G416" i="2"/>
  <c r="G417" i="2"/>
  <c r="G418" i="2"/>
  <c r="G426" i="2"/>
  <c r="G427" i="2"/>
  <c r="G428" i="2"/>
  <c r="G429" i="2"/>
  <c r="G432" i="2"/>
  <c r="G433" i="2"/>
  <c r="G434" i="2"/>
  <c r="G442" i="2"/>
  <c r="G443" i="2"/>
  <c r="G444" i="2"/>
  <c r="G445" i="2"/>
  <c r="G448" i="2"/>
  <c r="G449" i="2"/>
  <c r="G450" i="2"/>
  <c r="G458" i="2"/>
  <c r="G459" i="2"/>
  <c r="G460" i="2"/>
  <c r="G461" i="2"/>
  <c r="G464" i="2"/>
  <c r="G465" i="2"/>
  <c r="G466" i="2"/>
  <c r="G474" i="2"/>
  <c r="G475" i="2"/>
  <c r="G476" i="2"/>
  <c r="G477" i="2"/>
  <c r="G480" i="2"/>
  <c r="G481" i="2"/>
  <c r="G482" i="2"/>
  <c r="G490" i="2"/>
  <c r="G491" i="2"/>
  <c r="G492" i="2"/>
  <c r="G493" i="2"/>
  <c r="G496" i="2"/>
  <c r="G497" i="2"/>
  <c r="G498" i="2"/>
  <c r="G506" i="2"/>
  <c r="G507" i="2"/>
  <c r="G508" i="2"/>
  <c r="G509" i="2"/>
  <c r="G512" i="2"/>
  <c r="G513" i="2"/>
  <c r="G514" i="2"/>
  <c r="G522" i="2"/>
  <c r="G523" i="2"/>
  <c r="G524" i="2"/>
  <c r="G525" i="2"/>
  <c r="G528" i="2"/>
  <c r="G529" i="2"/>
  <c r="G530" i="2"/>
  <c r="G538" i="2"/>
  <c r="G539" i="2"/>
  <c r="G540" i="2"/>
  <c r="G541" i="2"/>
  <c r="G544" i="2"/>
  <c r="G545" i="2"/>
  <c r="G546" i="2"/>
  <c r="G554" i="2"/>
  <c r="G555" i="2"/>
  <c r="G556" i="2"/>
  <c r="G557" i="2"/>
  <c r="G560" i="2"/>
  <c r="G561" i="2"/>
  <c r="G562" i="2"/>
  <c r="G570" i="2"/>
  <c r="G571" i="2"/>
  <c r="G572" i="2"/>
  <c r="G573" i="2"/>
  <c r="G576" i="2"/>
  <c r="G577" i="2"/>
  <c r="G578" i="2"/>
  <c r="G586" i="2"/>
  <c r="G587" i="2"/>
  <c r="G588" i="2"/>
  <c r="G589" i="2"/>
  <c r="G592" i="2"/>
  <c r="G593" i="2"/>
  <c r="G594" i="2"/>
  <c r="G602" i="2"/>
  <c r="G603" i="2"/>
  <c r="G604" i="2"/>
  <c r="G605" i="2"/>
  <c r="G608" i="2"/>
  <c r="G609" i="2"/>
  <c r="G610" i="2"/>
  <c r="G618" i="2"/>
  <c r="G619" i="2"/>
  <c r="G620" i="2"/>
  <c r="G621" i="2"/>
  <c r="G624" i="2"/>
  <c r="G625" i="2"/>
  <c r="G626" i="2"/>
  <c r="G634" i="2"/>
  <c r="G635" i="2"/>
  <c r="G636" i="2"/>
  <c r="G637" i="2"/>
  <c r="G640" i="2"/>
  <c r="G641" i="2"/>
  <c r="G642" i="2"/>
  <c r="G650" i="2"/>
  <c r="G651" i="2"/>
  <c r="G652" i="2"/>
  <c r="G653" i="2"/>
  <c r="G656" i="2"/>
  <c r="G657" i="2"/>
  <c r="G658" i="2"/>
  <c r="G666" i="2"/>
  <c r="G667" i="2"/>
  <c r="G668" i="2"/>
  <c r="G669" i="2"/>
  <c r="G672" i="2"/>
  <c r="G673" i="2"/>
  <c r="G674" i="2"/>
  <c r="G682" i="2"/>
  <c r="G683" i="2"/>
  <c r="G684" i="2"/>
  <c r="G685" i="2"/>
  <c r="G688" i="2"/>
  <c r="G689" i="2"/>
  <c r="G690" i="2"/>
  <c r="G698" i="2"/>
  <c r="G699" i="2"/>
  <c r="G700" i="2"/>
  <c r="G701" i="2"/>
  <c r="G704" i="2"/>
  <c r="G705" i="2"/>
  <c r="G706" i="2"/>
  <c r="G714" i="2"/>
  <c r="G715" i="2"/>
  <c r="G716" i="2"/>
  <c r="G717" i="2"/>
  <c r="G720" i="2"/>
  <c r="G721" i="2"/>
  <c r="G722" i="2"/>
  <c r="G730" i="2"/>
  <c r="G731" i="2"/>
  <c r="G732" i="2"/>
  <c r="G733" i="2"/>
  <c r="G736" i="2"/>
  <c r="G737" i="2"/>
  <c r="G738" i="2"/>
  <c r="G746" i="2"/>
  <c r="G747" i="2"/>
  <c r="G748" i="2"/>
  <c r="G749" i="2"/>
  <c r="G752" i="2"/>
  <c r="G753" i="2"/>
  <c r="G754" i="2"/>
  <c r="G762" i="2"/>
  <c r="G763" i="2"/>
  <c r="G764" i="2"/>
  <c r="G765" i="2"/>
  <c r="G768" i="2"/>
  <c r="G769" i="2"/>
  <c r="G770" i="2"/>
  <c r="G778" i="2"/>
  <c r="G779" i="2"/>
  <c r="G780" i="2"/>
  <c r="G781" i="2"/>
  <c r="G784" i="2"/>
  <c r="G785" i="2"/>
  <c r="G786" i="2"/>
  <c r="G794" i="2"/>
  <c r="G795" i="2"/>
  <c r="G796" i="2"/>
  <c r="G797" i="2"/>
  <c r="G800" i="2"/>
  <c r="G801" i="2"/>
  <c r="G802" i="2"/>
  <c r="G810" i="2"/>
  <c r="G811" i="2"/>
  <c r="G812" i="2"/>
  <c r="G813" i="2"/>
  <c r="G814" i="2"/>
  <c r="G816" i="2"/>
  <c r="G817" i="2"/>
  <c r="G818" i="2"/>
  <c r="G826" i="2"/>
  <c r="G827" i="2"/>
  <c r="G828" i="2"/>
  <c r="G829" i="2"/>
  <c r="G830" i="2"/>
  <c r="G832" i="2"/>
  <c r="G833" i="2"/>
  <c r="G834" i="2"/>
  <c r="G842" i="2"/>
  <c r="G843" i="2"/>
  <c r="G844" i="2"/>
  <c r="G845" i="2"/>
  <c r="G846" i="2"/>
  <c r="G848" i="2"/>
  <c r="G849" i="2"/>
  <c r="G850" i="2"/>
  <c r="G858" i="2"/>
  <c r="G859" i="2"/>
  <c r="G860" i="2"/>
  <c r="G861" i="2"/>
  <c r="G862" i="2"/>
  <c r="G864" i="2"/>
  <c r="G865" i="2"/>
  <c r="G866" i="2"/>
  <c r="G874" i="2"/>
  <c r="G875" i="2"/>
  <c r="G876" i="2"/>
  <c r="G877" i="2"/>
  <c r="G878" i="2"/>
  <c r="G880" i="2"/>
  <c r="G881" i="2"/>
  <c r="G882" i="2"/>
  <c r="G890" i="2"/>
  <c r="G891" i="2"/>
  <c r="G892" i="2"/>
  <c r="G893" i="2"/>
  <c r="G894" i="2"/>
  <c r="G896" i="2"/>
  <c r="G897" i="2"/>
  <c r="G898" i="2"/>
  <c r="G906" i="2"/>
  <c r="G907" i="2"/>
  <c r="G908" i="2"/>
  <c r="G909" i="2"/>
  <c r="G910" i="2"/>
  <c r="G912" i="2"/>
  <c r="G913" i="2"/>
  <c r="G914" i="2"/>
  <c r="G922" i="2"/>
  <c r="G923" i="2"/>
  <c r="G924" i="2"/>
  <c r="G925" i="2"/>
  <c r="G926" i="2"/>
  <c r="G928" i="2"/>
  <c r="G929" i="2"/>
  <c r="G930" i="2"/>
  <c r="G938" i="2"/>
  <c r="G939" i="2"/>
  <c r="G940" i="2"/>
  <c r="G941" i="2"/>
  <c r="G942" i="2"/>
  <c r="G944" i="2"/>
  <c r="G945" i="2"/>
  <c r="G946" i="2"/>
  <c r="G954" i="2"/>
  <c r="G955" i="2"/>
  <c r="G956" i="2"/>
  <c r="G957" i="2"/>
  <c r="G958" i="2"/>
  <c r="G960" i="2"/>
  <c r="G961" i="2"/>
  <c r="G962" i="2"/>
  <c r="G970" i="2"/>
  <c r="G971" i="2"/>
  <c r="G972" i="2"/>
  <c r="G973" i="2"/>
  <c r="G974" i="2"/>
  <c r="G976" i="2"/>
  <c r="G977" i="2"/>
  <c r="G978" i="2"/>
  <c r="G986" i="2"/>
  <c r="G987" i="2"/>
  <c r="G988" i="2"/>
  <c r="G989" i="2"/>
  <c r="G990" i="2"/>
  <c r="G992" i="2"/>
  <c r="G993" i="2"/>
  <c r="G994" i="2"/>
  <c r="G1002" i="2"/>
  <c r="G1003" i="2"/>
  <c r="G1004" i="2"/>
  <c r="G1005" i="2"/>
  <c r="G1006" i="2"/>
  <c r="G1008" i="2"/>
  <c r="G1009" i="2"/>
  <c r="G1010" i="2"/>
  <c r="G1018" i="2"/>
  <c r="G1019" i="2"/>
  <c r="G1020" i="2"/>
  <c r="G1021" i="2"/>
  <c r="G1022" i="2"/>
  <c r="G1024" i="2"/>
  <c r="G1025" i="2"/>
  <c r="G1026" i="2"/>
  <c r="G1034" i="2"/>
  <c r="G1035" i="2"/>
  <c r="G1036" i="2"/>
  <c r="G1037" i="2"/>
  <c r="G1038" i="2"/>
  <c r="G1040" i="2"/>
  <c r="G1041" i="2"/>
  <c r="G1042" i="2"/>
  <c r="G1050" i="2"/>
  <c r="G1051" i="2"/>
  <c r="G1052" i="2"/>
  <c r="G1053" i="2"/>
  <c r="G1054" i="2"/>
  <c r="G1056" i="2"/>
  <c r="G1057" i="2"/>
  <c r="G1058" i="2"/>
  <c r="G1066" i="2"/>
  <c r="G1067" i="2"/>
  <c r="G1068" i="2"/>
  <c r="G1069" i="2"/>
  <c r="G1070" i="2"/>
  <c r="G1072" i="2"/>
  <c r="G1073" i="2"/>
  <c r="G1074" i="2"/>
  <c r="G1082" i="2"/>
  <c r="G1083" i="2"/>
  <c r="G1084" i="2"/>
  <c r="G1085" i="2"/>
  <c r="G1086" i="2"/>
  <c r="G1088" i="2"/>
  <c r="G1089" i="2"/>
  <c r="G1090" i="2"/>
  <c r="G1098" i="2"/>
  <c r="G1099" i="2"/>
  <c r="G1100" i="2"/>
  <c r="G1101" i="2"/>
  <c r="G1102" i="2"/>
  <c r="G1104" i="2"/>
  <c r="G1105" i="2"/>
  <c r="G1106" i="2"/>
  <c r="G1114" i="2"/>
  <c r="G1115" i="2"/>
  <c r="G1116" i="2"/>
  <c r="G1117" i="2"/>
  <c r="G1118" i="2"/>
  <c r="G1120" i="2"/>
  <c r="G1121" i="2"/>
  <c r="G1122" i="2"/>
  <c r="G1130" i="2"/>
  <c r="G1131" i="2"/>
  <c r="G1132" i="2"/>
  <c r="G1133" i="2"/>
  <c r="G1134" i="2"/>
  <c r="G1136" i="2"/>
  <c r="G1137" i="2"/>
  <c r="G1138" i="2"/>
  <c r="G1146" i="2"/>
  <c r="G1147" i="2"/>
  <c r="G1148" i="2"/>
  <c r="G1149" i="2"/>
  <c r="G1150" i="2"/>
  <c r="G1152" i="2"/>
  <c r="G1153" i="2"/>
  <c r="G1154" i="2"/>
  <c r="G1162" i="2"/>
  <c r="G1163" i="2"/>
  <c r="G1164" i="2"/>
  <c r="G1165" i="2"/>
  <c r="G1166" i="2"/>
  <c r="G1168" i="2"/>
  <c r="G1169" i="2"/>
  <c r="G1170" i="2"/>
  <c r="G1178" i="2"/>
  <c r="G1179" i="2"/>
  <c r="G1180" i="2"/>
  <c r="G1181" i="2"/>
  <c r="G1182" i="2"/>
  <c r="G1184" i="2"/>
  <c r="G1185" i="2"/>
  <c r="G1186" i="2"/>
  <c r="G1194" i="2"/>
  <c r="G1195" i="2"/>
  <c r="G1196" i="2"/>
  <c r="G1197" i="2"/>
  <c r="G1198" i="2"/>
  <c r="G1200" i="2"/>
  <c r="G1201" i="2"/>
  <c r="G1202" i="2"/>
  <c r="G1210" i="2"/>
  <c r="G1211" i="2"/>
  <c r="G1212" i="2"/>
  <c r="G1213" i="2"/>
  <c r="G1216" i="2"/>
  <c r="G1217" i="2"/>
  <c r="G1218" i="2"/>
  <c r="G1226" i="2"/>
  <c r="G1227" i="2"/>
  <c r="G1228" i="2"/>
  <c r="G1229" i="2"/>
  <c r="G1230" i="2"/>
  <c r="G1232" i="2"/>
  <c r="G1233" i="2"/>
  <c r="G1234" i="2"/>
  <c r="G1242" i="2"/>
  <c r="G1243" i="2"/>
  <c r="G1244" i="2"/>
  <c r="G1245" i="2"/>
  <c r="G1246" i="2"/>
  <c r="G1248" i="2"/>
  <c r="G1249" i="2"/>
  <c r="G1250" i="2"/>
  <c r="G1258" i="2"/>
  <c r="G1259" i="2"/>
  <c r="G1260" i="2"/>
  <c r="G1261" i="2"/>
  <c r="G1262" i="2"/>
  <c r="G1264" i="2"/>
  <c r="G1265" i="2"/>
  <c r="G1266" i="2"/>
  <c r="G1274" i="2"/>
  <c r="G1275" i="2"/>
  <c r="G1276" i="2"/>
  <c r="G1277" i="2"/>
  <c r="G1278" i="2"/>
  <c r="G1280" i="2"/>
  <c r="G1281" i="2"/>
  <c r="G1282" i="2"/>
  <c r="G1290" i="2"/>
  <c r="G1291" i="2"/>
  <c r="G1292" i="2"/>
  <c r="G1293" i="2"/>
  <c r="G1294" i="2"/>
  <c r="G1296" i="2"/>
  <c r="G1297" i="2"/>
  <c r="G1298" i="2"/>
  <c r="G1306" i="2"/>
  <c r="G1307" i="2"/>
  <c r="G1308" i="2"/>
  <c r="G1309" i="2"/>
  <c r="G1310" i="2"/>
  <c r="G1312" i="2"/>
  <c r="G1313" i="2"/>
  <c r="G1314" i="2"/>
  <c r="G1322" i="2"/>
  <c r="G1323" i="2"/>
  <c r="G1324" i="2"/>
  <c r="G1325" i="2"/>
  <c r="G1326" i="2"/>
  <c r="G1328" i="2"/>
  <c r="G1329" i="2"/>
  <c r="G1330" i="2"/>
  <c r="G1338" i="2"/>
  <c r="G1339" i="2"/>
  <c r="G1340" i="2"/>
  <c r="G1341" i="2"/>
  <c r="G1342" i="2"/>
  <c r="G1343" i="2"/>
  <c r="G1344" i="2"/>
  <c r="G1345" i="2"/>
  <c r="G1346" i="2"/>
  <c r="G1354" i="2"/>
  <c r="G1355" i="2"/>
  <c r="G1356" i="2"/>
  <c r="G1357" i="2"/>
  <c r="G1358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600" i="2"/>
  <c r="G1601" i="2"/>
  <c r="G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2" i="2"/>
  <c r="A3" i="2" a="1"/>
  <c r="A3" i="2" s="1"/>
  <c r="A4" i="2" a="1"/>
  <c r="A4" i="2" s="1"/>
  <c r="A5" i="2" a="1"/>
  <c r="A5" i="2" s="1"/>
  <c r="A6" i="2" a="1"/>
  <c r="A6" i="2" s="1"/>
  <c r="A7" i="2" a="1"/>
  <c r="A7" i="2"/>
  <c r="A8" i="2" a="1"/>
  <c r="A8" i="2"/>
  <c r="A9" i="2" a="1"/>
  <c r="A9" i="2"/>
  <c r="A10" i="2" a="1"/>
  <c r="A10" i="2"/>
  <c r="A11" i="2" a="1"/>
  <c r="A11" i="2" s="1"/>
  <c r="A12" i="2" a="1"/>
  <c r="A12" i="2" s="1"/>
  <c r="A13" i="2" a="1"/>
  <c r="A13" i="2" s="1"/>
  <c r="A14" i="2" a="1"/>
  <c r="A14" i="2" s="1"/>
  <c r="A15" i="2" a="1"/>
  <c r="A15" i="2" s="1"/>
  <c r="A16" i="2" a="1"/>
  <c r="A16" i="2"/>
  <c r="A17" i="2" a="1"/>
  <c r="A17" i="2"/>
  <c r="A18" i="2" a="1"/>
  <c r="A18" i="2"/>
  <c r="A19" i="2" a="1"/>
  <c r="A19" i="2" s="1"/>
  <c r="A20" i="2" a="1"/>
  <c r="A20" i="2" s="1"/>
  <c r="A21" i="2" a="1"/>
  <c r="A21" i="2" s="1"/>
  <c r="A22" i="2" a="1"/>
  <c r="A22" i="2" s="1"/>
  <c r="A23" i="2" a="1"/>
  <c r="A23" i="2"/>
  <c r="A24" i="2" a="1"/>
  <c r="A24" i="2"/>
  <c r="A25" i="2" a="1"/>
  <c r="A25" i="2" s="1"/>
  <c r="A26" i="2" a="1"/>
  <c r="A26" i="2"/>
  <c r="A27" i="2" a="1"/>
  <c r="A27" i="2" s="1"/>
  <c r="A28" i="2" a="1"/>
  <c r="A28" i="2" s="1"/>
  <c r="A29" i="2" a="1"/>
  <c r="A29" i="2" s="1"/>
  <c r="A30" i="2" a="1"/>
  <c r="A30" i="2" s="1"/>
  <c r="A31" i="2" a="1"/>
  <c r="A31" i="2"/>
  <c r="A32" i="2" a="1"/>
  <c r="A32" i="2"/>
  <c r="A33" i="2" a="1"/>
  <c r="A33" i="2"/>
  <c r="A34" i="2" a="1"/>
  <c r="A34" i="2"/>
  <c r="A35" i="2" a="1"/>
  <c r="A35" i="2" s="1"/>
  <c r="A36" i="2" a="1"/>
  <c r="A36" i="2" s="1"/>
  <c r="A37" i="2" a="1"/>
  <c r="A37" i="2" s="1"/>
  <c r="A38" i="2" a="1"/>
  <c r="A38" i="2" s="1"/>
  <c r="A39" i="2" a="1"/>
  <c r="A39" i="2" s="1"/>
  <c r="A40" i="2" a="1"/>
  <c r="A40" i="2"/>
  <c r="A41" i="2" a="1"/>
  <c r="A41" i="2"/>
  <c r="A42" i="2" a="1"/>
  <c r="A42" i="2"/>
  <c r="A43" i="2" a="1"/>
  <c r="A43" i="2" s="1"/>
  <c r="A44" i="2" a="1"/>
  <c r="A44" i="2" s="1"/>
  <c r="A45" i="2" a="1"/>
  <c r="A45" i="2" s="1"/>
  <c r="A46" i="2" a="1"/>
  <c r="A46" i="2" s="1"/>
  <c r="A47" i="2" a="1"/>
  <c r="A47" i="2" s="1"/>
  <c r="A48" i="2" a="1"/>
  <c r="A48" i="2"/>
  <c r="A49" i="2" a="1"/>
  <c r="A49" i="2" s="1"/>
  <c r="A50" i="2" a="1"/>
  <c r="A50" i="2" s="1"/>
  <c r="A51" i="2" a="1"/>
  <c r="A51" i="2" s="1"/>
  <c r="A52" i="2" a="1"/>
  <c r="A52" i="2" s="1"/>
  <c r="A53" i="2" a="1"/>
  <c r="A53" i="2" s="1"/>
  <c r="A54" i="2" a="1"/>
  <c r="A54" i="2" s="1"/>
  <c r="A55" i="2" a="1"/>
  <c r="A55" i="2"/>
  <c r="A56" i="2" a="1"/>
  <c r="A56" i="2"/>
  <c r="A57" i="2" a="1"/>
  <c r="A57" i="2" s="1"/>
  <c r="A58" i="2" a="1"/>
  <c r="A58" i="2" s="1"/>
  <c r="A59" i="2" a="1"/>
  <c r="A59" i="2" s="1"/>
  <c r="A60" i="2" a="1"/>
  <c r="A60" i="2" s="1"/>
  <c r="A61" i="2" a="1"/>
  <c r="A61" i="2" s="1"/>
  <c r="A62" i="2" a="1"/>
  <c r="A62" i="2" s="1"/>
  <c r="A63" i="2" a="1"/>
  <c r="A63" i="2" s="1"/>
  <c r="A64" i="2" a="1"/>
  <c r="A64" i="2" s="1"/>
  <c r="A65" i="2" a="1"/>
  <c r="A65" i="2"/>
  <c r="A66" i="2" a="1"/>
  <c r="A66" i="2"/>
  <c r="A67" i="2" a="1"/>
  <c r="A67" i="2" s="1"/>
  <c r="A68" i="2" a="1"/>
  <c r="A68" i="2" s="1"/>
  <c r="A69" i="2" a="1"/>
  <c r="A69" i="2" s="1"/>
  <c r="A70" i="2" a="1"/>
  <c r="A70" i="2" s="1"/>
  <c r="A71" i="2" a="1"/>
  <c r="A71" i="2" s="1"/>
  <c r="A72" i="2" a="1"/>
  <c r="A72" i="2"/>
  <c r="A73" i="2" a="1"/>
  <c r="A73" i="2"/>
  <c r="A74" i="2" a="1"/>
  <c r="A74" i="2"/>
  <c r="A75" i="2" a="1"/>
  <c r="A75" i="2" s="1"/>
  <c r="A76" i="2" a="1"/>
  <c r="A76" i="2" s="1"/>
  <c r="A77" i="2" a="1"/>
  <c r="A77" i="2" s="1"/>
  <c r="A78" i="2" a="1"/>
  <c r="A78" i="2" s="1"/>
  <c r="A79" i="2" a="1"/>
  <c r="A79" i="2" s="1"/>
  <c r="A80" i="2" a="1"/>
  <c r="A80" i="2" s="1"/>
  <c r="A81" i="2" a="1"/>
  <c r="A81" i="2" s="1"/>
  <c r="A82" i="2" a="1"/>
  <c r="A82" i="2"/>
  <c r="A83" i="2" a="1"/>
  <c r="A83" i="2" s="1"/>
  <c r="A84" i="2" a="1"/>
  <c r="A84" i="2" s="1"/>
  <c r="A85" i="2" a="1"/>
  <c r="A85" i="2" s="1"/>
  <c r="A86" i="2" a="1"/>
  <c r="A86" i="2" s="1"/>
  <c r="A87" i="2" a="1"/>
  <c r="A87" i="2" s="1"/>
  <c r="A88" i="2" a="1"/>
  <c r="A88" i="2" s="1"/>
  <c r="A89" i="2" a="1"/>
  <c r="A89" i="2" s="1"/>
  <c r="A90" i="2" a="1"/>
  <c r="A90" i="2" s="1"/>
  <c r="A91" i="2" a="1"/>
  <c r="A91" i="2" s="1"/>
  <c r="A92" i="2" a="1"/>
  <c r="A92" i="2" s="1"/>
  <c r="A93" i="2" a="1"/>
  <c r="A93" i="2" s="1"/>
  <c r="A94" i="2" a="1"/>
  <c r="A94" i="2" s="1"/>
  <c r="A95" i="2" a="1"/>
  <c r="A95" i="2"/>
  <c r="A96" i="2" a="1"/>
  <c r="A96" i="2"/>
  <c r="A97" i="2" a="1"/>
  <c r="A97" i="2" s="1"/>
  <c r="A98" i="2" a="1"/>
  <c r="A98" i="2" s="1"/>
  <c r="A99" i="2" a="1"/>
  <c r="A99" i="2" s="1"/>
  <c r="A100" i="2" a="1"/>
  <c r="A100" i="2" s="1"/>
  <c r="A101" i="2" a="1"/>
  <c r="A101" i="2" s="1"/>
  <c r="A102" i="2" a="1"/>
  <c r="A102" i="2" s="1"/>
  <c r="A103" i="2" a="1"/>
  <c r="A103" i="2" s="1"/>
  <c r="A104" i="2" a="1"/>
  <c r="A104" i="2"/>
  <c r="A105" i="2" a="1"/>
  <c r="A105" i="2"/>
  <c r="A106" i="2" a="1"/>
  <c r="A106" i="2"/>
  <c r="A107" i="2" a="1"/>
  <c r="A107" i="2" s="1"/>
  <c r="A108" i="2" a="1"/>
  <c r="A108" i="2" s="1"/>
  <c r="A109" i="2" a="1"/>
  <c r="A109" i="2" s="1"/>
  <c r="A110" i="2" a="1"/>
  <c r="A110" i="2" s="1"/>
  <c r="A111" i="2" a="1"/>
  <c r="A111" i="2" s="1"/>
  <c r="A112" i="2" a="1"/>
  <c r="A112" i="2" s="1"/>
  <c r="A113" i="2" a="1"/>
  <c r="A113" i="2" s="1"/>
  <c r="A114" i="2" a="1"/>
  <c r="A114" i="2"/>
  <c r="A115" i="2" a="1"/>
  <c r="A115" i="2" s="1"/>
  <c r="A116" i="2" a="1"/>
  <c r="A116" i="2" s="1"/>
  <c r="A117" i="2" a="1"/>
  <c r="A117" i="2" s="1"/>
  <c r="A118" i="2" a="1"/>
  <c r="A118" i="2" s="1"/>
  <c r="A119" i="2" a="1"/>
  <c r="A119" i="2"/>
  <c r="A120" i="2" a="1"/>
  <c r="A120" i="2"/>
  <c r="A121" i="2" a="1"/>
  <c r="A121" i="2" s="1"/>
  <c r="A122" i="2" a="1"/>
  <c r="A122" i="2" s="1"/>
  <c r="A123" i="2" a="1"/>
  <c r="A123" i="2" s="1"/>
  <c r="A124" i="2" a="1"/>
  <c r="A124" i="2" s="1"/>
  <c r="A125" i="2" a="1"/>
  <c r="A125" i="2" s="1"/>
  <c r="A126" i="2" a="1"/>
  <c r="A126" i="2" s="1"/>
  <c r="A127" i="2" a="1"/>
  <c r="A127" i="2" s="1"/>
  <c r="A128" i="2" a="1"/>
  <c r="A128" i="2"/>
  <c r="A129" i="2" a="1"/>
  <c r="A129" i="2"/>
  <c r="A130" i="2" a="1"/>
  <c r="A130" i="2"/>
  <c r="A131" i="2" a="1"/>
  <c r="A131" i="2" s="1"/>
  <c r="A132" i="2" a="1"/>
  <c r="A132" i="2" s="1"/>
  <c r="A133" i="2" a="1"/>
  <c r="A133" i="2" s="1"/>
  <c r="A134" i="2" a="1"/>
  <c r="A134" i="2" s="1"/>
  <c r="A135" i="2" a="1"/>
  <c r="A135" i="2" s="1"/>
  <c r="A136" i="2" a="1"/>
  <c r="A136" i="2"/>
  <c r="A137" i="2" a="1"/>
  <c r="A137" i="2"/>
  <c r="A138" i="2" a="1"/>
  <c r="A138" i="2"/>
  <c r="A139" i="2" a="1"/>
  <c r="A139" i="2" s="1"/>
  <c r="A140" i="2" a="1"/>
  <c r="A140" i="2" s="1"/>
  <c r="A141" i="2" a="1"/>
  <c r="A141" i="2" s="1"/>
  <c r="A142" i="2" a="1"/>
  <c r="A142" i="2" s="1"/>
  <c r="A143" i="2" a="1"/>
  <c r="A143" i="2" s="1"/>
  <c r="A144" i="2" a="1"/>
  <c r="A144" i="2"/>
  <c r="A145" i="2" a="1"/>
  <c r="A145" i="2" s="1"/>
  <c r="A146" i="2" a="1"/>
  <c r="A146" i="2"/>
  <c r="A147" i="2" a="1"/>
  <c r="A147" i="2" s="1"/>
  <c r="A148" i="2" a="1"/>
  <c r="A148" i="2" s="1"/>
  <c r="A149" i="2" a="1"/>
  <c r="A149" i="2" s="1"/>
  <c r="A150" i="2" a="1"/>
  <c r="A150" i="2" s="1"/>
  <c r="A151" i="2" a="1"/>
  <c r="A151" i="2"/>
  <c r="A152" i="2" a="1"/>
  <c r="A152" i="2"/>
  <c r="A153" i="2" a="1"/>
  <c r="A153" i="2" s="1"/>
  <c r="A154" i="2" a="1"/>
  <c r="A154" i="2"/>
  <c r="A155" i="2" a="1"/>
  <c r="A155" i="2" s="1"/>
  <c r="A156" i="2" a="1"/>
  <c r="A156" i="2" s="1"/>
  <c r="A157" i="2" a="1"/>
  <c r="A157" i="2" s="1"/>
  <c r="A158" i="2" a="1"/>
  <c r="A158" i="2" s="1"/>
  <c r="A159" i="2" a="1"/>
  <c r="A159" i="2" s="1"/>
  <c r="A160" i="2" a="1"/>
  <c r="A160" i="2" s="1"/>
  <c r="A161" i="2" a="1"/>
  <c r="A161" i="2" s="1"/>
  <c r="A162" i="2" a="1"/>
  <c r="A162" i="2"/>
  <c r="A163" i="2" a="1"/>
  <c r="A163" i="2" s="1"/>
  <c r="A164" i="2" a="1"/>
  <c r="A164" i="2" s="1"/>
  <c r="A165" i="2" a="1"/>
  <c r="A165" i="2" s="1"/>
  <c r="A166" i="2" a="1"/>
  <c r="A166" i="2" s="1"/>
  <c r="A167" i="2" a="1"/>
  <c r="A167" i="2" s="1"/>
  <c r="A168" i="2" a="1"/>
  <c r="A168" i="2"/>
  <c r="A169" i="2" a="1"/>
  <c r="A169" i="2"/>
  <c r="A170" i="2" a="1"/>
  <c r="A170" i="2"/>
  <c r="A171" i="2" a="1"/>
  <c r="A171" i="2" s="1"/>
  <c r="A172" i="2" a="1"/>
  <c r="A172" i="2" s="1"/>
  <c r="A173" i="2" a="1"/>
  <c r="A173" i="2" s="1"/>
  <c r="A174" i="2" a="1"/>
  <c r="A174" i="2" s="1"/>
  <c r="A175" i="2" a="1"/>
  <c r="A175" i="2" s="1"/>
  <c r="A176" i="2" a="1"/>
  <c r="A176" i="2"/>
  <c r="A177" i="2" a="1"/>
  <c r="A177" i="2" s="1"/>
  <c r="A178" i="2" a="1"/>
  <c r="A178" i="2"/>
  <c r="A179" i="2" a="1"/>
  <c r="A179" i="2" s="1"/>
  <c r="A180" i="2" a="1"/>
  <c r="A180" i="2" s="1"/>
  <c r="A181" i="2" a="1"/>
  <c r="A181" i="2" s="1"/>
  <c r="A182" i="2" a="1"/>
  <c r="A182" i="2" s="1"/>
  <c r="A183" i="2" a="1"/>
  <c r="A183" i="2"/>
  <c r="A184" i="2" a="1"/>
  <c r="A184" i="2"/>
  <c r="A185" i="2" a="1"/>
  <c r="A185" i="2" s="1"/>
  <c r="A186" i="2" a="1"/>
  <c r="A186" i="2"/>
  <c r="A187" i="2" a="1"/>
  <c r="A187" i="2" s="1"/>
  <c r="A188" i="2" a="1"/>
  <c r="A188" i="2" s="1"/>
  <c r="A189" i="2" a="1"/>
  <c r="A189" i="2" s="1"/>
  <c r="A190" i="2" a="1"/>
  <c r="A190" i="2" s="1"/>
  <c r="A191" i="2" a="1"/>
  <c r="A191" i="2"/>
  <c r="A192" i="2" a="1"/>
  <c r="A192" i="2" s="1"/>
  <c r="A193" i="2" a="1"/>
  <c r="A193" i="2" s="1"/>
  <c r="A194" i="2" a="1"/>
  <c r="A194" i="2" s="1"/>
  <c r="A195" i="2" a="1"/>
  <c r="A195" i="2" s="1"/>
  <c r="A196" i="2" a="1"/>
  <c r="A196" i="2" s="1"/>
  <c r="A197" i="2" a="1"/>
  <c r="A197" i="2" s="1"/>
  <c r="A198" i="2" a="1"/>
  <c r="A198" i="2" s="1"/>
  <c r="A199" i="2" a="1"/>
  <c r="A199" i="2" s="1"/>
  <c r="A200" i="2" a="1"/>
  <c r="A200" i="2"/>
  <c r="A201" i="2" a="1"/>
  <c r="A201" i="2"/>
  <c r="A202" i="2" a="1"/>
  <c r="A202" i="2"/>
  <c r="A203" i="2" a="1"/>
  <c r="A203" i="2" s="1"/>
  <c r="A204" i="2" a="1"/>
  <c r="A204" i="2" s="1"/>
  <c r="A205" i="2" a="1"/>
  <c r="A205" i="2" s="1"/>
  <c r="A206" i="2" a="1"/>
  <c r="A206" i="2" s="1"/>
  <c r="A207" i="2" a="1"/>
  <c r="A207" i="2" s="1"/>
  <c r="A208" i="2" a="1"/>
  <c r="A208" i="2" s="1"/>
  <c r="A209" i="2" a="1"/>
  <c r="A209" i="2" s="1"/>
  <c r="A210" i="2" a="1"/>
  <c r="A210" i="2"/>
  <c r="A211" i="2" a="1"/>
  <c r="A211" i="2" s="1"/>
  <c r="A212" i="2" a="1"/>
  <c r="A212" i="2" s="1"/>
  <c r="A213" i="2" a="1"/>
  <c r="A213" i="2" s="1"/>
  <c r="A214" i="2" a="1"/>
  <c r="A214" i="2" s="1"/>
  <c r="A215" i="2" a="1"/>
  <c r="A215" i="2"/>
  <c r="A216" i="2" a="1"/>
  <c r="A216" i="2" s="1"/>
  <c r="A217" i="2" a="1"/>
  <c r="A217" i="2" s="1"/>
  <c r="A218" i="2" a="1"/>
  <c r="A218" i="2" s="1"/>
  <c r="A219" i="2" a="1"/>
  <c r="A219" i="2" s="1"/>
  <c r="A220" i="2" a="1"/>
  <c r="A220" i="2" s="1"/>
  <c r="A221" i="2" a="1"/>
  <c r="A221" i="2" s="1"/>
  <c r="A222" i="2" a="1"/>
  <c r="A222" i="2" s="1"/>
  <c r="A223" i="2" a="1"/>
  <c r="A223" i="2"/>
  <c r="A224" i="2" a="1"/>
  <c r="A224" i="2"/>
  <c r="A225" i="2" a="1"/>
  <c r="A225" i="2"/>
  <c r="A226" i="2" a="1"/>
  <c r="A226" i="2"/>
  <c r="A227" i="2" a="1"/>
  <c r="A227" i="2" s="1"/>
  <c r="A228" i="2" a="1"/>
  <c r="A228" i="2" s="1"/>
  <c r="A229" i="2" a="1"/>
  <c r="A229" i="2" s="1"/>
  <c r="A230" i="2" a="1"/>
  <c r="A230" i="2" s="1"/>
  <c r="A231" i="2" a="1"/>
  <c r="A231" i="2" s="1"/>
  <c r="A232" i="2" a="1"/>
  <c r="A232" i="2"/>
  <c r="A233" i="2" a="1"/>
  <c r="A233" i="2"/>
  <c r="A234" i="2" a="1"/>
  <c r="A234" i="2"/>
  <c r="A235" i="2" a="1"/>
  <c r="A235" i="2" s="1"/>
  <c r="A236" i="2" a="1"/>
  <c r="A236" i="2" s="1"/>
  <c r="A237" i="2" a="1"/>
  <c r="A237" i="2" s="1"/>
  <c r="A238" i="2" a="1"/>
  <c r="A238" i="2" s="1"/>
  <c r="A239" i="2" a="1"/>
  <c r="A239" i="2" s="1"/>
  <c r="A240" i="2" a="1"/>
  <c r="A240" i="2" s="1"/>
  <c r="A241" i="2" a="1"/>
  <c r="A241" i="2" s="1"/>
  <c r="A242" i="2" a="1"/>
  <c r="A242" i="2" s="1"/>
  <c r="A243" i="2" a="1"/>
  <c r="A243" i="2" s="1"/>
  <c r="A244" i="2" a="1"/>
  <c r="A244" i="2" s="1"/>
  <c r="A245" i="2" a="1"/>
  <c r="A245" i="2" s="1"/>
  <c r="A246" i="2" a="1"/>
  <c r="A246" i="2" s="1"/>
  <c r="A247" i="2" a="1"/>
  <c r="A247" i="2"/>
  <c r="A248" i="2" a="1"/>
  <c r="A248" i="2"/>
  <c r="A249" i="2" a="1"/>
  <c r="A249" i="2" s="1"/>
  <c r="A250" i="2" a="1"/>
  <c r="A250" i="2" s="1"/>
  <c r="A251" i="2" a="1"/>
  <c r="A251" i="2" s="1"/>
  <c r="A252" i="2" a="1"/>
  <c r="A252" i="2" s="1"/>
  <c r="A253" i="2" a="1"/>
  <c r="A253" i="2" s="1"/>
  <c r="A254" i="2" a="1"/>
  <c r="A254" i="2" s="1"/>
  <c r="A255" i="2" a="1"/>
  <c r="A255" i="2" s="1"/>
  <c r="A256" i="2" a="1"/>
  <c r="A256" i="2" s="1"/>
  <c r="A257" i="2" a="1"/>
  <c r="A257" i="2"/>
  <c r="A258" i="2" a="1"/>
  <c r="A258" i="2"/>
  <c r="A259" i="2" a="1"/>
  <c r="A259" i="2" s="1"/>
  <c r="A260" i="2" a="1"/>
  <c r="A260" i="2" s="1"/>
  <c r="A261" i="2" a="1"/>
  <c r="A261" i="2" s="1"/>
  <c r="A262" i="2" a="1"/>
  <c r="A262" i="2" s="1"/>
  <c r="A263" i="2" a="1"/>
  <c r="A263" i="2" s="1"/>
  <c r="A264" i="2" a="1"/>
  <c r="A264" i="2"/>
  <c r="A265" i="2" a="1"/>
  <c r="A265" i="2"/>
  <c r="A266" i="2" a="1"/>
  <c r="A266" i="2"/>
  <c r="A267" i="2" a="1"/>
  <c r="A267" i="2" s="1"/>
  <c r="A268" i="2" a="1"/>
  <c r="A268" i="2" s="1"/>
  <c r="A269" i="2" a="1"/>
  <c r="A269" i="2" s="1"/>
  <c r="A270" i="2" a="1"/>
  <c r="A270" i="2" s="1"/>
  <c r="A271" i="2" a="1"/>
  <c r="A271" i="2" s="1"/>
  <c r="A272" i="2" a="1"/>
  <c r="A272" i="2" s="1"/>
  <c r="A273" i="2" a="1"/>
  <c r="A273" i="2" s="1"/>
  <c r="A274" i="2" a="1"/>
  <c r="A274" i="2"/>
  <c r="A275" i="2" a="1"/>
  <c r="A275" i="2" s="1"/>
  <c r="A276" i="2" a="1"/>
  <c r="A276" i="2" s="1"/>
  <c r="A277" i="2" a="1"/>
  <c r="A277" i="2" s="1"/>
  <c r="A278" i="2" a="1"/>
  <c r="A278" i="2" s="1"/>
  <c r="A279" i="2" a="1"/>
  <c r="A279" i="2" s="1"/>
  <c r="A280" i="2" a="1"/>
  <c r="A280" i="2" s="1"/>
  <c r="A281" i="2" a="1"/>
  <c r="A281" i="2" s="1"/>
  <c r="A282" i="2" a="1"/>
  <c r="A282" i="2" s="1"/>
  <c r="A283" i="2" a="1"/>
  <c r="A283" i="2" s="1"/>
  <c r="A284" i="2" a="1"/>
  <c r="A284" i="2" s="1"/>
  <c r="A285" i="2" a="1"/>
  <c r="A285" i="2" s="1"/>
  <c r="A286" i="2" a="1"/>
  <c r="A286" i="2" s="1"/>
  <c r="A287" i="2" a="1"/>
  <c r="A287" i="2"/>
  <c r="A288" i="2" a="1"/>
  <c r="A288" i="2"/>
  <c r="A289" i="2" a="1"/>
  <c r="A289" i="2" s="1"/>
  <c r="A290" i="2" a="1"/>
  <c r="A290" i="2" s="1"/>
  <c r="A291" i="2" a="1"/>
  <c r="A291" i="2" s="1"/>
  <c r="A292" i="2" a="1"/>
  <c r="A292" i="2" s="1"/>
  <c r="A293" i="2" a="1"/>
  <c r="A293" i="2" s="1"/>
  <c r="A294" i="2" a="1"/>
  <c r="A294" i="2" s="1"/>
  <c r="A295" i="2" a="1"/>
  <c r="A295" i="2" s="1"/>
  <c r="A296" i="2" a="1"/>
  <c r="A296" i="2"/>
  <c r="A297" i="2" a="1"/>
  <c r="A297" i="2"/>
  <c r="A298" i="2" a="1"/>
  <c r="A298" i="2"/>
  <c r="A299" i="2" a="1"/>
  <c r="A299" i="2" s="1"/>
  <c r="A300" i="2" a="1"/>
  <c r="A300" i="2" s="1"/>
  <c r="A301" i="2" a="1"/>
  <c r="A301" i="2" s="1"/>
  <c r="A302" i="2" a="1"/>
  <c r="A302" i="2" s="1"/>
  <c r="A303" i="2" a="1"/>
  <c r="A303" i="2" s="1"/>
  <c r="A304" i="2" a="1"/>
  <c r="A304" i="2" s="1"/>
  <c r="A305" i="2" a="1"/>
  <c r="A305" i="2" s="1"/>
  <c r="A306" i="2" a="1"/>
  <c r="A306" i="2"/>
  <c r="A307" i="2" a="1"/>
  <c r="A307" i="2" s="1"/>
  <c r="A308" i="2" a="1"/>
  <c r="A308" i="2" s="1"/>
  <c r="A309" i="2" a="1"/>
  <c r="A309" i="2" s="1"/>
  <c r="A310" i="2" a="1"/>
  <c r="A310" i="2" s="1"/>
  <c r="A311" i="2" a="1"/>
  <c r="A311" i="2"/>
  <c r="A312" i="2" a="1"/>
  <c r="A312" i="2"/>
  <c r="A313" i="2" a="1"/>
  <c r="A313" i="2" s="1"/>
  <c r="A314" i="2" a="1"/>
  <c r="A314" i="2" s="1"/>
  <c r="A315" i="2" a="1"/>
  <c r="A315" i="2" s="1"/>
  <c r="A316" i="2" a="1"/>
  <c r="A316" i="2" s="1"/>
  <c r="A317" i="2" a="1"/>
  <c r="A317" i="2" s="1"/>
  <c r="A318" i="2" a="1"/>
  <c r="A318" i="2" s="1"/>
  <c r="A319" i="2" a="1"/>
  <c r="A319" i="2"/>
  <c r="A320" i="2" a="1"/>
  <c r="A320" i="2"/>
  <c r="A321" i="2" a="1"/>
  <c r="A321" i="2"/>
  <c r="A322" i="2" a="1"/>
  <c r="A322" i="2"/>
  <c r="A323" i="2" a="1"/>
  <c r="A323" i="2" s="1"/>
  <c r="A324" i="2" a="1"/>
  <c r="A324" i="2" s="1"/>
  <c r="A325" i="2" a="1"/>
  <c r="A325" i="2" s="1"/>
  <c r="A326" i="2" a="1"/>
  <c r="A326" i="2" s="1"/>
  <c r="A327" i="2" a="1"/>
  <c r="A327" i="2" s="1"/>
  <c r="A328" i="2" a="1"/>
  <c r="A328" i="2"/>
  <c r="A329" i="2" a="1"/>
  <c r="A329" i="2"/>
  <c r="A330" i="2" a="1"/>
  <c r="A330" i="2"/>
  <c r="A331" i="2" a="1"/>
  <c r="A331" i="2" s="1"/>
  <c r="A332" i="2" a="1"/>
  <c r="A332" i="2" s="1"/>
  <c r="A333" i="2" a="1"/>
  <c r="A333" i="2" s="1"/>
  <c r="A334" i="2" a="1"/>
  <c r="A334" i="2" s="1"/>
  <c r="A335" i="2" a="1"/>
  <c r="A335" i="2" s="1"/>
  <c r="A336" i="2" a="1"/>
  <c r="A336" i="2" s="1"/>
  <c r="A337" i="2" a="1"/>
  <c r="A337" i="2" s="1"/>
  <c r="A338" i="2" a="1"/>
  <c r="A338" i="2" s="1"/>
  <c r="A339" i="2" a="1"/>
  <c r="A339" i="2" s="1"/>
  <c r="A340" i="2" a="1"/>
  <c r="A340" i="2" s="1"/>
  <c r="A341" i="2" a="1"/>
  <c r="A341" i="2" s="1"/>
  <c r="A342" i="2" a="1"/>
  <c r="A342" i="2" s="1"/>
  <c r="A343" i="2" a="1"/>
  <c r="A343" i="2"/>
  <c r="A344" i="2" a="1"/>
  <c r="A344" i="2"/>
  <c r="A345" i="2" a="1"/>
  <c r="A345" i="2" s="1"/>
  <c r="A346" i="2" a="1"/>
  <c r="A346" i="2" s="1"/>
  <c r="A347" i="2" a="1"/>
  <c r="A347" i="2" s="1"/>
  <c r="A348" i="2" a="1"/>
  <c r="A348" i="2" s="1"/>
  <c r="A349" i="2" a="1"/>
  <c r="A349" i="2" s="1"/>
  <c r="A350" i="2" a="1"/>
  <c r="A350" i="2" s="1"/>
  <c r="A351" i="2" a="1"/>
  <c r="A351" i="2" s="1"/>
  <c r="A352" i="2" a="1"/>
  <c r="A352" i="2" s="1"/>
  <c r="A353" i="2" a="1"/>
  <c r="A353" i="2" s="1"/>
  <c r="A354" i="2" a="1"/>
  <c r="A354" i="2"/>
  <c r="A355" i="2" a="1"/>
  <c r="A355" i="2" s="1"/>
  <c r="A356" i="2" a="1"/>
  <c r="A356" i="2" s="1"/>
  <c r="A357" i="2" a="1"/>
  <c r="A357" i="2" s="1"/>
  <c r="A358" i="2" a="1"/>
  <c r="A358" i="2" s="1"/>
  <c r="A359" i="2" a="1"/>
  <c r="A359" i="2" s="1"/>
  <c r="A360" i="2" a="1"/>
  <c r="A360" i="2"/>
  <c r="A361" i="2" a="1"/>
  <c r="A361" i="2"/>
  <c r="A362" i="2" a="1"/>
  <c r="A362" i="2"/>
  <c r="A363" i="2" a="1"/>
  <c r="A363" i="2" s="1"/>
  <c r="A364" i="2" a="1"/>
  <c r="A364" i="2" s="1"/>
  <c r="A365" i="2" a="1"/>
  <c r="A365" i="2" s="1"/>
  <c r="A366" i="2" a="1"/>
  <c r="A366" i="2" s="1"/>
  <c r="A367" i="2" a="1"/>
  <c r="A367" i="2" s="1"/>
  <c r="A368" i="2" a="1"/>
  <c r="A368" i="2" s="1"/>
  <c r="A369" i="2" a="1"/>
  <c r="A369" i="2" s="1"/>
  <c r="A370" i="2" a="1"/>
  <c r="A370" i="2"/>
  <c r="A371" i="2" a="1"/>
  <c r="A371" i="2" s="1"/>
  <c r="A372" i="2" a="1"/>
  <c r="A372" i="2" s="1"/>
  <c r="A373" i="2" a="1"/>
  <c r="A373" i="2" s="1"/>
  <c r="A374" i="2" a="1"/>
  <c r="A374" i="2" s="1"/>
  <c r="A375" i="2" a="1"/>
  <c r="A375" i="2" s="1"/>
  <c r="A376" i="2" a="1"/>
  <c r="A376" i="2" s="1"/>
  <c r="A377" i="2" a="1"/>
  <c r="A377" i="2" s="1"/>
  <c r="A378" i="2" a="1"/>
  <c r="A378" i="2" s="1"/>
  <c r="A379" i="2" a="1"/>
  <c r="A379" i="2" s="1"/>
  <c r="A380" i="2" a="1"/>
  <c r="A380" i="2" s="1"/>
  <c r="A381" i="2" a="1"/>
  <c r="A381" i="2" s="1"/>
  <c r="A382" i="2" a="1"/>
  <c r="A382" i="2" s="1"/>
  <c r="A383" i="2" a="1"/>
  <c r="A383" i="2"/>
  <c r="A384" i="2" a="1"/>
  <c r="A384" i="2"/>
  <c r="A385" i="2" a="1"/>
  <c r="A385" i="2"/>
  <c r="A386" i="2" a="1"/>
  <c r="A386" i="2" s="1"/>
  <c r="A387" i="2" a="1"/>
  <c r="A387" i="2" s="1"/>
  <c r="A388" i="2" a="1"/>
  <c r="A388" i="2" s="1"/>
  <c r="A389" i="2" a="1"/>
  <c r="A389" i="2" s="1"/>
  <c r="A390" i="2" a="1"/>
  <c r="A390" i="2" s="1"/>
  <c r="A391" i="2" a="1"/>
  <c r="A391" i="2" s="1"/>
  <c r="A392" i="2" a="1"/>
  <c r="A392" i="2"/>
  <c r="A393" i="2" a="1"/>
  <c r="A393" i="2"/>
  <c r="A394" i="2" a="1"/>
  <c r="A394" i="2"/>
  <c r="A395" i="2" a="1"/>
  <c r="A395" i="2" s="1"/>
  <c r="A396" i="2" a="1"/>
  <c r="A396" i="2" s="1"/>
  <c r="A397" i="2" a="1"/>
  <c r="A397" i="2" s="1"/>
  <c r="A398" i="2" a="1"/>
  <c r="A398" i="2" s="1"/>
  <c r="A399" i="2" a="1"/>
  <c r="A399" i="2" s="1"/>
  <c r="A400" i="2" a="1"/>
  <c r="A400" i="2" s="1"/>
  <c r="A401" i="2" a="1"/>
  <c r="A401" i="2" s="1"/>
  <c r="A402" i="2" a="1"/>
  <c r="A402" i="2" s="1"/>
  <c r="A403" i="2" a="1"/>
  <c r="A403" i="2" s="1"/>
  <c r="A404" i="2" a="1"/>
  <c r="A404" i="2" s="1"/>
  <c r="A405" i="2" a="1"/>
  <c r="A405" i="2" s="1"/>
  <c r="A406" i="2" a="1"/>
  <c r="A406" i="2" s="1"/>
  <c r="A407" i="2" a="1"/>
  <c r="A407" i="2"/>
  <c r="A408" i="2" a="1"/>
  <c r="A408" i="2"/>
  <c r="A409" i="2" a="1"/>
  <c r="A409" i="2" s="1"/>
  <c r="A410" i="2" a="1"/>
  <c r="A410" i="2" s="1"/>
  <c r="A411" i="2" a="1"/>
  <c r="A411" i="2" s="1"/>
  <c r="A412" i="2" a="1"/>
  <c r="A412" i="2" s="1"/>
  <c r="A413" i="2" a="1"/>
  <c r="A413" i="2" s="1"/>
  <c r="A414" i="2" a="1"/>
  <c r="A414" i="2" s="1"/>
  <c r="A415" i="2" a="1"/>
  <c r="A415" i="2" s="1"/>
  <c r="A416" i="2" a="1"/>
  <c r="A416" i="2"/>
  <c r="A417" i="2" a="1"/>
  <c r="A417" i="2"/>
  <c r="A418" i="2" a="1"/>
  <c r="A418" i="2"/>
  <c r="A419" i="2" a="1"/>
  <c r="A419" i="2" s="1"/>
  <c r="A420" i="2" a="1"/>
  <c r="A420" i="2" s="1"/>
  <c r="A421" i="2" a="1"/>
  <c r="A421" i="2" s="1"/>
  <c r="A422" i="2" a="1"/>
  <c r="A422" i="2" s="1"/>
  <c r="A423" i="2" a="1"/>
  <c r="A423" i="2" s="1"/>
  <c r="A424" i="2" a="1"/>
  <c r="A424" i="2"/>
  <c r="A425" i="2" a="1"/>
  <c r="A425" i="2"/>
  <c r="A426" i="2" a="1"/>
  <c r="A426" i="2"/>
  <c r="A427" i="2" a="1"/>
  <c r="A427" i="2" s="1"/>
  <c r="A428" i="2" a="1"/>
  <c r="A428" i="2" s="1"/>
  <c r="A429" i="2" a="1"/>
  <c r="A429" i="2" s="1"/>
  <c r="A430" i="2" a="1"/>
  <c r="A430" i="2" s="1"/>
  <c r="A431" i="2" a="1"/>
  <c r="A431" i="2" s="1"/>
  <c r="A432" i="2" a="1"/>
  <c r="A432" i="2" s="1"/>
  <c r="A433" i="2" a="1"/>
  <c r="A433" i="2" s="1"/>
  <c r="A434" i="2" a="1"/>
  <c r="A434" i="2"/>
  <c r="A435" i="2" a="1"/>
  <c r="A435" i="2" s="1"/>
  <c r="A436" i="2" a="1"/>
  <c r="A436" i="2" s="1"/>
  <c r="A437" i="2" a="1"/>
  <c r="A437" i="2" s="1"/>
  <c r="A438" i="2" a="1"/>
  <c r="A438" i="2" s="1"/>
  <c r="A439" i="2" a="1"/>
  <c r="A439" i="2" s="1"/>
  <c r="A440" i="2" a="1"/>
  <c r="A440" i="2"/>
  <c r="A441" i="2" a="1"/>
  <c r="A441" i="2" s="1"/>
  <c r="A442" i="2" a="1"/>
  <c r="A442" i="2" s="1"/>
  <c r="A443" i="2" a="1"/>
  <c r="A443" i="2" s="1"/>
  <c r="A444" i="2" a="1"/>
  <c r="A444" i="2" s="1"/>
  <c r="A445" i="2" a="1"/>
  <c r="A445" i="2" s="1"/>
  <c r="A446" i="2" a="1"/>
  <c r="A446" i="2" s="1"/>
  <c r="A447" i="2" a="1"/>
  <c r="A447" i="2"/>
  <c r="A448" i="2" a="1"/>
  <c r="A448" i="2" s="1"/>
  <c r="A449" i="2" a="1"/>
  <c r="A449" i="2" s="1"/>
  <c r="A450" i="2" a="1"/>
  <c r="A450" i="2" s="1"/>
  <c r="A451" i="2" a="1"/>
  <c r="A451" i="2" s="1"/>
  <c r="A452" i="2" a="1"/>
  <c r="A452" i="2" s="1"/>
  <c r="A453" i="2" a="1"/>
  <c r="A453" i="2" s="1"/>
  <c r="A454" i="2" a="1"/>
  <c r="A454" i="2" s="1"/>
  <c r="A455" i="2" a="1"/>
  <c r="A455" i="2" s="1"/>
  <c r="A456" i="2" a="1"/>
  <c r="A456" i="2"/>
  <c r="A457" i="2" a="1"/>
  <c r="A457" i="2"/>
  <c r="A458" i="2" a="1"/>
  <c r="A458" i="2"/>
  <c r="A459" i="2" a="1"/>
  <c r="A459" i="2" s="1"/>
  <c r="A460" i="2" a="1"/>
  <c r="A460" i="2" s="1"/>
  <c r="A461" i="2" a="1"/>
  <c r="A461" i="2" s="1"/>
  <c r="A462" i="2" a="1"/>
  <c r="A462" i="2" s="1"/>
  <c r="A463" i="2" a="1"/>
  <c r="A463" i="2" s="1"/>
  <c r="A464" i="2" a="1"/>
  <c r="A464" i="2" s="1"/>
  <c r="A465" i="2" a="1"/>
  <c r="A465" i="2" s="1"/>
  <c r="A466" i="2" a="1"/>
  <c r="A466" i="2"/>
  <c r="A467" i="2" a="1"/>
  <c r="A467" i="2" s="1"/>
  <c r="A468" i="2" a="1"/>
  <c r="A468" i="2" s="1"/>
  <c r="A469" i="2" a="1"/>
  <c r="A469" i="2" s="1"/>
  <c r="A470" i="2" a="1"/>
  <c r="A470" i="2" s="1"/>
  <c r="A471" i="2" a="1"/>
  <c r="A471" i="2"/>
  <c r="A472" i="2" a="1"/>
  <c r="A472" i="2" s="1"/>
  <c r="A473" i="2" a="1"/>
  <c r="A473" i="2" s="1"/>
  <c r="A474" i="2" a="1"/>
  <c r="A474" i="2" s="1"/>
  <c r="A475" i="2" a="1"/>
  <c r="A475" i="2" s="1"/>
  <c r="A476" i="2" a="1"/>
  <c r="A476" i="2" s="1"/>
  <c r="A477" i="2" a="1"/>
  <c r="A477" i="2" s="1"/>
  <c r="A478" i="2" a="1"/>
  <c r="A478" i="2" s="1"/>
  <c r="A479" i="2" a="1"/>
  <c r="A479" i="2"/>
  <c r="A480" i="2" a="1"/>
  <c r="A480" i="2"/>
  <c r="A481" i="2" a="1"/>
  <c r="A481" i="2"/>
  <c r="A482" i="2" a="1"/>
  <c r="A482" i="2"/>
  <c r="A483" i="2" a="1"/>
  <c r="A483" i="2" s="1"/>
  <c r="A484" i="2" a="1"/>
  <c r="A484" i="2" s="1"/>
  <c r="A485" i="2" a="1"/>
  <c r="A485" i="2" s="1"/>
  <c r="A486" i="2" a="1"/>
  <c r="A486" i="2" s="1"/>
  <c r="A487" i="2" a="1"/>
  <c r="A487" i="2" s="1"/>
  <c r="A488" i="2" a="1"/>
  <c r="A488" i="2"/>
  <c r="A489" i="2" a="1"/>
  <c r="A489" i="2"/>
  <c r="A490" i="2" a="1"/>
  <c r="A490" i="2"/>
  <c r="A491" i="2" a="1"/>
  <c r="A491" i="2" s="1"/>
  <c r="A492" i="2" a="1"/>
  <c r="A492" i="2" s="1"/>
  <c r="A493" i="2" a="1"/>
  <c r="A493" i="2" s="1"/>
  <c r="A494" i="2" a="1"/>
  <c r="A494" i="2" s="1"/>
  <c r="A495" i="2" a="1"/>
  <c r="A495" i="2" s="1"/>
  <c r="A496" i="2" a="1"/>
  <c r="A496" i="2" s="1"/>
  <c r="A497" i="2" a="1"/>
  <c r="A497" i="2" s="1"/>
  <c r="A498" i="2" a="1"/>
  <c r="A498" i="2" s="1"/>
  <c r="A499" i="2" a="1"/>
  <c r="A499" i="2" s="1"/>
  <c r="A500" i="2" a="1"/>
  <c r="A500" i="2" s="1"/>
  <c r="A501" i="2" a="1"/>
  <c r="A501" i="2" s="1"/>
  <c r="A502" i="2" a="1"/>
  <c r="A502" i="2" s="1"/>
  <c r="A503" i="2" a="1"/>
  <c r="A503" i="2"/>
  <c r="A504" i="2" a="1"/>
  <c r="A504" i="2"/>
  <c r="A505" i="2" a="1"/>
  <c r="A505" i="2" s="1"/>
  <c r="A506" i="2" a="1"/>
  <c r="A506" i="2" s="1"/>
  <c r="A507" i="2" a="1"/>
  <c r="A507" i="2" s="1"/>
  <c r="A508" i="2" a="1"/>
  <c r="A508" i="2" s="1"/>
  <c r="A509" i="2" a="1"/>
  <c r="A509" i="2" s="1"/>
  <c r="A510" i="2" a="1"/>
  <c r="A510" i="2" s="1"/>
  <c r="A511" i="2" a="1"/>
  <c r="A511" i="2" s="1"/>
  <c r="A512" i="2" a="1"/>
  <c r="A512" i="2" s="1"/>
  <c r="A513" i="2" a="1"/>
  <c r="A513" i="2"/>
  <c r="A514" i="2" a="1"/>
  <c r="A514" i="2"/>
  <c r="A515" i="2" a="1"/>
  <c r="A515" i="2" s="1"/>
  <c r="A516" i="2" a="1"/>
  <c r="A516" i="2" s="1"/>
  <c r="A517" i="2" a="1"/>
  <c r="A517" i="2" s="1"/>
  <c r="A518" i="2" a="1"/>
  <c r="A518" i="2" s="1"/>
  <c r="A519" i="2" a="1"/>
  <c r="A519" i="2" s="1"/>
  <c r="A520" i="2" a="1"/>
  <c r="A520" i="2"/>
  <c r="A521" i="2" a="1"/>
  <c r="A521" i="2"/>
  <c r="A522" i="2" a="1"/>
  <c r="A522" i="2"/>
  <c r="A523" i="2" a="1"/>
  <c r="A523" i="2" s="1"/>
  <c r="A524" i="2" a="1"/>
  <c r="A524" i="2" s="1"/>
  <c r="A525" i="2" a="1"/>
  <c r="A525" i="2" s="1"/>
  <c r="A526" i="2" a="1"/>
  <c r="A526" i="2" s="1"/>
  <c r="A527" i="2" a="1"/>
  <c r="A527" i="2" s="1"/>
  <c r="A528" i="2" a="1"/>
  <c r="A528" i="2" s="1"/>
  <c r="A529" i="2" a="1"/>
  <c r="A529" i="2" s="1"/>
  <c r="A530" i="2" a="1"/>
  <c r="A530" i="2"/>
  <c r="A531" i="2" a="1"/>
  <c r="A531" i="2" s="1"/>
  <c r="A532" i="2" a="1"/>
  <c r="A532" i="2" s="1"/>
  <c r="A533" i="2" a="1"/>
  <c r="A533" i="2" s="1"/>
  <c r="A534" i="2" a="1"/>
  <c r="A534" i="2" s="1"/>
  <c r="A535" i="2" a="1"/>
  <c r="A535" i="2" s="1"/>
  <c r="A536" i="2" a="1"/>
  <c r="A536" i="2" s="1"/>
  <c r="A537" i="2" a="1"/>
  <c r="A537" i="2" s="1"/>
  <c r="A538" i="2" a="1"/>
  <c r="A538" i="2" s="1"/>
  <c r="A539" i="2" a="1"/>
  <c r="A539" i="2" s="1"/>
  <c r="A540" i="2" a="1"/>
  <c r="A540" i="2" s="1"/>
  <c r="A541" i="2" a="1"/>
  <c r="A541" i="2" s="1"/>
  <c r="A542" i="2" a="1"/>
  <c r="A542" i="2" s="1"/>
  <c r="A543" i="2" a="1"/>
  <c r="A543" i="2"/>
  <c r="A544" i="2" a="1"/>
  <c r="A544" i="2"/>
  <c r="A545" i="2" a="1"/>
  <c r="A545" i="2" s="1"/>
  <c r="A546" i="2" a="1"/>
  <c r="A546" i="2" s="1"/>
  <c r="A547" i="2" a="1"/>
  <c r="A547" i="2" s="1"/>
  <c r="A548" i="2" a="1"/>
  <c r="A548" i="2" s="1"/>
  <c r="A549" i="2" a="1"/>
  <c r="A549" i="2" s="1"/>
  <c r="A550" i="2" a="1"/>
  <c r="A550" i="2" s="1"/>
  <c r="A551" i="2" a="1"/>
  <c r="A551" i="2" s="1"/>
  <c r="A552" i="2" a="1"/>
  <c r="A552" i="2"/>
  <c r="A553" i="2" a="1"/>
  <c r="A553" i="2"/>
  <c r="A554" i="2" a="1"/>
  <c r="A554" i="2"/>
  <c r="A555" i="2" a="1"/>
  <c r="A555" i="2" s="1"/>
  <c r="A556" i="2" a="1"/>
  <c r="A556" i="2" s="1"/>
  <c r="A557" i="2" a="1"/>
  <c r="A557" i="2" s="1"/>
  <c r="A558" i="2" a="1"/>
  <c r="A558" i="2" s="1"/>
  <c r="A559" i="2" a="1"/>
  <c r="A559" i="2" s="1"/>
  <c r="A560" i="2" a="1"/>
  <c r="A560" i="2" s="1"/>
  <c r="A561" i="2" a="1"/>
  <c r="A561" i="2" s="1"/>
  <c r="A562" i="2" a="1"/>
  <c r="A562" i="2"/>
  <c r="A563" i="2" a="1"/>
  <c r="A563" i="2" s="1"/>
  <c r="A564" i="2" a="1"/>
  <c r="A564" i="2" s="1"/>
  <c r="A565" i="2" a="1"/>
  <c r="A565" i="2" s="1"/>
  <c r="A566" i="2" a="1"/>
  <c r="A566" i="2" s="1"/>
  <c r="A567" i="2" a="1"/>
  <c r="A567" i="2"/>
  <c r="A568" i="2" a="1"/>
  <c r="A568" i="2"/>
  <c r="A569" i="2" a="1"/>
  <c r="A569" i="2" s="1"/>
  <c r="A570" i="2" a="1"/>
  <c r="A570" i="2" s="1"/>
  <c r="A571" i="2" a="1"/>
  <c r="A571" i="2" s="1"/>
  <c r="A572" i="2" a="1"/>
  <c r="A572" i="2" s="1"/>
  <c r="A573" i="2" a="1"/>
  <c r="A573" i="2" s="1"/>
  <c r="A574" i="2" a="1"/>
  <c r="A574" i="2" s="1"/>
  <c r="A575" i="2" a="1"/>
  <c r="A575" i="2"/>
  <c r="A576" i="2" a="1"/>
  <c r="A576" i="2"/>
  <c r="A577" i="2" a="1"/>
  <c r="A577" i="2"/>
  <c r="A578" i="2" a="1"/>
  <c r="A578" i="2"/>
  <c r="A579" i="2" a="1"/>
  <c r="A579" i="2" s="1"/>
  <c r="A580" i="2" a="1"/>
  <c r="A580" i="2" s="1"/>
  <c r="A581" i="2" a="1"/>
  <c r="A581" i="2" s="1"/>
  <c r="A582" i="2" a="1"/>
  <c r="A582" i="2" s="1"/>
  <c r="A583" i="2" a="1"/>
  <c r="A583" i="2" s="1"/>
  <c r="A584" i="2" a="1"/>
  <c r="A584" i="2"/>
  <c r="A585" i="2" a="1"/>
  <c r="A585" i="2"/>
  <c r="A586" i="2" a="1"/>
  <c r="A586" i="2"/>
  <c r="A587" i="2" a="1"/>
  <c r="A587" i="2" s="1"/>
  <c r="A588" i="2" a="1"/>
  <c r="A588" i="2" s="1"/>
  <c r="A589" i="2" a="1"/>
  <c r="A589" i="2" s="1"/>
  <c r="A590" i="2" a="1"/>
  <c r="A590" i="2" s="1"/>
  <c r="A591" i="2" a="1"/>
  <c r="A591" i="2" s="1"/>
  <c r="A592" i="2" a="1"/>
  <c r="A592" i="2" s="1"/>
  <c r="A593" i="2" a="1"/>
  <c r="A593" i="2" s="1"/>
  <c r="A594" i="2" a="1"/>
  <c r="A594" i="2" s="1"/>
  <c r="A595" i="2" a="1"/>
  <c r="A595" i="2" s="1"/>
  <c r="A596" i="2" a="1"/>
  <c r="A596" i="2" s="1"/>
  <c r="A597" i="2" a="1"/>
  <c r="A597" i="2" s="1"/>
  <c r="A598" i="2" a="1"/>
  <c r="A598" i="2" s="1"/>
  <c r="A599" i="2" a="1"/>
  <c r="A599" i="2"/>
  <c r="A600" i="2" a="1"/>
  <c r="A600" i="2"/>
  <c r="A601" i="2" a="1"/>
  <c r="A601" i="2" s="1"/>
  <c r="A602" i="2" a="1"/>
  <c r="A602" i="2" s="1"/>
  <c r="A603" i="2" a="1"/>
  <c r="A603" i="2" s="1"/>
  <c r="A604" i="2" a="1"/>
  <c r="A604" i="2" s="1"/>
  <c r="A605" i="2" a="1"/>
  <c r="A605" i="2" s="1"/>
  <c r="A606" i="2" a="1"/>
  <c r="A606" i="2" s="1"/>
  <c r="A607" i="2" a="1"/>
  <c r="A607" i="2" s="1"/>
  <c r="A608" i="2" a="1"/>
  <c r="A608" i="2" s="1"/>
  <c r="A609" i="2" a="1"/>
  <c r="A609" i="2" s="1"/>
  <c r="A610" i="2" a="1"/>
  <c r="A610" i="2"/>
  <c r="A611" i="2" a="1"/>
  <c r="A611" i="2" s="1"/>
  <c r="A612" i="2" a="1"/>
  <c r="A612" i="2" s="1"/>
  <c r="A613" i="2" a="1"/>
  <c r="A613" i="2" s="1"/>
  <c r="A614" i="2" a="1"/>
  <c r="A614" i="2" s="1"/>
  <c r="A615" i="2" a="1"/>
  <c r="A615" i="2" s="1"/>
  <c r="A616" i="2" a="1"/>
  <c r="A616" i="2"/>
  <c r="A617" i="2" a="1"/>
  <c r="A617" i="2"/>
  <c r="A618" i="2" a="1"/>
  <c r="A618" i="2"/>
  <c r="A619" i="2" a="1"/>
  <c r="A619" i="2" s="1"/>
  <c r="A620" i="2" a="1"/>
  <c r="A620" i="2" s="1"/>
  <c r="A621" i="2" a="1"/>
  <c r="A621" i="2" s="1"/>
  <c r="A622" i="2" a="1"/>
  <c r="A622" i="2" s="1"/>
  <c r="A623" i="2" a="1"/>
  <c r="A623" i="2" s="1"/>
  <c r="A624" i="2" a="1"/>
  <c r="A624" i="2" s="1"/>
  <c r="A625" i="2" a="1"/>
  <c r="A625" i="2" s="1"/>
  <c r="A626" i="2" a="1"/>
  <c r="A626" i="2"/>
  <c r="A627" i="2" a="1"/>
  <c r="A627" i="2" s="1"/>
  <c r="A628" i="2" a="1"/>
  <c r="A628" i="2" s="1"/>
  <c r="A629" i="2" a="1"/>
  <c r="A629" i="2" s="1"/>
  <c r="A630" i="2" a="1"/>
  <c r="A630" i="2" s="1"/>
  <c r="A631" i="2" a="1"/>
  <c r="A631" i="2" s="1"/>
  <c r="A632" i="2" a="1"/>
  <c r="A632" i="2" s="1"/>
  <c r="A633" i="2" a="1"/>
  <c r="A633" i="2" s="1"/>
  <c r="A634" i="2" a="1"/>
  <c r="A634" i="2" s="1"/>
  <c r="A635" i="2" a="1"/>
  <c r="A635" i="2" s="1"/>
  <c r="A636" i="2" a="1"/>
  <c r="A636" i="2" s="1"/>
  <c r="A637" i="2" a="1"/>
  <c r="A637" i="2" s="1"/>
  <c r="A638" i="2" a="1"/>
  <c r="A638" i="2" s="1"/>
  <c r="A639" i="2" a="1"/>
  <c r="A639" i="2"/>
  <c r="A640" i="2" a="1"/>
  <c r="A640" i="2"/>
  <c r="A641" i="2" a="1"/>
  <c r="A641" i="2"/>
  <c r="A642" i="2" a="1"/>
  <c r="A642" i="2" s="1"/>
  <c r="A643" i="2" a="1"/>
  <c r="A643" i="2" s="1"/>
  <c r="A644" i="2" a="1"/>
  <c r="A644" i="2" s="1"/>
  <c r="A645" i="2" a="1"/>
  <c r="A645" i="2" s="1"/>
  <c r="A646" i="2" a="1"/>
  <c r="A646" i="2" s="1"/>
  <c r="A647" i="2" a="1"/>
  <c r="A647" i="2" s="1"/>
  <c r="A648" i="2" a="1"/>
  <c r="A648" i="2"/>
  <c r="A649" i="2" a="1"/>
  <c r="A649" i="2"/>
  <c r="A650" i="2" a="1"/>
  <c r="A650" i="2"/>
  <c r="A651" i="2" a="1"/>
  <c r="A651" i="2" s="1"/>
  <c r="A652" i="2" a="1"/>
  <c r="A652" i="2" s="1"/>
  <c r="A653" i="2" a="1"/>
  <c r="A653" i="2" s="1"/>
  <c r="A654" i="2" a="1"/>
  <c r="A654" i="2" s="1"/>
  <c r="A655" i="2" a="1"/>
  <c r="A655" i="2" s="1"/>
  <c r="A656" i="2" a="1"/>
  <c r="A656" i="2" s="1"/>
  <c r="A657" i="2" a="1"/>
  <c r="A657" i="2" s="1"/>
  <c r="A658" i="2" a="1"/>
  <c r="A658" i="2" s="1"/>
  <c r="A659" i="2" a="1"/>
  <c r="A659" i="2" s="1"/>
  <c r="A660" i="2" a="1"/>
  <c r="A660" i="2" s="1"/>
  <c r="A661" i="2" a="1"/>
  <c r="A661" i="2" s="1"/>
  <c r="A662" i="2" a="1"/>
  <c r="A662" i="2" s="1"/>
  <c r="A663" i="2" a="1"/>
  <c r="A663" i="2"/>
  <c r="A664" i="2" a="1"/>
  <c r="A664" i="2"/>
  <c r="A665" i="2" a="1"/>
  <c r="A665" i="2" s="1"/>
  <c r="A666" i="2" a="1"/>
  <c r="A666" i="2" s="1"/>
  <c r="A667" i="2" a="1"/>
  <c r="A667" i="2" s="1"/>
  <c r="A668" i="2" a="1"/>
  <c r="A668" i="2" s="1"/>
  <c r="A669" i="2" a="1"/>
  <c r="A669" i="2" s="1"/>
  <c r="A670" i="2" a="1"/>
  <c r="A670" i="2" s="1"/>
  <c r="A671" i="2" a="1"/>
  <c r="A671" i="2" s="1"/>
  <c r="A672" i="2" a="1"/>
  <c r="A672" i="2"/>
  <c r="A673" i="2" a="1"/>
  <c r="A673" i="2"/>
  <c r="A674" i="2" a="1"/>
  <c r="A674" i="2"/>
  <c r="A675" i="2" a="1"/>
  <c r="A675" i="2" s="1"/>
  <c r="A676" i="2" a="1"/>
  <c r="A676" i="2" s="1"/>
  <c r="A677" i="2" a="1"/>
  <c r="A677" i="2" s="1"/>
  <c r="A678" i="2" a="1"/>
  <c r="A678" i="2" s="1"/>
  <c r="A679" i="2" a="1"/>
  <c r="A679" i="2" s="1"/>
  <c r="A680" i="2" a="1"/>
  <c r="A680" i="2"/>
  <c r="A681" i="2" a="1"/>
  <c r="A681" i="2"/>
  <c r="A682" i="2" a="1"/>
  <c r="A682" i="2"/>
  <c r="A683" i="2" a="1"/>
  <c r="A683" i="2"/>
  <c r="A684" i="2" a="1"/>
  <c r="A684" i="2"/>
  <c r="A685" i="2" a="1"/>
  <c r="A685" i="2" s="1"/>
  <c r="A686" i="2" a="1"/>
  <c r="A686" i="2" s="1"/>
  <c r="A687" i="2" a="1"/>
  <c r="A687" i="2" s="1"/>
  <c r="A688" i="2" a="1"/>
  <c r="A688" i="2"/>
  <c r="A689" i="2" a="1"/>
  <c r="A689" i="2" s="1"/>
  <c r="A690" i="2" a="1"/>
  <c r="A690" i="2" s="1"/>
  <c r="A691" i="2" a="1"/>
  <c r="A691" i="2" s="1"/>
  <c r="A692" i="2" a="1"/>
  <c r="A692" i="2"/>
  <c r="A693" i="2" a="1"/>
  <c r="A693" i="2" s="1"/>
  <c r="A694" i="2" a="1"/>
  <c r="A694" i="2" s="1"/>
  <c r="A695" i="2" a="1"/>
  <c r="A695" i="2" s="1"/>
  <c r="A696" i="2" a="1"/>
  <c r="A696" i="2"/>
  <c r="A697" i="2" a="1"/>
  <c r="A697" i="2"/>
  <c r="A698" i="2" a="1"/>
  <c r="A698" i="2"/>
  <c r="A699" i="2" a="1"/>
  <c r="A699" i="2"/>
  <c r="A700" i="2" a="1"/>
  <c r="A700" i="2"/>
  <c r="A701" i="2" a="1"/>
  <c r="A701" i="2" s="1"/>
  <c r="A702" i="2" a="1"/>
  <c r="A702" i="2" s="1"/>
  <c r="A703" i="2" a="1"/>
  <c r="A703" i="2" s="1"/>
  <c r="A704" i="2" a="1"/>
  <c r="A704" i="2"/>
  <c r="A705" i="2" a="1"/>
  <c r="A705" i="2"/>
  <c r="A706" i="2" a="1"/>
  <c r="A706" i="2"/>
  <c r="A707" i="2" a="1"/>
  <c r="A707" i="2"/>
  <c r="A708" i="2" a="1"/>
  <c r="A708" i="2" s="1"/>
  <c r="A709" i="2" a="1"/>
  <c r="A709" i="2" s="1"/>
  <c r="A710" i="2" a="1"/>
  <c r="A710" i="2" s="1"/>
  <c r="A711" i="2" a="1"/>
  <c r="A711" i="2" s="1"/>
  <c r="A712" i="2" a="1"/>
  <c r="A712" i="2"/>
  <c r="A713" i="2" a="1"/>
  <c r="A713" i="2"/>
  <c r="A714" i="2" a="1"/>
  <c r="A714" i="2"/>
  <c r="A715" i="2" a="1"/>
  <c r="A715" i="2"/>
  <c r="A716" i="2" a="1"/>
  <c r="A716" i="2"/>
  <c r="A717" i="2" a="1"/>
  <c r="A717" i="2" s="1"/>
  <c r="A718" i="2" a="1"/>
  <c r="A718" i="2" s="1"/>
  <c r="A719" i="2" a="1"/>
  <c r="A719" i="2" s="1"/>
  <c r="A720" i="2" a="1"/>
  <c r="A720" i="2" s="1"/>
  <c r="A721" i="2" a="1"/>
  <c r="A721" i="2" s="1"/>
  <c r="A722" i="2" a="1"/>
  <c r="A722" i="2"/>
  <c r="A723" i="2" a="1"/>
  <c r="A723" i="2"/>
  <c r="A724" i="2" a="1"/>
  <c r="A724" i="2"/>
  <c r="A725" i="2" a="1"/>
  <c r="A725" i="2" s="1"/>
  <c r="A726" i="2" a="1"/>
  <c r="A726" i="2" s="1"/>
  <c r="A727" i="2" a="1"/>
  <c r="A727" i="2" s="1"/>
  <c r="A728" i="2" a="1"/>
  <c r="A728" i="2"/>
  <c r="A729" i="2" a="1"/>
  <c r="A729" i="2"/>
  <c r="A730" i="2" a="1"/>
  <c r="A730" i="2"/>
  <c r="A731" i="2" a="1"/>
  <c r="A731" i="2"/>
  <c r="A732" i="2" a="1"/>
  <c r="A732" i="2"/>
  <c r="A733" i="2" a="1"/>
  <c r="A733" i="2" s="1"/>
  <c r="A734" i="2" a="1"/>
  <c r="A734" i="2" s="1"/>
  <c r="A735" i="2" a="1"/>
  <c r="A735" i="2" s="1"/>
  <c r="A736" i="2" a="1"/>
  <c r="A736" i="2"/>
  <c r="A737" i="2" a="1"/>
  <c r="A737" i="2"/>
  <c r="A738" i="2" a="1"/>
  <c r="A738" i="2" s="1"/>
  <c r="A739" i="2" a="1"/>
  <c r="A739" i="2" s="1"/>
  <c r="A740" i="2" a="1"/>
  <c r="A740" i="2" s="1"/>
  <c r="A741" i="2" a="1"/>
  <c r="A741" i="2" s="1"/>
  <c r="A742" i="2" a="1"/>
  <c r="A742" i="2" s="1"/>
  <c r="A743" i="2" a="1"/>
  <c r="A743" i="2" s="1"/>
  <c r="A744" i="2" a="1"/>
  <c r="A744" i="2"/>
  <c r="A745" i="2" a="1"/>
  <c r="A745" i="2"/>
  <c r="A746" i="2" a="1"/>
  <c r="A746" i="2"/>
  <c r="A747" i="2" a="1"/>
  <c r="A747" i="2"/>
  <c r="A748" i="2" a="1"/>
  <c r="A748" i="2"/>
  <c r="A749" i="2" a="1"/>
  <c r="A749" i="2" s="1"/>
  <c r="A750" i="2" a="1"/>
  <c r="A750" i="2" s="1"/>
  <c r="A751" i="2" a="1"/>
  <c r="A751" i="2" s="1"/>
  <c r="A752" i="2" a="1"/>
  <c r="A752" i="2"/>
  <c r="A753" i="2" a="1"/>
  <c r="A753" i="2"/>
  <c r="A754" i="2" a="1"/>
  <c r="A754" i="2"/>
  <c r="A755" i="2" a="1"/>
  <c r="A755" i="2"/>
  <c r="A756" i="2" a="1"/>
  <c r="A756" i="2"/>
  <c r="A757" i="2" a="1"/>
  <c r="A757" i="2" s="1"/>
  <c r="A758" i="2" a="1"/>
  <c r="A758" i="2" s="1"/>
  <c r="A759" i="2" a="1"/>
  <c r="A759" i="2" s="1"/>
  <c r="A760" i="2" a="1"/>
  <c r="A760" i="2"/>
  <c r="A761" i="2" a="1"/>
  <c r="A761" i="2"/>
  <c r="A762" i="2" a="1"/>
  <c r="A762" i="2"/>
  <c r="A763" i="2" a="1"/>
  <c r="A763" i="2"/>
  <c r="A764" i="2" a="1"/>
  <c r="A764" i="2"/>
  <c r="A765" i="2" a="1"/>
  <c r="A765" i="2" s="1"/>
  <c r="A766" i="2" a="1"/>
  <c r="A766" i="2" s="1"/>
  <c r="A767" i="2" a="1"/>
  <c r="A767" i="2" s="1"/>
  <c r="A768" i="2" a="1"/>
  <c r="A768" i="2" s="1"/>
  <c r="A769" i="2" a="1"/>
  <c r="A769" i="2" s="1"/>
  <c r="A770" i="2" a="1"/>
  <c r="A770" i="2" s="1"/>
  <c r="A771" i="2" a="1"/>
  <c r="A771" i="2"/>
  <c r="A772" i="2" a="1"/>
  <c r="A772" i="2"/>
  <c r="A773" i="2" a="1"/>
  <c r="A773" i="2" s="1"/>
  <c r="A774" i="2" a="1"/>
  <c r="A774" i="2" s="1"/>
  <c r="A775" i="2" a="1"/>
  <c r="A775" i="2" s="1"/>
  <c r="A776" i="2" a="1"/>
  <c r="A776" i="2"/>
  <c r="A777" i="2" a="1"/>
  <c r="A777" i="2"/>
  <c r="A778" i="2" a="1"/>
  <c r="A778" i="2"/>
  <c r="A779" i="2" a="1"/>
  <c r="A779" i="2"/>
  <c r="A780" i="2" a="1"/>
  <c r="A780" i="2"/>
  <c r="A781" i="2" a="1"/>
  <c r="A781" i="2" s="1"/>
  <c r="A782" i="2" a="1"/>
  <c r="A782" i="2" s="1"/>
  <c r="A783" i="2" a="1"/>
  <c r="A783" i="2" s="1"/>
  <c r="A784" i="2" a="1"/>
  <c r="A784" i="2"/>
  <c r="A785" i="2" a="1"/>
  <c r="A785" i="2"/>
  <c r="A786" i="2" a="1"/>
  <c r="A786" i="2"/>
  <c r="A787" i="2" a="1"/>
  <c r="A787" i="2" s="1"/>
  <c r="A788" i="2" a="1"/>
  <c r="A788" i="2" s="1"/>
  <c r="A789" i="2" a="1"/>
  <c r="A789" i="2" s="1"/>
  <c r="A790" i="2" a="1"/>
  <c r="A790" i="2" s="1"/>
  <c r="A791" i="2" a="1"/>
  <c r="A791" i="2" s="1"/>
  <c r="A792" i="2" a="1"/>
  <c r="A792" i="2"/>
  <c r="A793" i="2" a="1"/>
  <c r="A793" i="2"/>
  <c r="A794" i="2" a="1"/>
  <c r="A794" i="2"/>
  <c r="A795" i="2" a="1"/>
  <c r="A795" i="2"/>
  <c r="A796" i="2" a="1"/>
  <c r="A796" i="2"/>
  <c r="A797" i="2" a="1"/>
  <c r="A797" i="2" s="1"/>
  <c r="A798" i="2" a="1"/>
  <c r="A798" i="2" s="1"/>
  <c r="A799" i="2" a="1"/>
  <c r="A799" i="2" s="1"/>
  <c r="A800" i="2" a="1"/>
  <c r="A800" i="2" s="1"/>
  <c r="A801" i="2" a="1"/>
  <c r="A801" i="2"/>
  <c r="A802" i="2" a="1"/>
  <c r="A802" i="2"/>
  <c r="A803" i="2" a="1"/>
  <c r="A803" i="2"/>
  <c r="A804" i="2" a="1"/>
  <c r="A804" i="2"/>
  <c r="A805" i="2" a="1"/>
  <c r="A805" i="2" s="1"/>
  <c r="A806" i="2" a="1"/>
  <c r="A806" i="2" s="1"/>
  <c r="A807" i="2" a="1"/>
  <c r="A807" i="2" s="1"/>
  <c r="A808" i="2" a="1"/>
  <c r="A808" i="2"/>
  <c r="A809" i="2" a="1"/>
  <c r="A809" i="2"/>
  <c r="A810" i="2" a="1"/>
  <c r="A810" i="2"/>
  <c r="A811" i="2" a="1"/>
  <c r="A811" i="2"/>
  <c r="A812" i="2" a="1"/>
  <c r="A812" i="2"/>
  <c r="A813" i="2" a="1"/>
  <c r="A813" i="2" s="1"/>
  <c r="A814" i="2" a="1"/>
  <c r="A814" i="2" s="1"/>
  <c r="A815" i="2" a="1"/>
  <c r="A815" i="2" s="1"/>
  <c r="A816" i="2" a="1"/>
  <c r="A816" i="2"/>
  <c r="A817" i="2" a="1"/>
  <c r="A817" i="2" s="1"/>
  <c r="A818" i="2" a="1"/>
  <c r="A818" i="2" s="1"/>
  <c r="A819" i="2" a="1"/>
  <c r="A819" i="2" s="1"/>
  <c r="A820" i="2" a="1"/>
  <c r="A820" i="2"/>
  <c r="A821" i="2" a="1"/>
  <c r="A821" i="2" s="1"/>
  <c r="A822" i="2" a="1"/>
  <c r="A822" i="2" s="1"/>
  <c r="A823" i="2" a="1"/>
  <c r="A823" i="2" s="1"/>
  <c r="A824" i="2" a="1"/>
  <c r="A824" i="2"/>
  <c r="A825" i="2" a="1"/>
  <c r="A825" i="2"/>
  <c r="A826" i="2" a="1"/>
  <c r="A826" i="2"/>
  <c r="A827" i="2" a="1"/>
  <c r="A827" i="2"/>
  <c r="A828" i="2" a="1"/>
  <c r="A828" i="2"/>
  <c r="A829" i="2" a="1"/>
  <c r="A829" i="2" s="1"/>
  <c r="A830" i="2" a="1"/>
  <c r="A830" i="2" s="1"/>
  <c r="A831" i="2" a="1"/>
  <c r="A831" i="2" s="1"/>
  <c r="A832" i="2" a="1"/>
  <c r="A832" i="2"/>
  <c r="A833" i="2" a="1"/>
  <c r="A833" i="2"/>
  <c r="A834" i="2" a="1"/>
  <c r="A834" i="2"/>
  <c r="A835" i="2" a="1"/>
  <c r="A835" i="2"/>
  <c r="A836" i="2" a="1"/>
  <c r="A836" i="2" s="1"/>
  <c r="A837" i="2" a="1"/>
  <c r="A837" i="2" s="1"/>
  <c r="A838" i="2" a="1"/>
  <c r="A838" i="2" s="1"/>
  <c r="A839" i="2" a="1"/>
  <c r="A839" i="2" s="1"/>
  <c r="A840" i="2" a="1"/>
  <c r="A840" i="2"/>
  <c r="A841" i="2" a="1"/>
  <c r="A841" i="2"/>
  <c r="A842" i="2" a="1"/>
  <c r="A842" i="2"/>
  <c r="A843" i="2" a="1"/>
  <c r="A843" i="2"/>
  <c r="A844" i="2" a="1"/>
  <c r="A844" i="2"/>
  <c r="A845" i="2" a="1"/>
  <c r="A845" i="2" s="1"/>
  <c r="A846" i="2" a="1"/>
  <c r="A846" i="2" s="1"/>
  <c r="A847" i="2" a="1"/>
  <c r="A847" i="2" s="1"/>
  <c r="A848" i="2" a="1"/>
  <c r="A848" i="2" s="1"/>
  <c r="A849" i="2" a="1"/>
  <c r="A849" i="2" s="1"/>
  <c r="A850" i="2" a="1"/>
  <c r="A850" i="2"/>
  <c r="A851" i="2" a="1"/>
  <c r="A851" i="2"/>
  <c r="A852" i="2" a="1"/>
  <c r="A852" i="2"/>
  <c r="A853" i="2" a="1"/>
  <c r="A853" i="2" s="1"/>
  <c r="A854" i="2" a="1"/>
  <c r="A854" i="2" s="1"/>
  <c r="A855" i="2" a="1"/>
  <c r="A855" i="2" s="1"/>
  <c r="A856" i="2" a="1"/>
  <c r="A856" i="2"/>
  <c r="A857" i="2" a="1"/>
  <c r="A857" i="2"/>
  <c r="A858" i="2" a="1"/>
  <c r="A858" i="2"/>
  <c r="A859" i="2" a="1"/>
  <c r="A859" i="2"/>
  <c r="A860" i="2" a="1"/>
  <c r="A860" i="2"/>
  <c r="A861" i="2" a="1"/>
  <c r="A861" i="2" s="1"/>
  <c r="A862" i="2" a="1"/>
  <c r="A862" i="2" s="1"/>
  <c r="A863" i="2" a="1"/>
  <c r="A863" i="2" s="1"/>
  <c r="A864" i="2" a="1"/>
  <c r="A864" i="2"/>
  <c r="A865" i="2" a="1"/>
  <c r="A865" i="2"/>
  <c r="A866" i="2" a="1"/>
  <c r="A866" i="2" s="1"/>
  <c r="A867" i="2" a="1"/>
  <c r="A867" i="2" s="1"/>
  <c r="A868" i="2" a="1"/>
  <c r="A868" i="2" s="1"/>
  <c r="A869" i="2" a="1"/>
  <c r="A869" i="2" s="1"/>
  <c r="A870" i="2" a="1"/>
  <c r="A870" i="2" s="1"/>
  <c r="A871" i="2" a="1"/>
  <c r="A871" i="2" s="1"/>
  <c r="A872" i="2" a="1"/>
  <c r="A872" i="2"/>
  <c r="A873" i="2" a="1"/>
  <c r="A873" i="2"/>
  <c r="A874" i="2" a="1"/>
  <c r="A874" i="2"/>
  <c r="A875" i="2" a="1"/>
  <c r="A875" i="2"/>
  <c r="A876" i="2" a="1"/>
  <c r="A876" i="2"/>
  <c r="A877" i="2" a="1"/>
  <c r="A877" i="2" s="1"/>
  <c r="A878" i="2" a="1"/>
  <c r="A878" i="2" s="1"/>
  <c r="A879" i="2" a="1"/>
  <c r="A879" i="2" s="1"/>
  <c r="A880" i="2" a="1"/>
  <c r="A880" i="2"/>
  <c r="A881" i="2" a="1"/>
  <c r="A881" i="2"/>
  <c r="A882" i="2" a="1"/>
  <c r="A882" i="2"/>
  <c r="A883" i="2" a="1"/>
  <c r="A883" i="2"/>
  <c r="A884" i="2" a="1"/>
  <c r="A884" i="2"/>
  <c r="A885" i="2" a="1"/>
  <c r="A885" i="2" s="1"/>
  <c r="A886" i="2" a="1"/>
  <c r="A886" i="2" s="1"/>
  <c r="A887" i="2" a="1"/>
  <c r="A887" i="2" s="1"/>
  <c r="A888" i="2" a="1"/>
  <c r="A888" i="2"/>
  <c r="A889" i="2" a="1"/>
  <c r="A889" i="2"/>
  <c r="A890" i="2" a="1"/>
  <c r="A890" i="2"/>
  <c r="A891" i="2" a="1"/>
  <c r="A891" i="2"/>
  <c r="A892" i="2" a="1"/>
  <c r="A892" i="2"/>
  <c r="A893" i="2" a="1"/>
  <c r="A893" i="2" s="1"/>
  <c r="A894" i="2" a="1"/>
  <c r="A894" i="2" s="1"/>
  <c r="A895" i="2" a="1"/>
  <c r="A895" i="2" s="1"/>
  <c r="A896" i="2" a="1"/>
  <c r="A896" i="2" s="1"/>
  <c r="A897" i="2" a="1"/>
  <c r="A897" i="2" s="1"/>
  <c r="A898" i="2" a="1"/>
  <c r="A898" i="2" s="1"/>
  <c r="A899" i="2" a="1"/>
  <c r="A899" i="2"/>
  <c r="A900" i="2" a="1"/>
  <c r="A900" i="2"/>
  <c r="A901" i="2" a="1"/>
  <c r="A901" i="2" s="1"/>
  <c r="A902" i="2" a="1"/>
  <c r="A902" i="2" s="1"/>
  <c r="A903" i="2" a="1"/>
  <c r="A903" i="2" s="1"/>
  <c r="A904" i="2" a="1"/>
  <c r="A904" i="2"/>
  <c r="A905" i="2" a="1"/>
  <c r="A905" i="2"/>
  <c r="A906" i="2" a="1"/>
  <c r="A906" i="2"/>
  <c r="A907" i="2" a="1"/>
  <c r="A907" i="2"/>
  <c r="A908" i="2" a="1"/>
  <c r="A908" i="2"/>
  <c r="A909" i="2" a="1"/>
  <c r="A909" i="2" s="1"/>
  <c r="A910" i="2" a="1"/>
  <c r="A910" i="2" s="1"/>
  <c r="A911" i="2" a="1"/>
  <c r="A911" i="2" s="1"/>
  <c r="A912" i="2" a="1"/>
  <c r="A912" i="2"/>
  <c r="A913" i="2" a="1"/>
  <c r="A913" i="2"/>
  <c r="A914" i="2" a="1"/>
  <c r="A914" i="2"/>
  <c r="A915" i="2" a="1"/>
  <c r="A915" i="2" s="1"/>
  <c r="A916" i="2" a="1"/>
  <c r="A916" i="2" s="1"/>
  <c r="A917" i="2" a="1"/>
  <c r="A917" i="2" s="1"/>
  <c r="A918" i="2" a="1"/>
  <c r="A918" i="2" s="1"/>
  <c r="A919" i="2" a="1"/>
  <c r="A919" i="2" s="1"/>
  <c r="A920" i="2" a="1"/>
  <c r="A920" i="2"/>
  <c r="A921" i="2" a="1"/>
  <c r="A921" i="2"/>
  <c r="A922" i="2" a="1"/>
  <c r="A922" i="2"/>
  <c r="A923" i="2" a="1"/>
  <c r="A923" i="2"/>
  <c r="A924" i="2" a="1"/>
  <c r="A924" i="2"/>
  <c r="A925" i="2" a="1"/>
  <c r="A925" i="2" s="1"/>
  <c r="A926" i="2" a="1"/>
  <c r="A926" i="2" s="1"/>
  <c r="A927" i="2" a="1"/>
  <c r="A927" i="2" s="1"/>
  <c r="A928" i="2" a="1"/>
  <c r="A928" i="2" s="1"/>
  <c r="A929" i="2" a="1"/>
  <c r="A929" i="2"/>
  <c r="A930" i="2" a="1"/>
  <c r="A930" i="2"/>
  <c r="A931" i="2" a="1"/>
  <c r="A931" i="2"/>
  <c r="A932" i="2" a="1"/>
  <c r="A932" i="2"/>
  <c r="A933" i="2" a="1"/>
  <c r="A933" i="2" s="1"/>
  <c r="A934" i="2" a="1"/>
  <c r="A934" i="2" s="1"/>
  <c r="A935" i="2" a="1"/>
  <c r="A935" i="2" s="1"/>
  <c r="A936" i="2" a="1"/>
  <c r="A936" i="2"/>
  <c r="A937" i="2" a="1"/>
  <c r="A937" i="2"/>
  <c r="A938" i="2" a="1"/>
  <c r="A938" i="2"/>
  <c r="A939" i="2" a="1"/>
  <c r="A939" i="2"/>
  <c r="A940" i="2" a="1"/>
  <c r="A940" i="2"/>
  <c r="A941" i="2" a="1"/>
  <c r="A941" i="2" s="1"/>
  <c r="A942" i="2" a="1"/>
  <c r="A942" i="2" s="1"/>
  <c r="A943" i="2" a="1"/>
  <c r="A943" i="2" s="1"/>
  <c r="A944" i="2" a="1"/>
  <c r="A944" i="2"/>
  <c r="A945" i="2" a="1"/>
  <c r="A945" i="2" s="1"/>
  <c r="A946" i="2" a="1"/>
  <c r="A946" i="2" s="1"/>
  <c r="A947" i="2" a="1"/>
  <c r="A947" i="2" s="1"/>
  <c r="A948" i="2" a="1"/>
  <c r="A948" i="2"/>
  <c r="A949" i="2" a="1"/>
  <c r="A949" i="2" s="1"/>
  <c r="A950" i="2" a="1"/>
  <c r="A950" i="2" s="1"/>
  <c r="A951" i="2" a="1"/>
  <c r="A951" i="2" s="1"/>
  <c r="A952" i="2" a="1"/>
  <c r="A952" i="2"/>
  <c r="A953" i="2" a="1"/>
  <c r="A953" i="2"/>
  <c r="A954" i="2" a="1"/>
  <c r="A954" i="2"/>
  <c r="A955" i="2" a="1"/>
  <c r="A955" i="2"/>
  <c r="A956" i="2" a="1"/>
  <c r="A956" i="2"/>
  <c r="A957" i="2" a="1"/>
  <c r="A957" i="2" s="1"/>
  <c r="A958" i="2" a="1"/>
  <c r="A958" i="2" s="1"/>
  <c r="A959" i="2" a="1"/>
  <c r="A959" i="2" s="1"/>
  <c r="A960" i="2" a="1"/>
  <c r="A960" i="2"/>
  <c r="A961" i="2" a="1"/>
  <c r="A961" i="2"/>
  <c r="A962" i="2" a="1"/>
  <c r="A962" i="2"/>
  <c r="A963" i="2" a="1"/>
  <c r="A963" i="2"/>
  <c r="A964" i="2" a="1"/>
  <c r="A964" i="2" s="1"/>
  <c r="A965" i="2" a="1"/>
  <c r="A965" i="2" s="1"/>
  <c r="A966" i="2" a="1"/>
  <c r="A966" i="2" s="1"/>
  <c r="A967" i="2" a="1"/>
  <c r="A967" i="2" s="1"/>
  <c r="A968" i="2" a="1"/>
  <c r="A968" i="2"/>
  <c r="A969" i="2" a="1"/>
  <c r="A969" i="2"/>
  <c r="A970" i="2" a="1"/>
  <c r="A970" i="2"/>
  <c r="A971" i="2" a="1"/>
  <c r="A971" i="2"/>
  <c r="A972" i="2" a="1"/>
  <c r="A972" i="2"/>
  <c r="A973" i="2" a="1"/>
  <c r="A973" i="2" s="1"/>
  <c r="A974" i="2" a="1"/>
  <c r="A974" i="2" s="1"/>
  <c r="A975" i="2" a="1"/>
  <c r="A975" i="2" s="1"/>
  <c r="A976" i="2" a="1"/>
  <c r="A976" i="2" s="1"/>
  <c r="A977" i="2" a="1"/>
  <c r="A977" i="2" s="1"/>
  <c r="A978" i="2" a="1"/>
  <c r="A978" i="2"/>
  <c r="A979" i="2" a="1"/>
  <c r="A979" i="2"/>
  <c r="A980" i="2" a="1"/>
  <c r="A980" i="2"/>
  <c r="A981" i="2" a="1"/>
  <c r="A981" i="2" s="1"/>
  <c r="A982" i="2" a="1"/>
  <c r="A982" i="2" s="1"/>
  <c r="A983" i="2" a="1"/>
  <c r="A983" i="2" s="1"/>
  <c r="A984" i="2" a="1"/>
  <c r="A984" i="2"/>
  <c r="A985" i="2" a="1"/>
  <c r="A985" i="2"/>
  <c r="A986" i="2" a="1"/>
  <c r="A986" i="2"/>
  <c r="A987" i="2" a="1"/>
  <c r="A987" i="2"/>
  <c r="A988" i="2" a="1"/>
  <c r="A988" i="2"/>
  <c r="A989" i="2" a="1"/>
  <c r="A989" i="2" s="1"/>
  <c r="A990" i="2" a="1"/>
  <c r="A990" i="2" s="1"/>
  <c r="A991" i="2" a="1"/>
  <c r="A991" i="2" s="1"/>
  <c r="A992" i="2" a="1"/>
  <c r="A992" i="2"/>
  <c r="A993" i="2" a="1"/>
  <c r="A993" i="2"/>
  <c r="A994" i="2" a="1"/>
  <c r="A994" i="2" s="1"/>
  <c r="A995" i="2" a="1"/>
  <c r="A995" i="2" s="1"/>
  <c r="A996" i="2" a="1"/>
  <c r="A996" i="2" s="1"/>
  <c r="A997" i="2" a="1"/>
  <c r="A997" i="2" s="1"/>
  <c r="A998" i="2" a="1"/>
  <c r="A998" i="2" s="1"/>
  <c r="A999" i="2" a="1"/>
  <c r="A999" i="2" s="1"/>
  <c r="A1000" i="2" a="1"/>
  <c r="A1000" i="2"/>
  <c r="A1001" i="2" a="1"/>
  <c r="A1001" i="2"/>
  <c r="A1002" i="2" a="1"/>
  <c r="A1002" i="2"/>
  <c r="A1003" i="2" a="1"/>
  <c r="A1003" i="2"/>
  <c r="A1004" i="2" a="1"/>
  <c r="A1004" i="2"/>
  <c r="A1005" i="2" a="1"/>
  <c r="A1005" i="2" s="1"/>
  <c r="A1006" i="2" a="1"/>
  <c r="A1006" i="2" s="1"/>
  <c r="A1007" i="2" a="1"/>
  <c r="A1007" i="2" s="1"/>
  <c r="A1008" i="2" a="1"/>
  <c r="A1008" i="2"/>
  <c r="A1009" i="2" a="1"/>
  <c r="A1009" i="2"/>
  <c r="A1010" i="2" a="1"/>
  <c r="A1010" i="2"/>
  <c r="A1011" i="2" a="1"/>
  <c r="A1011" i="2"/>
  <c r="A1012" i="2" a="1"/>
  <c r="A1012" i="2"/>
  <c r="A1013" i="2" a="1"/>
  <c r="A1013" i="2" s="1"/>
  <c r="A1014" i="2" a="1"/>
  <c r="A1014" i="2" s="1"/>
  <c r="A1015" i="2" a="1"/>
  <c r="A1015" i="2" s="1"/>
  <c r="A1016" i="2" a="1"/>
  <c r="A1016" i="2"/>
  <c r="A1017" i="2" a="1"/>
  <c r="A1017" i="2"/>
  <c r="A1018" i="2" a="1"/>
  <c r="A1018" i="2"/>
  <c r="A1019" i="2" a="1"/>
  <c r="A1019" i="2"/>
  <c r="A1020" i="2" a="1"/>
  <c r="A1020" i="2"/>
  <c r="A1021" i="2" a="1"/>
  <c r="A1021" i="2" s="1"/>
  <c r="A1022" i="2" a="1"/>
  <c r="A1022" i="2" s="1"/>
  <c r="A1023" i="2" a="1"/>
  <c r="A1023" i="2" s="1"/>
  <c r="A1024" i="2" a="1"/>
  <c r="A1024" i="2" s="1"/>
  <c r="A1025" i="2" a="1"/>
  <c r="A1025" i="2" s="1"/>
  <c r="A1026" i="2" a="1"/>
  <c r="A1026" i="2" s="1"/>
  <c r="A1027" i="2" a="1"/>
  <c r="A1027" i="2"/>
  <c r="A1028" i="2" a="1"/>
  <c r="A1028" i="2"/>
  <c r="A1029" i="2" a="1"/>
  <c r="A1029" i="2" s="1"/>
  <c r="A1030" i="2" a="1"/>
  <c r="A1030" i="2" s="1"/>
  <c r="A1031" i="2" a="1"/>
  <c r="A1031" i="2" s="1"/>
  <c r="A1032" i="2" a="1"/>
  <c r="A1032" i="2"/>
  <c r="A1033" i="2" a="1"/>
  <c r="A1033" i="2"/>
  <c r="A1034" i="2" a="1"/>
  <c r="A1034" i="2"/>
  <c r="A1035" i="2" a="1"/>
  <c r="A1035" i="2"/>
  <c r="A1036" i="2" a="1"/>
  <c r="A1036" i="2"/>
  <c r="A1037" i="2" a="1"/>
  <c r="A1037" i="2" s="1"/>
  <c r="A1038" i="2" a="1"/>
  <c r="A1038" i="2" s="1"/>
  <c r="A1039" i="2" a="1"/>
  <c r="A1039" i="2"/>
  <c r="A1040" i="2" a="1"/>
  <c r="A1040" i="2"/>
  <c r="A1041" i="2" a="1"/>
  <c r="A1041" i="2"/>
  <c r="A1042" i="2" a="1"/>
  <c r="A1042" i="2"/>
  <c r="A1043" i="2" a="1"/>
  <c r="A1043" i="2"/>
  <c r="A1044" i="2" a="1"/>
  <c r="A1044" i="2"/>
  <c r="A1045" i="2" a="1"/>
  <c r="A1045" i="2"/>
  <c r="A1046" i="2" a="1"/>
  <c r="A1046" i="2"/>
  <c r="A1047" i="2" a="1"/>
  <c r="A1047" i="2"/>
  <c r="A1048" i="2" a="1"/>
  <c r="A1048" i="2"/>
  <c r="A1049" i="2" a="1"/>
  <c r="A1049" i="2"/>
  <c r="A1050" i="2" a="1"/>
  <c r="A1050" i="2"/>
  <c r="A1051" i="2" a="1"/>
  <c r="A1051" i="2" s="1"/>
  <c r="A1052" i="2" a="1"/>
  <c r="A1052" i="2"/>
  <c r="A1053" i="2" a="1"/>
  <c r="A1053" i="2"/>
  <c r="A1054" i="2" a="1"/>
  <c r="A1054" i="2"/>
  <c r="A1055" i="2" a="1"/>
  <c r="A1055" i="2"/>
  <c r="A1056" i="2" a="1"/>
  <c r="A1056" i="2"/>
  <c r="A1057" i="2" a="1"/>
  <c r="A1057" i="2"/>
  <c r="A1058" i="2" a="1"/>
  <c r="A1058" i="2"/>
  <c r="A1059" i="2" a="1"/>
  <c r="A1059" i="2" s="1"/>
  <c r="A1060" i="2" a="1"/>
  <c r="A1060" i="2"/>
  <c r="A1061" i="2" a="1"/>
  <c r="A1061" i="2"/>
  <c r="A1062" i="2" a="1"/>
  <c r="A1062" i="2"/>
  <c r="A1063" i="2" a="1"/>
  <c r="A1063" i="2"/>
  <c r="A1064" i="2" a="1"/>
  <c r="A1064" i="2"/>
  <c r="A1065" i="2" a="1"/>
  <c r="A1065" i="2"/>
  <c r="A1066" i="2" a="1"/>
  <c r="A1066" i="2"/>
  <c r="A1067" i="2" a="1"/>
  <c r="A1067" i="2" s="1"/>
  <c r="A1068" i="2" a="1"/>
  <c r="A1068" i="2"/>
  <c r="A1069" i="2" a="1"/>
  <c r="A1069" i="2"/>
  <c r="A1070" i="2" a="1"/>
  <c r="A1070" i="2"/>
  <c r="A1071" i="2" a="1"/>
  <c r="A1071" i="2"/>
  <c r="A1072" i="2" a="1"/>
  <c r="A1072" i="2"/>
  <c r="A1073" i="2" a="1"/>
  <c r="A1073" i="2"/>
  <c r="A1074" i="2" a="1"/>
  <c r="A1074" i="2"/>
  <c r="A1075" i="2" a="1"/>
  <c r="A1075" i="2" s="1"/>
  <c r="A1076" i="2" a="1"/>
  <c r="A1076" i="2"/>
  <c r="A1077" i="2" a="1"/>
  <c r="A1077" i="2"/>
  <c r="A1078" i="2" a="1"/>
  <c r="A1078" i="2"/>
  <c r="A1079" i="2" a="1"/>
  <c r="A1079" i="2"/>
  <c r="A1080" i="2" a="1"/>
  <c r="A1080" i="2"/>
  <c r="A1081" i="2" a="1"/>
  <c r="A1081" i="2"/>
  <c r="A1082" i="2" a="1"/>
  <c r="A1082" i="2"/>
  <c r="A1083" i="2" a="1"/>
  <c r="A1083" i="2" s="1"/>
  <c r="A1084" i="2" a="1"/>
  <c r="A1084" i="2"/>
  <c r="A1085" i="2" a="1"/>
  <c r="A1085" i="2"/>
  <c r="A1086" i="2" a="1"/>
  <c r="A1086" i="2"/>
  <c r="A1087" i="2" a="1"/>
  <c r="A1087" i="2"/>
  <c r="A1088" i="2" a="1"/>
  <c r="A1088" i="2"/>
  <c r="A1089" i="2" a="1"/>
  <c r="A1089" i="2"/>
  <c r="A1090" i="2" a="1"/>
  <c r="A1090" i="2"/>
  <c r="A1091" i="2" a="1"/>
  <c r="A1091" i="2" s="1"/>
  <c r="A1092" i="2" a="1"/>
  <c r="A1092" i="2"/>
  <c r="A1093" i="2" a="1"/>
  <c r="A1093" i="2"/>
  <c r="A1094" i="2" a="1"/>
  <c r="A1094" i="2"/>
  <c r="A1095" i="2" a="1"/>
  <c r="A1095" i="2"/>
  <c r="A1096" i="2" a="1"/>
  <c r="A1096" i="2"/>
  <c r="A1097" i="2" a="1"/>
  <c r="A1097" i="2"/>
  <c r="A1098" i="2" a="1"/>
  <c r="A1098" i="2"/>
  <c r="A1099" i="2" a="1"/>
  <c r="A1099" i="2" s="1"/>
  <c r="A1100" i="2" a="1"/>
  <c r="A1100" i="2"/>
  <c r="A1101" i="2" a="1"/>
  <c r="A1101" i="2"/>
  <c r="A1102" i="2" a="1"/>
  <c r="A1102" i="2"/>
  <c r="A1103" i="2" a="1"/>
  <c r="A1103" i="2"/>
  <c r="A1104" i="2" a="1"/>
  <c r="A1104" i="2"/>
  <c r="A1105" i="2" a="1"/>
  <c r="A1105" i="2"/>
  <c r="A1106" i="2" a="1"/>
  <c r="A1106" i="2"/>
  <c r="A1107" i="2" a="1"/>
  <c r="A1107" i="2" s="1"/>
  <c r="A1108" i="2" a="1"/>
  <c r="A1108" i="2"/>
  <c r="A1109" i="2" a="1"/>
  <c r="A1109" i="2"/>
  <c r="A1110" i="2" a="1"/>
  <c r="A1110" i="2"/>
  <c r="A1111" i="2" a="1"/>
  <c r="A1111" i="2"/>
  <c r="A1112" i="2" a="1"/>
  <c r="A1112" i="2"/>
  <c r="A1113" i="2" a="1"/>
  <c r="A1113" i="2"/>
  <c r="A1114" i="2" a="1"/>
  <c r="A1114" i="2"/>
  <c r="A1115" i="2" a="1"/>
  <c r="A1115" i="2" s="1"/>
  <c r="A1116" i="2" a="1"/>
  <c r="A1116" i="2"/>
  <c r="A1117" i="2" a="1"/>
  <c r="A1117" i="2"/>
  <c r="A1118" i="2" a="1"/>
  <c r="A1118" i="2"/>
  <c r="A1119" i="2" a="1"/>
  <c r="A1119" i="2"/>
  <c r="A1120" i="2" a="1"/>
  <c r="A1120" i="2"/>
  <c r="A1121" i="2" a="1"/>
  <c r="A1121" i="2"/>
  <c r="A1122" i="2" a="1"/>
  <c r="A1122" i="2"/>
  <c r="A1123" i="2" a="1"/>
  <c r="A1123" i="2" s="1"/>
  <c r="A1124" i="2" a="1"/>
  <c r="A1124" i="2"/>
  <c r="A1125" i="2" a="1"/>
  <c r="A1125" i="2"/>
  <c r="A1126" i="2" a="1"/>
  <c r="A1126" i="2"/>
  <c r="A1127" i="2" a="1"/>
  <c r="A1127" i="2"/>
  <c r="A1128" i="2" a="1"/>
  <c r="A1128" i="2"/>
  <c r="A1129" i="2" a="1"/>
  <c r="A1129" i="2"/>
  <c r="A1130" i="2" a="1"/>
  <c r="A1130" i="2"/>
  <c r="A1131" i="2" a="1"/>
  <c r="A1131" i="2" s="1"/>
  <c r="A1132" i="2" a="1"/>
  <c r="A1132" i="2"/>
  <c r="A1133" i="2" a="1"/>
  <c r="A1133" i="2"/>
  <c r="A1134" i="2" a="1"/>
  <c r="A1134" i="2"/>
  <c r="A1135" i="2" a="1"/>
  <c r="A1135" i="2"/>
  <c r="A1136" i="2" a="1"/>
  <c r="A1136" i="2"/>
  <c r="A1137" i="2" a="1"/>
  <c r="A1137" i="2"/>
  <c r="A1138" i="2" a="1"/>
  <c r="A1138" i="2"/>
  <c r="A1139" i="2" a="1"/>
  <c r="A1139" i="2" s="1"/>
  <c r="A1140" i="2" a="1"/>
  <c r="A1140" i="2"/>
  <c r="A1141" i="2" a="1"/>
  <c r="A1141" i="2" s="1"/>
  <c r="A1142" i="2" a="1"/>
  <c r="A1142" i="2"/>
  <c r="A1143" i="2" a="1"/>
  <c r="A1143" i="2"/>
  <c r="A1144" i="2" a="1"/>
  <c r="A1144" i="2"/>
  <c r="A1145" i="2" a="1"/>
  <c r="A1145" i="2"/>
  <c r="A1146" i="2" a="1"/>
  <c r="A1146" i="2"/>
  <c r="A1147" i="2" a="1"/>
  <c r="A1147" i="2" s="1"/>
  <c r="A1148" i="2" a="1"/>
  <c r="A1148" i="2"/>
  <c r="A1149" i="2" a="1"/>
  <c r="A1149" i="2" s="1"/>
  <c r="A1150" i="2" a="1"/>
  <c r="A1150" i="2"/>
  <c r="A1151" i="2" a="1"/>
  <c r="A1151" i="2"/>
  <c r="A1152" i="2" a="1"/>
  <c r="A1152" i="2"/>
  <c r="A1153" i="2" a="1"/>
  <c r="A1153" i="2"/>
  <c r="A1154" i="2" a="1"/>
  <c r="A1154" i="2"/>
  <c r="A1155" i="2" a="1"/>
  <c r="A1155" i="2" s="1"/>
  <c r="A1156" i="2" a="1"/>
  <c r="A1156" i="2"/>
  <c r="A1157" i="2" a="1"/>
  <c r="A1157" i="2" s="1"/>
  <c r="A1158" i="2" a="1"/>
  <c r="A1158" i="2"/>
  <c r="A1159" i="2" a="1"/>
  <c r="A1159" i="2"/>
  <c r="A1160" i="2" a="1"/>
  <c r="A1160" i="2"/>
  <c r="A1161" i="2" a="1"/>
  <c r="A1161" i="2"/>
  <c r="A1162" i="2" a="1"/>
  <c r="A1162" i="2"/>
  <c r="A1163" i="2" a="1"/>
  <c r="A1163" i="2" s="1"/>
  <c r="A1164" i="2" a="1"/>
  <c r="A1164" i="2"/>
  <c r="A1165" i="2" a="1"/>
  <c r="A1165" i="2" s="1"/>
  <c r="A1166" i="2" a="1"/>
  <c r="A1166" i="2"/>
  <c r="A1167" i="2" a="1"/>
  <c r="A1167" i="2"/>
  <c r="A1168" i="2" a="1"/>
  <c r="A1168" i="2"/>
  <c r="A1169" i="2" a="1"/>
  <c r="A1169" i="2"/>
  <c r="A1170" i="2" a="1"/>
  <c r="A1170" i="2"/>
  <c r="A1171" i="2" a="1"/>
  <c r="A1171" i="2" s="1"/>
  <c r="A1172" i="2" a="1"/>
  <c r="A1172" i="2" s="1"/>
  <c r="A1173" i="2" a="1"/>
  <c r="A1173" i="2" s="1"/>
  <c r="A1174" i="2" a="1"/>
  <c r="A1174" i="2"/>
  <c r="A1175" i="2" a="1"/>
  <c r="A1175" i="2"/>
  <c r="A1176" i="2" a="1"/>
  <c r="A1176" i="2"/>
  <c r="A1177" i="2" a="1"/>
  <c r="A1177" i="2"/>
  <c r="A1178" i="2" a="1"/>
  <c r="A1178" i="2"/>
  <c r="A1179" i="2" a="1"/>
  <c r="A1179" i="2" s="1"/>
  <c r="A1180" i="2" a="1"/>
  <c r="A1180" i="2" s="1"/>
  <c r="A1181" i="2" a="1"/>
  <c r="A1181" i="2" s="1"/>
  <c r="A1182" i="2" a="1"/>
  <c r="A1182" i="2"/>
  <c r="A1183" i="2" a="1"/>
  <c r="A1183" i="2"/>
  <c r="A1184" i="2" a="1"/>
  <c r="A1184" i="2"/>
  <c r="A1185" i="2" a="1"/>
  <c r="A1185" i="2"/>
  <c r="A1186" i="2" a="1"/>
  <c r="A1186" i="2"/>
  <c r="A1187" i="2" a="1"/>
  <c r="A1187" i="2" s="1"/>
  <c r="A1188" i="2" a="1"/>
  <c r="A1188" i="2" s="1"/>
  <c r="A1189" i="2" a="1"/>
  <c r="A1189" i="2" s="1"/>
  <c r="A1190" i="2" a="1"/>
  <c r="A1190" i="2"/>
  <c r="A1191" i="2" a="1"/>
  <c r="A1191" i="2"/>
  <c r="A1192" i="2" a="1"/>
  <c r="A1192" i="2"/>
  <c r="A1193" i="2" a="1"/>
  <c r="A1193" i="2"/>
  <c r="A1194" i="2" a="1"/>
  <c r="A1194" i="2"/>
  <c r="A1195" i="2" a="1"/>
  <c r="A1195" i="2" s="1"/>
  <c r="A1196" i="2" a="1"/>
  <c r="A1196" i="2" s="1"/>
  <c r="A1197" i="2" a="1"/>
  <c r="A1197" i="2" s="1"/>
  <c r="A1198" i="2" a="1"/>
  <c r="A1198" i="2"/>
  <c r="A1199" i="2" a="1"/>
  <c r="A1199" i="2"/>
  <c r="A1200" i="2" a="1"/>
  <c r="A1200" i="2"/>
  <c r="A1201" i="2" a="1"/>
  <c r="A1201" i="2"/>
  <c r="A1202" i="2" a="1"/>
  <c r="A1202" i="2"/>
  <c r="A1203" i="2" a="1"/>
  <c r="A1203" i="2" s="1"/>
  <c r="A1204" i="2" a="1"/>
  <c r="A1204" i="2" s="1"/>
  <c r="A1205" i="2" a="1"/>
  <c r="A1205" i="2" s="1"/>
  <c r="A1206" i="2" a="1"/>
  <c r="A1206" i="2"/>
  <c r="A1207" i="2" a="1"/>
  <c r="A1207" i="2"/>
  <c r="A1208" i="2" a="1"/>
  <c r="A1208" i="2"/>
  <c r="A1209" i="2" a="1"/>
  <c r="A1209" i="2"/>
  <c r="A1210" i="2" a="1"/>
  <c r="A1210" i="2"/>
  <c r="A1211" i="2" a="1"/>
  <c r="A1211" i="2" s="1"/>
  <c r="A1212" i="2" a="1"/>
  <c r="A1212" i="2" s="1"/>
  <c r="A1213" i="2" a="1"/>
  <c r="A1213" i="2" s="1"/>
  <c r="A1214" i="2" a="1"/>
  <c r="A1214" i="2"/>
  <c r="A1215" i="2" a="1"/>
  <c r="A1215" i="2"/>
  <c r="A1216" i="2" a="1"/>
  <c r="A1216" i="2"/>
  <c r="A1217" i="2" a="1"/>
  <c r="A1217" i="2"/>
  <c r="A1218" i="2" a="1"/>
  <c r="A1218" i="2"/>
  <c r="A1219" i="2" a="1"/>
  <c r="A1219" i="2" s="1"/>
  <c r="A1220" i="2" a="1"/>
  <c r="A1220" i="2" s="1"/>
  <c r="A1221" i="2" a="1"/>
  <c r="A1221" i="2" s="1"/>
  <c r="A1222" i="2" a="1"/>
  <c r="A1222" i="2"/>
  <c r="A1223" i="2" a="1"/>
  <c r="A1223" i="2"/>
  <c r="A1224" i="2" a="1"/>
  <c r="A1224" i="2"/>
  <c r="A1225" i="2" a="1"/>
  <c r="A1225" i="2"/>
  <c r="A1226" i="2" a="1"/>
  <c r="A1226" i="2"/>
  <c r="A1227" i="2" a="1"/>
  <c r="A1227" i="2" s="1"/>
  <c r="A1228" i="2" a="1"/>
  <c r="A1228" i="2" s="1"/>
  <c r="A1229" i="2" a="1"/>
  <c r="A1229" i="2" s="1"/>
  <c r="A1230" i="2" a="1"/>
  <c r="A1230" i="2"/>
  <c r="A1231" i="2" a="1"/>
  <c r="A1231" i="2"/>
  <c r="A1232" i="2" a="1"/>
  <c r="A1232" i="2"/>
  <c r="A1233" i="2" a="1"/>
  <c r="A1233" i="2"/>
  <c r="A1234" i="2" a="1"/>
  <c r="A1234" i="2"/>
  <c r="A1235" i="2" a="1"/>
  <c r="A1235" i="2" s="1"/>
  <c r="A1236" i="2" a="1"/>
  <c r="A1236" i="2" s="1"/>
  <c r="A1237" i="2" a="1"/>
  <c r="A1237" i="2" s="1"/>
  <c r="A1238" i="2" a="1"/>
  <c r="A1238" i="2"/>
  <c r="A1239" i="2" a="1"/>
  <c r="A1239" i="2"/>
  <c r="A1240" i="2" a="1"/>
  <c r="A1240" i="2"/>
  <c r="A1241" i="2" a="1"/>
  <c r="A1241" i="2"/>
  <c r="A1242" i="2" a="1"/>
  <c r="A1242" i="2"/>
  <c r="A1243" i="2" a="1"/>
  <c r="A1243" i="2" s="1"/>
  <c r="A1244" i="2" a="1"/>
  <c r="A1244" i="2" s="1"/>
  <c r="A1245" i="2" a="1"/>
  <c r="A1245" i="2" s="1"/>
  <c r="A1246" i="2" a="1"/>
  <c r="A1246" i="2"/>
  <c r="A1247" i="2" a="1"/>
  <c r="A1247" i="2"/>
  <c r="A1248" i="2" a="1"/>
  <c r="A1248" i="2"/>
  <c r="A1249" i="2" a="1"/>
  <c r="A1249" i="2"/>
  <c r="A1250" i="2" a="1"/>
  <c r="A1250" i="2"/>
  <c r="A1251" i="2" a="1"/>
  <c r="A1251" i="2" s="1"/>
  <c r="A1252" i="2" a="1"/>
  <c r="A1252" i="2" s="1"/>
  <c r="A1253" i="2" a="1"/>
  <c r="A1253" i="2" s="1"/>
  <c r="A1254" i="2" a="1"/>
  <c r="A1254" i="2"/>
  <c r="A1255" i="2" a="1"/>
  <c r="A1255" i="2"/>
  <c r="A1256" i="2" a="1"/>
  <c r="A1256" i="2"/>
  <c r="A1257" i="2" a="1"/>
  <c r="A1257" i="2"/>
  <c r="A1258" i="2" a="1"/>
  <c r="A1258" i="2"/>
  <c r="A1259" i="2" a="1"/>
  <c r="A1259" i="2" s="1"/>
  <c r="A1260" i="2" a="1"/>
  <c r="A1260" i="2" s="1"/>
  <c r="A1261" i="2" a="1"/>
  <c r="A1261" i="2" s="1"/>
  <c r="A1262" i="2" a="1"/>
  <c r="A1262" i="2"/>
  <c r="A1263" i="2" a="1"/>
  <c r="A1263" i="2"/>
  <c r="A1264" i="2" a="1"/>
  <c r="A1264" i="2"/>
  <c r="A1265" i="2" a="1"/>
  <c r="A1265" i="2"/>
  <c r="A1266" i="2" a="1"/>
  <c r="A1266" i="2"/>
  <c r="A1267" i="2" a="1"/>
  <c r="A1267" i="2" s="1"/>
  <c r="A1268" i="2" a="1"/>
  <c r="A1268" i="2" s="1"/>
  <c r="A1269" i="2" a="1"/>
  <c r="A1269" i="2" s="1"/>
  <c r="A1270" i="2" a="1"/>
  <c r="A1270" i="2"/>
  <c r="A1271" i="2" a="1"/>
  <c r="A1271" i="2"/>
  <c r="A1272" i="2" a="1"/>
  <c r="A1272" i="2"/>
  <c r="A1273" i="2" a="1"/>
  <c r="A1273" i="2"/>
  <c r="A1274" i="2" a="1"/>
  <c r="A1274" i="2"/>
  <c r="A1275" i="2" a="1"/>
  <c r="A1275" i="2" s="1"/>
  <c r="A1276" i="2" a="1"/>
  <c r="A1276" i="2" s="1"/>
  <c r="A1277" i="2" a="1"/>
  <c r="A1277" i="2" s="1"/>
  <c r="A1278" i="2" a="1"/>
  <c r="A1278" i="2"/>
  <c r="A1279" i="2" a="1"/>
  <c r="A1279" i="2"/>
  <c r="A1280" i="2" a="1"/>
  <c r="A1280" i="2"/>
  <c r="A1281" i="2" a="1"/>
  <c r="A1281" i="2"/>
  <c r="A1282" i="2" a="1"/>
  <c r="A1282" i="2"/>
  <c r="A1283" i="2" a="1"/>
  <c r="A1283" i="2" s="1"/>
  <c r="A1284" i="2" a="1"/>
  <c r="A1284" i="2" s="1"/>
  <c r="A1285" i="2" a="1"/>
  <c r="A1285" i="2" s="1"/>
  <c r="A1286" i="2" a="1"/>
  <c r="A1286" i="2"/>
  <c r="A1287" i="2" a="1"/>
  <c r="A1287" i="2"/>
  <c r="A1288" i="2" a="1"/>
  <c r="A1288" i="2"/>
  <c r="A1289" i="2" a="1"/>
  <c r="A1289" i="2"/>
  <c r="A1290" i="2" a="1"/>
  <c r="A1290" i="2"/>
  <c r="A1291" i="2" a="1"/>
  <c r="A1291" i="2" s="1"/>
  <c r="A1292" i="2" a="1"/>
  <c r="A1292" i="2" s="1"/>
  <c r="A1293" i="2" a="1"/>
  <c r="A1293" i="2" s="1"/>
  <c r="A1294" i="2" a="1"/>
  <c r="A1294" i="2"/>
  <c r="A1295" i="2" a="1"/>
  <c r="A1295" i="2"/>
  <c r="A1296" i="2" a="1"/>
  <c r="A1296" i="2"/>
  <c r="A1297" i="2" a="1"/>
  <c r="A1297" i="2"/>
  <c r="A1298" i="2" a="1"/>
  <c r="A1298" i="2"/>
  <c r="A1299" i="2" a="1"/>
  <c r="A1299" i="2" s="1"/>
  <c r="A1300" i="2" a="1"/>
  <c r="A1300" i="2" s="1"/>
  <c r="A1301" i="2" a="1"/>
  <c r="A1301" i="2" s="1"/>
  <c r="A1302" i="2" a="1"/>
  <c r="A1302" i="2"/>
  <c r="A1303" i="2" a="1"/>
  <c r="A1303" i="2"/>
  <c r="A1304" i="2" a="1"/>
  <c r="A1304" i="2"/>
  <c r="A1305" i="2" a="1"/>
  <c r="A1305" i="2"/>
  <c r="A1306" i="2" a="1"/>
  <c r="A1306" i="2"/>
  <c r="A1307" i="2" a="1"/>
  <c r="A1307" i="2" s="1"/>
  <c r="A1308" i="2" a="1"/>
  <c r="A1308" i="2" s="1"/>
  <c r="A1309" i="2" a="1"/>
  <c r="A1309" i="2" s="1"/>
  <c r="A1310" i="2" a="1"/>
  <c r="A1310" i="2"/>
  <c r="A1311" i="2" a="1"/>
  <c r="A1311" i="2"/>
  <c r="A1312" i="2" a="1"/>
  <c r="A1312" i="2"/>
  <c r="A1313" i="2" a="1"/>
  <c r="A1313" i="2"/>
  <c r="A1314" i="2" a="1"/>
  <c r="A1314" i="2"/>
  <c r="A1315" i="2" a="1"/>
  <c r="A1315" i="2" s="1"/>
  <c r="A1316" i="2" a="1"/>
  <c r="A1316" i="2" s="1"/>
  <c r="A1317" i="2" a="1"/>
  <c r="A1317" i="2" s="1"/>
  <c r="A1318" i="2" a="1"/>
  <c r="A1318" i="2"/>
  <c r="A1319" i="2" a="1"/>
  <c r="A1319" i="2"/>
  <c r="A1320" i="2" a="1"/>
  <c r="A1320" i="2"/>
  <c r="A1321" i="2" a="1"/>
  <c r="A1321" i="2"/>
  <c r="A1322" i="2" a="1"/>
  <c r="A1322" i="2"/>
  <c r="A1323" i="2" a="1"/>
  <c r="A1323" i="2" s="1"/>
  <c r="A1324" i="2" a="1"/>
  <c r="A1324" i="2" s="1"/>
  <c r="A1325" i="2" a="1"/>
  <c r="A1325" i="2" s="1"/>
  <c r="A1326" i="2" a="1"/>
  <c r="A1326" i="2"/>
  <c r="A1327" i="2" a="1"/>
  <c r="A1327" i="2"/>
  <c r="A1328" i="2" a="1"/>
  <c r="A1328" i="2"/>
  <c r="A1329" i="2" a="1"/>
  <c r="A1329" i="2"/>
  <c r="A1330" i="2" a="1"/>
  <c r="A1330" i="2"/>
  <c r="A1331" i="2" a="1"/>
  <c r="A1331" i="2" s="1"/>
  <c r="A1332" i="2" a="1"/>
  <c r="A1332" i="2" s="1"/>
  <c r="A1333" i="2" a="1"/>
  <c r="A1333" i="2" s="1"/>
  <c r="A1334" i="2" a="1"/>
  <c r="A1334" i="2"/>
  <c r="A1335" i="2" a="1"/>
  <c r="A1335" i="2"/>
  <c r="A1336" i="2" a="1"/>
  <c r="A1336" i="2"/>
  <c r="A1337" i="2" a="1"/>
  <c r="A1337" i="2"/>
  <c r="A1338" i="2" a="1"/>
  <c r="A1338" i="2"/>
  <c r="A1339" i="2" a="1"/>
  <c r="A1339" i="2" s="1"/>
  <c r="A1340" i="2" a="1"/>
  <c r="A1340" i="2" s="1"/>
  <c r="A1341" i="2" a="1"/>
  <c r="A1341" i="2" s="1"/>
  <c r="A1342" i="2" a="1"/>
  <c r="A1342" i="2"/>
  <c r="A1343" i="2" a="1"/>
  <c r="A1343" i="2"/>
  <c r="A1344" i="2" a="1"/>
  <c r="A1344" i="2"/>
  <c r="A1345" i="2" a="1"/>
  <c r="A1345" i="2"/>
  <c r="A1346" i="2" a="1"/>
  <c r="A1346" i="2"/>
  <c r="A1347" i="2" a="1"/>
  <c r="A1347" i="2" s="1"/>
  <c r="A1348" i="2" a="1"/>
  <c r="A1348" i="2" s="1"/>
  <c r="A1349" i="2" a="1"/>
  <c r="A1349" i="2" s="1"/>
  <c r="A1350" i="2" a="1"/>
  <c r="A1350" i="2"/>
  <c r="A1351" i="2" a="1"/>
  <c r="A1351" i="2"/>
  <c r="A1352" i="2" a="1"/>
  <c r="A1352" i="2"/>
  <c r="A1353" i="2" a="1"/>
  <c r="A1353" i="2"/>
  <c r="A1354" i="2" a="1"/>
  <c r="A1354" i="2"/>
  <c r="A1355" i="2" a="1"/>
  <c r="A1355" i="2" s="1"/>
  <c r="A1356" i="2" a="1"/>
  <c r="A1356" i="2" s="1"/>
  <c r="A1357" i="2" a="1"/>
  <c r="A1357" i="2" s="1"/>
  <c r="A1358" i="2" a="1"/>
  <c r="A1358" i="2"/>
  <c r="A1359" i="2" a="1"/>
  <c r="A1359" i="2"/>
  <c r="A1360" i="2" a="1"/>
  <c r="A1360" i="2"/>
  <c r="A1361" i="2" a="1"/>
  <c r="A1361" i="2"/>
  <c r="A1362" i="2" a="1"/>
  <c r="A1362" i="2"/>
  <c r="A1363" i="2" a="1"/>
  <c r="A1363" i="2" s="1"/>
  <c r="A1364" i="2" a="1"/>
  <c r="A1364" i="2" s="1"/>
  <c r="A1365" i="2" a="1"/>
  <c r="A1365" i="2" s="1"/>
  <c r="A1366" i="2" a="1"/>
  <c r="A1366" i="2"/>
  <c r="A1367" i="2" a="1"/>
  <c r="A1367" i="2"/>
  <c r="A1368" i="2" a="1"/>
  <c r="A1368" i="2"/>
  <c r="A1369" i="2" a="1"/>
  <c r="A1369" i="2"/>
  <c r="A1370" i="2" a="1"/>
  <c r="A1370" i="2"/>
  <c r="A1371" i="2" a="1"/>
  <c r="A1371" i="2" s="1"/>
  <c r="A1372" i="2" a="1"/>
  <c r="A1372" i="2" s="1"/>
  <c r="A1373" i="2" a="1"/>
  <c r="A1373" i="2" s="1"/>
  <c r="A1374" i="2" a="1"/>
  <c r="A1374" i="2"/>
  <c r="A1375" i="2" a="1"/>
  <c r="A1375" i="2"/>
  <c r="A1376" i="2" a="1"/>
  <c r="A1376" i="2"/>
  <c r="A1377" i="2" a="1"/>
  <c r="A1377" i="2"/>
  <c r="A1378" i="2" a="1"/>
  <c r="A1378" i="2"/>
  <c r="A1379" i="2" a="1"/>
  <c r="A1379" i="2" s="1"/>
  <c r="A1380" i="2" a="1"/>
  <c r="A1380" i="2" s="1"/>
  <c r="A1381" i="2" a="1"/>
  <c r="A1381" i="2" s="1"/>
  <c r="A1382" i="2" a="1"/>
  <c r="A1382" i="2"/>
  <c r="A1383" i="2" a="1"/>
  <c r="A1383" i="2"/>
  <c r="A1384" i="2" a="1"/>
  <c r="A1384" i="2"/>
  <c r="A1385" i="2" a="1"/>
  <c r="A1385" i="2"/>
  <c r="A1386" i="2" a="1"/>
  <c r="A1386" i="2"/>
  <c r="A1387" i="2" a="1"/>
  <c r="A1387" i="2" s="1"/>
  <c r="A1388" i="2" a="1"/>
  <c r="A1388" i="2" s="1"/>
  <c r="A1389" i="2" a="1"/>
  <c r="A1389" i="2" s="1"/>
  <c r="A1390" i="2" a="1"/>
  <c r="A1390" i="2"/>
  <c r="A1391" i="2" a="1"/>
  <c r="A1391" i="2"/>
  <c r="A1392" i="2" a="1"/>
  <c r="A1392" i="2"/>
  <c r="A1393" i="2" a="1"/>
  <c r="A1393" i="2"/>
  <c r="A1394" i="2" a="1"/>
  <c r="A1394" i="2"/>
  <c r="A1395" i="2" a="1"/>
  <c r="A1395" i="2" s="1"/>
  <c r="A1396" i="2" a="1"/>
  <c r="A1396" i="2" s="1"/>
  <c r="A1397" i="2" a="1"/>
  <c r="A1397" i="2" s="1"/>
  <c r="A1398" i="2" a="1"/>
  <c r="A1398" i="2"/>
  <c r="A1399" i="2" a="1"/>
  <c r="A1399" i="2"/>
  <c r="A1400" i="2" a="1"/>
  <c r="A1400" i="2"/>
  <c r="A1401" i="2" a="1"/>
  <c r="A1401" i="2"/>
  <c r="A1402" i="2" a="1"/>
  <c r="A1402" i="2"/>
  <c r="A1403" i="2" a="1"/>
  <c r="A1403" i="2" s="1"/>
  <c r="A1404" i="2" a="1"/>
  <c r="A1404" i="2" s="1"/>
  <c r="A1405" i="2" a="1"/>
  <c r="A1405" i="2" s="1"/>
  <c r="A1406" i="2" a="1"/>
  <c r="A1406" i="2"/>
  <c r="A1407" i="2" a="1"/>
  <c r="A1407" i="2"/>
  <c r="A1408" i="2" a="1"/>
  <c r="A1408" i="2"/>
  <c r="A1409" i="2" a="1"/>
  <c r="A1409" i="2"/>
  <c r="A1410" i="2" a="1"/>
  <c r="A1410" i="2"/>
  <c r="A1411" i="2" a="1"/>
  <c r="A1411" i="2" s="1"/>
  <c r="A1412" i="2" a="1"/>
  <c r="A1412" i="2" s="1"/>
  <c r="A1413" i="2" a="1"/>
  <c r="A1413" i="2" s="1"/>
  <c r="A1414" i="2" a="1"/>
  <c r="A1414" i="2"/>
  <c r="A1415" i="2" a="1"/>
  <c r="A1415" i="2"/>
  <c r="A1416" i="2" a="1"/>
  <c r="A1416" i="2"/>
  <c r="A1417" i="2" a="1"/>
  <c r="A1417" i="2"/>
  <c r="A1418" i="2" a="1"/>
  <c r="A1418" i="2"/>
  <c r="A1419" i="2" a="1"/>
  <c r="A1419" i="2" s="1"/>
  <c r="A1420" i="2" a="1"/>
  <c r="A1420" i="2" s="1"/>
  <c r="A1421" i="2" a="1"/>
  <c r="A1421" i="2" s="1"/>
  <c r="A1422" i="2" a="1"/>
  <c r="A1422" i="2"/>
  <c r="A1423" i="2" a="1"/>
  <c r="A1423" i="2"/>
  <c r="A1424" i="2" a="1"/>
  <c r="A1424" i="2"/>
  <c r="A1425" i="2" a="1"/>
  <c r="A1425" i="2"/>
  <c r="A1426" i="2" a="1"/>
  <c r="A1426" i="2"/>
  <c r="A1427" i="2" a="1"/>
  <c r="A1427" i="2" s="1"/>
  <c r="A1428" i="2" a="1"/>
  <c r="A1428" i="2" s="1"/>
  <c r="A1429" i="2" a="1"/>
  <c r="A1429" i="2" s="1"/>
  <c r="A1430" i="2" a="1"/>
  <c r="A1430" i="2"/>
  <c r="A1431" i="2" a="1"/>
  <c r="A1431" i="2"/>
  <c r="A1432" i="2" a="1"/>
  <c r="A1432" i="2"/>
  <c r="A1433" i="2" a="1"/>
  <c r="A1433" i="2"/>
  <c r="A1434" i="2" a="1"/>
  <c r="A1434" i="2"/>
  <c r="A1435" i="2" a="1"/>
  <c r="A1435" i="2" s="1"/>
  <c r="A1436" i="2" a="1"/>
  <c r="A1436" i="2" s="1"/>
  <c r="A1437" i="2" a="1"/>
  <c r="A1437" i="2" s="1"/>
  <c r="A1438" i="2" a="1"/>
  <c r="A1438" i="2"/>
  <c r="A1439" i="2" a="1"/>
  <c r="A1439" i="2"/>
  <c r="A1440" i="2" a="1"/>
  <c r="A1440" i="2"/>
  <c r="A1441" i="2" a="1"/>
  <c r="A1441" i="2"/>
  <c r="A1442" i="2" a="1"/>
  <c r="A1442" i="2"/>
  <c r="A1443" i="2" a="1"/>
  <c r="A1443" i="2" s="1"/>
  <c r="A1444" i="2" a="1"/>
  <c r="A1444" i="2" s="1"/>
  <c r="A1445" i="2" a="1"/>
  <c r="A1445" i="2" s="1"/>
  <c r="A1446" i="2" a="1"/>
  <c r="A1446" i="2"/>
  <c r="A1447" i="2" a="1"/>
  <c r="A1447" i="2"/>
  <c r="A1448" i="2" a="1"/>
  <c r="A1448" i="2"/>
  <c r="A1449" i="2" a="1"/>
  <c r="A1449" i="2"/>
  <c r="A1450" i="2" a="1"/>
  <c r="A1450" i="2"/>
  <c r="A1451" i="2" a="1"/>
  <c r="A1451" i="2" s="1"/>
  <c r="A1452" i="2" a="1"/>
  <c r="A1452" i="2" s="1"/>
  <c r="A1453" i="2" a="1"/>
  <c r="A1453" i="2" s="1"/>
  <c r="A1454" i="2" a="1"/>
  <c r="A1454" i="2"/>
  <c r="A1455" i="2" a="1"/>
  <c r="A1455" i="2"/>
  <c r="A1456" i="2" a="1"/>
  <c r="A1456" i="2"/>
  <c r="A1457" i="2" a="1"/>
  <c r="A1457" i="2"/>
  <c r="A1458" i="2" a="1"/>
  <c r="A1458" i="2"/>
  <c r="A1459" i="2" a="1"/>
  <c r="A1459" i="2" s="1"/>
  <c r="A1460" i="2" a="1"/>
  <c r="A1460" i="2" s="1"/>
  <c r="A1461" i="2" a="1"/>
  <c r="A1461" i="2" s="1"/>
  <c r="A1462" i="2" a="1"/>
  <c r="A1462" i="2"/>
  <c r="A1463" i="2" a="1"/>
  <c r="A1463" i="2"/>
  <c r="A1464" i="2" a="1"/>
  <c r="A1464" i="2"/>
  <c r="A1465" i="2" a="1"/>
  <c r="A1465" i="2"/>
  <c r="A1466" i="2" a="1"/>
  <c r="A1466" i="2"/>
  <c r="A1467" i="2" a="1"/>
  <c r="A1467" i="2" s="1"/>
  <c r="A1468" i="2" a="1"/>
  <c r="A1468" i="2" s="1"/>
  <c r="A1469" i="2" a="1"/>
  <c r="A1469" i="2" s="1"/>
  <c r="A1470" i="2" a="1"/>
  <c r="A1470" i="2"/>
  <c r="A1471" i="2" a="1"/>
  <c r="A1471" i="2"/>
  <c r="A1472" i="2" a="1"/>
  <c r="A1472" i="2"/>
  <c r="A1473" i="2" a="1"/>
  <c r="A1473" i="2"/>
  <c r="A1474" i="2" a="1"/>
  <c r="A1474" i="2"/>
  <c r="A1475" i="2" a="1"/>
  <c r="A1475" i="2" s="1"/>
  <c r="A1476" i="2" a="1"/>
  <c r="A1476" i="2" s="1"/>
  <c r="A1477" i="2" a="1"/>
  <c r="A1477" i="2" s="1"/>
  <c r="A1478" i="2" a="1"/>
  <c r="A1478" i="2"/>
  <c r="A1479" i="2" a="1"/>
  <c r="A1479" i="2"/>
  <c r="A1480" i="2" a="1"/>
  <c r="A1480" i="2"/>
  <c r="A1481" i="2" a="1"/>
  <c r="A1481" i="2"/>
  <c r="A1482" i="2" a="1"/>
  <c r="A1482" i="2"/>
  <c r="A1483" i="2" a="1"/>
  <c r="A1483" i="2" s="1"/>
  <c r="A1484" i="2" a="1"/>
  <c r="A1484" i="2" s="1"/>
  <c r="A1485" i="2" a="1"/>
  <c r="A1485" i="2" s="1"/>
  <c r="A1486" i="2" a="1"/>
  <c r="A1486" i="2"/>
  <c r="A1487" i="2" a="1"/>
  <c r="A1487" i="2"/>
  <c r="A1488" i="2" a="1"/>
  <c r="A1488" i="2"/>
  <c r="A1489" i="2" a="1"/>
  <c r="A1489" i="2"/>
  <c r="A1490" i="2" a="1"/>
  <c r="A1490" i="2"/>
  <c r="A1491" i="2" a="1"/>
  <c r="A1491" i="2" s="1"/>
  <c r="A1492" i="2" a="1"/>
  <c r="A1492" i="2" s="1"/>
  <c r="A1493" i="2" a="1"/>
  <c r="A1493" i="2" s="1"/>
  <c r="A1494" i="2" a="1"/>
  <c r="A1494" i="2"/>
  <c r="A1495" i="2" a="1"/>
  <c r="A1495" i="2"/>
  <c r="A1496" i="2" a="1"/>
  <c r="A1496" i="2"/>
  <c r="A1497" i="2" a="1"/>
  <c r="A1497" i="2"/>
  <c r="A1498" i="2" a="1"/>
  <c r="A1498" i="2"/>
  <c r="A1499" i="2" a="1"/>
  <c r="A1499" i="2" s="1"/>
  <c r="A1500" i="2" a="1"/>
  <c r="A1500" i="2" s="1"/>
  <c r="A1501" i="2" a="1"/>
  <c r="A1501" i="2" s="1"/>
  <c r="A1502" i="2" a="1"/>
  <c r="A1502" i="2"/>
  <c r="A1503" i="2" a="1"/>
  <c r="A1503" i="2"/>
  <c r="A1504" i="2" a="1"/>
  <c r="A1504" i="2"/>
  <c r="A1505" i="2" a="1"/>
  <c r="A1505" i="2"/>
  <c r="A1506" i="2" a="1"/>
  <c r="A1506" i="2"/>
  <c r="A1507" i="2" a="1"/>
  <c r="A1507" i="2" s="1"/>
  <c r="A1508" i="2" a="1"/>
  <c r="A1508" i="2" s="1"/>
  <c r="A1509" i="2" a="1"/>
  <c r="A1509" i="2" s="1"/>
  <c r="A1510" i="2" a="1"/>
  <c r="A1510" i="2"/>
  <c r="A1511" i="2" a="1"/>
  <c r="A1511" i="2"/>
  <c r="A1512" i="2" a="1"/>
  <c r="A1512" i="2"/>
  <c r="A1513" i="2" a="1"/>
  <c r="A1513" i="2"/>
  <c r="A1514" i="2" a="1"/>
  <c r="A1514" i="2"/>
  <c r="A1515" i="2" a="1"/>
  <c r="A1515" i="2" s="1"/>
  <c r="A1516" i="2" a="1"/>
  <c r="A1516" i="2" s="1"/>
  <c r="A1517" i="2" a="1"/>
  <c r="A1517" i="2" s="1"/>
  <c r="A1518" i="2" a="1"/>
  <c r="A1518" i="2"/>
  <c r="A1519" i="2" a="1"/>
  <c r="A1519" i="2"/>
  <c r="A1520" i="2" a="1"/>
  <c r="A1520" i="2"/>
  <c r="A1521" i="2" a="1"/>
  <c r="A1521" i="2"/>
  <c r="A1522" i="2" a="1"/>
  <c r="A1522" i="2"/>
  <c r="A1523" i="2" a="1"/>
  <c r="A1523" i="2" s="1"/>
  <c r="A1524" i="2" a="1"/>
  <c r="A1524" i="2" s="1"/>
  <c r="A1525" i="2" a="1"/>
  <c r="A1525" i="2" s="1"/>
  <c r="A1526" i="2" a="1"/>
  <c r="A1526" i="2"/>
  <c r="A1527" i="2" a="1"/>
  <c r="A1527" i="2"/>
  <c r="A1528" i="2" a="1"/>
  <c r="A1528" i="2"/>
  <c r="A1529" i="2" a="1"/>
  <c r="A1529" i="2"/>
  <c r="A1530" i="2" a="1"/>
  <c r="A1530" i="2"/>
  <c r="A1531" i="2" a="1"/>
  <c r="A1531" i="2" s="1"/>
  <c r="A1532" i="2" a="1"/>
  <c r="A1532" i="2" s="1"/>
  <c r="A1533" i="2" a="1"/>
  <c r="A1533" i="2" s="1"/>
  <c r="A1534" i="2" a="1"/>
  <c r="A1534" i="2"/>
  <c r="A1535" i="2" a="1"/>
  <c r="A1535" i="2"/>
  <c r="A1536" i="2" a="1"/>
  <c r="A1536" i="2"/>
  <c r="A1537" i="2" a="1"/>
  <c r="A1537" i="2"/>
  <c r="A1538" i="2" a="1"/>
  <c r="A1538" i="2"/>
  <c r="A1539" i="2" a="1"/>
  <c r="A1539" i="2" s="1"/>
  <c r="A1540" i="2" a="1"/>
  <c r="A1540" i="2" s="1"/>
  <c r="A1541" i="2" a="1"/>
  <c r="A1541" i="2" s="1"/>
  <c r="A1542" i="2" a="1"/>
  <c r="A1542" i="2"/>
  <c r="A1543" i="2" a="1"/>
  <c r="A1543" i="2"/>
  <c r="A1544" i="2" a="1"/>
  <c r="A1544" i="2"/>
  <c r="A1545" i="2" a="1"/>
  <c r="A1545" i="2"/>
  <c r="A1546" i="2" a="1"/>
  <c r="A1546" i="2"/>
  <c r="A1547" i="2" a="1"/>
  <c r="A1547" i="2" s="1"/>
  <c r="A1548" i="2" a="1"/>
  <c r="A1548" i="2" s="1"/>
  <c r="A1549" i="2" a="1"/>
  <c r="A1549" i="2" s="1"/>
  <c r="A1550" i="2" a="1"/>
  <c r="A1550" i="2"/>
  <c r="A1551" i="2" a="1"/>
  <c r="A1551" i="2"/>
  <c r="A1552" i="2" a="1"/>
  <c r="A1552" i="2"/>
  <c r="A1553" i="2" a="1"/>
  <c r="A1553" i="2"/>
  <c r="A1554" i="2" a="1"/>
  <c r="A1554" i="2"/>
  <c r="A1555" i="2" a="1"/>
  <c r="A1555" i="2" s="1"/>
  <c r="A1556" i="2" a="1"/>
  <c r="A1556" i="2" s="1"/>
  <c r="A1557" i="2" a="1"/>
  <c r="A1557" i="2" s="1"/>
  <c r="A1558" i="2" a="1"/>
  <c r="A1558" i="2"/>
  <c r="A1559" i="2" a="1"/>
  <c r="A1559" i="2"/>
  <c r="A1560" i="2" a="1"/>
  <c r="A1560" i="2"/>
  <c r="A1561" i="2" a="1"/>
  <c r="A1561" i="2"/>
  <c r="A1562" i="2" a="1"/>
  <c r="A1562" i="2"/>
  <c r="A1563" i="2" a="1"/>
  <c r="A1563" i="2" s="1"/>
  <c r="A1564" i="2" a="1"/>
  <c r="A1564" i="2" s="1"/>
  <c r="A1565" i="2" a="1"/>
  <c r="A1565" i="2" s="1"/>
  <c r="A1566" i="2" a="1"/>
  <c r="A1566" i="2"/>
  <c r="A1567" i="2" a="1"/>
  <c r="A1567" i="2"/>
  <c r="A1568" i="2" a="1"/>
  <c r="A1568" i="2"/>
  <c r="A1569" i="2" a="1"/>
  <c r="A1569" i="2"/>
  <c r="A1570" i="2" a="1"/>
  <c r="A1570" i="2"/>
  <c r="A1571" i="2" a="1"/>
  <c r="A1571" i="2" s="1"/>
  <c r="A1572" i="2" a="1"/>
  <c r="A1572" i="2" s="1"/>
  <c r="A1573" i="2" a="1"/>
  <c r="A1573" i="2" s="1"/>
  <c r="A1574" i="2" a="1"/>
  <c r="A1574" i="2"/>
  <c r="A1575" i="2" a="1"/>
  <c r="A1575" i="2"/>
  <c r="A1576" i="2" a="1"/>
  <c r="A1576" i="2"/>
  <c r="A1577" i="2" a="1"/>
  <c r="A1577" i="2"/>
  <c r="A1578" i="2" a="1"/>
  <c r="A1578" i="2"/>
  <c r="A1579" i="2" a="1"/>
  <c r="A1579" i="2" s="1"/>
  <c r="A1580" i="2" a="1"/>
  <c r="A1580" i="2" s="1"/>
  <c r="A1581" i="2" a="1"/>
  <c r="A1581" i="2" s="1"/>
  <c r="A1582" i="2" a="1"/>
  <c r="A1582" i="2"/>
  <c r="A1583" i="2" a="1"/>
  <c r="A1583" i="2"/>
  <c r="A1584" i="2" a="1"/>
  <c r="A1584" i="2"/>
  <c r="A1585" i="2" a="1"/>
  <c r="A1585" i="2"/>
  <c r="A1586" i="2" a="1"/>
  <c r="A1586" i="2"/>
  <c r="A1587" i="2" a="1"/>
  <c r="A1587" i="2" s="1"/>
  <c r="A1588" i="2" a="1"/>
  <c r="A1588" i="2" s="1"/>
  <c r="A1589" i="2" a="1"/>
  <c r="A1589" i="2" s="1"/>
  <c r="A1590" i="2" a="1"/>
  <c r="A1590" i="2"/>
  <c r="A1591" i="2" a="1"/>
  <c r="A1591" i="2"/>
  <c r="A1592" i="2" a="1"/>
  <c r="A1592" i="2"/>
  <c r="A1593" i="2" a="1"/>
  <c r="A1593" i="2"/>
  <c r="A1594" i="2" a="1"/>
  <c r="A1594" i="2"/>
  <c r="A1595" i="2" a="1"/>
  <c r="A1595" i="2" s="1"/>
  <c r="A1596" i="2" a="1"/>
  <c r="A1596" i="2" s="1"/>
  <c r="A1597" i="2" a="1"/>
  <c r="A1597" i="2" s="1"/>
  <c r="A1598" i="2" a="1"/>
  <c r="A1598" i="2"/>
  <c r="A1599" i="2" a="1"/>
  <c r="A1599" i="2"/>
  <c r="A1600" i="2" a="1"/>
  <c r="A1600" i="2"/>
  <c r="A1601" i="2" a="1"/>
  <c r="A1601" i="2"/>
  <c r="A2" i="2" a="1"/>
  <c r="A2" i="2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2" i="1"/>
  <c r="F399" i="6" l="1"/>
  <c r="C16" i="6"/>
  <c r="B16" i="6"/>
  <c r="M192" i="6"/>
  <c r="E192" i="6"/>
  <c r="B192" i="6"/>
  <c r="C192" i="6"/>
  <c r="L112" i="6"/>
  <c r="M112" i="6"/>
  <c r="B112" i="6"/>
  <c r="C112" i="6"/>
  <c r="D400" i="6"/>
  <c r="B400" i="6"/>
  <c r="B88" i="6"/>
  <c r="B199" i="6"/>
  <c r="B184" i="6"/>
  <c r="B275" i="6"/>
  <c r="D335" i="6"/>
  <c r="D110" i="6"/>
  <c r="F82" i="6"/>
  <c r="B204" i="6"/>
  <c r="B320" i="6"/>
  <c r="B35" i="6"/>
  <c r="C338" i="6"/>
  <c r="C303" i="6"/>
  <c r="C96" i="6"/>
  <c r="D274" i="6"/>
  <c r="D50" i="6"/>
  <c r="E350" i="6"/>
  <c r="E51" i="6"/>
  <c r="F277" i="6"/>
  <c r="M354" i="6"/>
  <c r="M108" i="6"/>
  <c r="B38" i="6"/>
  <c r="B247" i="6"/>
  <c r="B319" i="6"/>
  <c r="B287" i="6"/>
  <c r="B81" i="6"/>
  <c r="C369" i="6"/>
  <c r="C337" i="6"/>
  <c r="C291" i="6"/>
  <c r="C95" i="6"/>
  <c r="D340" i="6"/>
  <c r="E50" i="6"/>
  <c r="F276" i="6"/>
  <c r="J354" i="6"/>
  <c r="M353" i="6"/>
  <c r="N398" i="6"/>
  <c r="B220" i="6"/>
  <c r="B233" i="6"/>
  <c r="B202" i="6"/>
  <c r="B383" i="6"/>
  <c r="B318" i="6"/>
  <c r="C368" i="6"/>
  <c r="C335" i="6"/>
  <c r="C290" i="6"/>
  <c r="C227" i="6"/>
  <c r="C126" i="6"/>
  <c r="C94" i="6"/>
  <c r="D339" i="6"/>
  <c r="E324" i="6"/>
  <c r="F275" i="6"/>
  <c r="J353" i="6"/>
  <c r="M352" i="6"/>
  <c r="N397" i="6"/>
  <c r="B200" i="6"/>
  <c r="B185" i="6"/>
  <c r="B242" i="6"/>
  <c r="B126" i="6"/>
  <c r="B67" i="6"/>
  <c r="C333" i="6"/>
  <c r="C275" i="6"/>
  <c r="C124" i="6"/>
  <c r="D111" i="6"/>
  <c r="D20" i="6"/>
  <c r="M350" i="6"/>
  <c r="N395" i="6"/>
  <c r="B186" i="6"/>
  <c r="N274" i="6"/>
  <c r="B360" i="6"/>
  <c r="B2" i="6"/>
  <c r="B369" i="6"/>
  <c r="B272" i="6"/>
  <c r="B195" i="6"/>
  <c r="C354" i="6"/>
  <c r="C321" i="6"/>
  <c r="C253" i="6"/>
  <c r="C179" i="6"/>
  <c r="C79" i="6"/>
  <c r="C34" i="6"/>
  <c r="D207" i="6"/>
  <c r="E388" i="6"/>
  <c r="E318" i="6"/>
  <c r="F390" i="6"/>
  <c r="F211" i="6"/>
  <c r="F21" i="6"/>
  <c r="L81" i="6"/>
  <c r="M250" i="6"/>
  <c r="N254" i="6"/>
  <c r="B401" i="6"/>
  <c r="B368" i="6"/>
  <c r="B303" i="6"/>
  <c r="B194" i="6"/>
  <c r="B113" i="6"/>
  <c r="B62" i="6"/>
  <c r="C353" i="6"/>
  <c r="C320" i="6"/>
  <c r="C252" i="6"/>
  <c r="C220" i="6"/>
  <c r="C178" i="6"/>
  <c r="C111" i="6"/>
  <c r="C78" i="6"/>
  <c r="C33" i="6"/>
  <c r="D307" i="6"/>
  <c r="D206" i="6"/>
  <c r="D82" i="6"/>
  <c r="E357" i="6"/>
  <c r="E293" i="6"/>
  <c r="E99" i="6"/>
  <c r="F389" i="6"/>
  <c r="F210" i="6"/>
  <c r="F20" i="6"/>
  <c r="J263" i="6"/>
  <c r="L79" i="6"/>
  <c r="M247" i="6"/>
  <c r="B198" i="6"/>
  <c r="B306" i="6"/>
  <c r="B65" i="6"/>
  <c r="C82" i="6"/>
  <c r="E320" i="6"/>
  <c r="B197" i="6"/>
  <c r="B305" i="6"/>
  <c r="B273" i="6"/>
  <c r="B226" i="6"/>
  <c r="B159" i="6"/>
  <c r="B115" i="6"/>
  <c r="B64" i="6"/>
  <c r="C189" i="6"/>
  <c r="C113" i="6"/>
  <c r="C81" i="6"/>
  <c r="C35" i="6"/>
  <c r="E319" i="6"/>
  <c r="F212" i="6"/>
  <c r="F22" i="6"/>
  <c r="L82" i="6"/>
  <c r="B225" i="6"/>
  <c r="B367" i="6"/>
  <c r="B193" i="6"/>
  <c r="C2" i="6"/>
  <c r="C352" i="6"/>
  <c r="C319" i="6"/>
  <c r="C243" i="6"/>
  <c r="C211" i="6"/>
  <c r="C177" i="6"/>
  <c r="C110" i="6"/>
  <c r="C77" i="6"/>
  <c r="C19" i="6"/>
  <c r="D306" i="6"/>
  <c r="E356" i="6"/>
  <c r="E292" i="6"/>
  <c r="E98" i="6"/>
  <c r="F388" i="6"/>
  <c r="F209" i="6"/>
  <c r="F19" i="6"/>
  <c r="J247" i="6"/>
  <c r="L78" i="6"/>
  <c r="M138" i="6"/>
  <c r="B311" i="6"/>
  <c r="B224" i="6"/>
  <c r="B366" i="6"/>
  <c r="B147" i="6"/>
  <c r="B111" i="6"/>
  <c r="B51" i="6"/>
  <c r="C351" i="6"/>
  <c r="C318" i="6"/>
  <c r="C210" i="6"/>
  <c r="C175" i="6"/>
  <c r="C109" i="6"/>
  <c r="C76" i="6"/>
  <c r="C18" i="6"/>
  <c r="D305" i="6"/>
  <c r="D79" i="6"/>
  <c r="E355" i="6"/>
  <c r="E291" i="6"/>
  <c r="E97" i="6"/>
  <c r="F339" i="6"/>
  <c r="F18" i="6"/>
  <c r="M113" i="6"/>
  <c r="N251" i="6"/>
  <c r="B310" i="6"/>
  <c r="B191" i="6"/>
  <c r="B146" i="6"/>
  <c r="B110" i="6"/>
  <c r="C382" i="6"/>
  <c r="C317" i="6"/>
  <c r="C241" i="6"/>
  <c r="C163" i="6"/>
  <c r="D2" i="6"/>
  <c r="D303" i="6"/>
  <c r="D78" i="6"/>
  <c r="E354" i="6"/>
  <c r="E290" i="6"/>
  <c r="E193" i="6"/>
  <c r="F149" i="6"/>
  <c r="F7" i="6"/>
  <c r="B312" i="6"/>
  <c r="B24" i="6"/>
  <c r="B353" i="6"/>
  <c r="B291" i="6"/>
  <c r="B259" i="6"/>
  <c r="B190" i="6"/>
  <c r="B145" i="6"/>
  <c r="B109" i="6"/>
  <c r="C381" i="6"/>
  <c r="C240" i="6"/>
  <c r="C162" i="6"/>
  <c r="C99" i="6"/>
  <c r="D277" i="6"/>
  <c r="E353" i="6"/>
  <c r="E289" i="6"/>
  <c r="F148" i="6"/>
  <c r="J162" i="6"/>
  <c r="M378" i="6"/>
  <c r="M111" i="6"/>
  <c r="N140" i="6"/>
  <c r="B339" i="6"/>
  <c r="B290" i="6"/>
  <c r="B257" i="6"/>
  <c r="B47" i="6"/>
  <c r="C306" i="6"/>
  <c r="C161" i="6"/>
  <c r="C98" i="6"/>
  <c r="D367" i="6"/>
  <c r="D276" i="6"/>
  <c r="D52" i="6"/>
  <c r="E261" i="6"/>
  <c r="E191" i="6"/>
  <c r="F335" i="6"/>
  <c r="F147" i="6"/>
  <c r="J161" i="6"/>
  <c r="M375" i="6"/>
  <c r="N139" i="6"/>
  <c r="B22" i="6"/>
  <c r="B387" i="6"/>
  <c r="B289" i="6"/>
  <c r="B256" i="6"/>
  <c r="B140" i="6"/>
  <c r="C147" i="6"/>
  <c r="C97" i="6"/>
  <c r="C64" i="6"/>
  <c r="D275" i="6"/>
  <c r="D175" i="6"/>
  <c r="E351" i="6"/>
  <c r="E260" i="6"/>
  <c r="E190" i="6"/>
  <c r="F146" i="6"/>
  <c r="N232" i="6"/>
  <c r="M232" i="6"/>
  <c r="J232" i="6"/>
  <c r="F232" i="6"/>
  <c r="E232" i="6"/>
  <c r="D232" i="6"/>
  <c r="B164" i="6"/>
  <c r="C232" i="6"/>
  <c r="N24" i="6"/>
  <c r="M24" i="6"/>
  <c r="L24" i="6"/>
  <c r="J24" i="6"/>
  <c r="F24" i="6"/>
  <c r="E24" i="6"/>
  <c r="D24" i="6"/>
  <c r="C24" i="6"/>
  <c r="B203" i="6"/>
  <c r="N152" i="6"/>
  <c r="M152" i="6"/>
  <c r="L152" i="6"/>
  <c r="J152" i="6"/>
  <c r="F152" i="6"/>
  <c r="E152" i="6"/>
  <c r="D152" i="6"/>
  <c r="C152" i="6"/>
  <c r="B330" i="6"/>
  <c r="N360" i="6"/>
  <c r="M360" i="6"/>
  <c r="J360" i="6"/>
  <c r="F360" i="6"/>
  <c r="E360" i="6"/>
  <c r="D360" i="6"/>
  <c r="C360" i="6"/>
  <c r="B139" i="6"/>
  <c r="N280" i="6"/>
  <c r="M280" i="6"/>
  <c r="J280" i="6"/>
  <c r="F280" i="6"/>
  <c r="E280" i="6"/>
  <c r="D280" i="6"/>
  <c r="C280" i="6"/>
  <c r="B12" i="6"/>
  <c r="N264" i="6"/>
  <c r="M264" i="6"/>
  <c r="J264" i="6"/>
  <c r="F264" i="6"/>
  <c r="E264" i="6"/>
  <c r="D264" i="6"/>
  <c r="C264" i="6"/>
  <c r="B14" i="6"/>
  <c r="N160" i="6"/>
  <c r="F160" i="6"/>
  <c r="M160" i="6"/>
  <c r="L160" i="6"/>
  <c r="D160" i="6"/>
  <c r="E160" i="6"/>
  <c r="B338" i="6"/>
  <c r="J160" i="6"/>
  <c r="C160" i="6"/>
  <c r="N248" i="6"/>
  <c r="M248" i="6"/>
  <c r="J248" i="6"/>
  <c r="F248" i="6"/>
  <c r="E248" i="6"/>
  <c r="D248" i="6"/>
  <c r="B166" i="6"/>
  <c r="C248" i="6"/>
  <c r="M336" i="6"/>
  <c r="J336" i="6"/>
  <c r="E336" i="6"/>
  <c r="D336" i="6"/>
  <c r="N336" i="6"/>
  <c r="B143" i="6"/>
  <c r="F336" i="6"/>
  <c r="C336" i="6"/>
  <c r="N8" i="6"/>
  <c r="M8" i="6"/>
  <c r="L8" i="6"/>
  <c r="J8" i="6"/>
  <c r="F8" i="6"/>
  <c r="E8" i="6"/>
  <c r="D8" i="6"/>
  <c r="C8" i="6"/>
  <c r="B187" i="6"/>
  <c r="N392" i="6"/>
  <c r="M392" i="6"/>
  <c r="J392" i="6"/>
  <c r="F392" i="6"/>
  <c r="E392" i="6"/>
  <c r="D392" i="6"/>
  <c r="C392" i="6"/>
  <c r="B82" i="6"/>
  <c r="J304" i="6"/>
  <c r="N304" i="6"/>
  <c r="B69" i="6"/>
  <c r="F304" i="6"/>
  <c r="E304" i="6"/>
  <c r="D304" i="6"/>
  <c r="M304" i="6"/>
  <c r="C304" i="6"/>
  <c r="N80" i="6"/>
  <c r="J80" i="6"/>
  <c r="M80" i="6"/>
  <c r="F80" i="6"/>
  <c r="E80" i="6"/>
  <c r="D80" i="6"/>
  <c r="B258" i="6"/>
  <c r="C80" i="6"/>
  <c r="L80" i="6"/>
  <c r="M288" i="6"/>
  <c r="N288" i="6"/>
  <c r="F288" i="6"/>
  <c r="J288" i="6"/>
  <c r="D288" i="6"/>
  <c r="E288" i="6"/>
  <c r="B15" i="6"/>
  <c r="C288" i="6"/>
  <c r="N136" i="6"/>
  <c r="M136" i="6"/>
  <c r="L136" i="6"/>
  <c r="J136" i="6"/>
  <c r="F136" i="6"/>
  <c r="E136" i="6"/>
  <c r="D136" i="6"/>
  <c r="C136" i="6"/>
  <c r="B314" i="6"/>
  <c r="J48" i="6"/>
  <c r="L48" i="6"/>
  <c r="N48" i="6"/>
  <c r="F48" i="6"/>
  <c r="M48" i="6"/>
  <c r="D48" i="6"/>
  <c r="E48" i="6"/>
  <c r="C48" i="6"/>
  <c r="B227" i="6"/>
  <c r="M32" i="6"/>
  <c r="N32" i="6"/>
  <c r="L32" i="6"/>
  <c r="F32" i="6"/>
  <c r="E32" i="6"/>
  <c r="J32" i="6"/>
  <c r="D32" i="6"/>
  <c r="C32" i="6"/>
  <c r="B211" i="6"/>
  <c r="N104" i="6"/>
  <c r="M104" i="6"/>
  <c r="L104" i="6"/>
  <c r="J104" i="6"/>
  <c r="F104" i="6"/>
  <c r="E104" i="6"/>
  <c r="D104" i="6"/>
  <c r="C104" i="6"/>
  <c r="B282" i="6"/>
  <c r="N208" i="6"/>
  <c r="M208" i="6"/>
  <c r="L208" i="6"/>
  <c r="J208" i="6"/>
  <c r="F208" i="6"/>
  <c r="E208" i="6"/>
  <c r="D208" i="6"/>
  <c r="C208" i="6"/>
  <c r="B384" i="6"/>
  <c r="N176" i="6"/>
  <c r="M176" i="6"/>
  <c r="J176" i="6"/>
  <c r="F176" i="6"/>
  <c r="L176" i="6"/>
  <c r="E176" i="6"/>
  <c r="D176" i="6"/>
  <c r="B354" i="6"/>
  <c r="C176" i="6"/>
  <c r="M130" i="6"/>
  <c r="N371" i="6"/>
  <c r="M371" i="6"/>
  <c r="F371" i="6"/>
  <c r="J371" i="6"/>
  <c r="N343" i="6"/>
  <c r="M343" i="6"/>
  <c r="E343" i="6"/>
  <c r="D343" i="6"/>
  <c r="F343" i="6"/>
  <c r="N328" i="6"/>
  <c r="M328" i="6"/>
  <c r="J328" i="6"/>
  <c r="F328" i="6"/>
  <c r="E328" i="6"/>
  <c r="D328" i="6"/>
  <c r="J300" i="6"/>
  <c r="N300" i="6"/>
  <c r="F300" i="6"/>
  <c r="E300" i="6"/>
  <c r="D300" i="6"/>
  <c r="M257" i="6"/>
  <c r="J257" i="6"/>
  <c r="F257" i="6"/>
  <c r="N229" i="6"/>
  <c r="M229" i="6"/>
  <c r="J229" i="6"/>
  <c r="F229" i="6"/>
  <c r="F186" i="6"/>
  <c r="N186" i="6"/>
  <c r="M186" i="6"/>
  <c r="J186" i="6"/>
  <c r="E186" i="6"/>
  <c r="D186" i="6"/>
  <c r="N158" i="6"/>
  <c r="M158" i="6"/>
  <c r="F158" i="6"/>
  <c r="L158" i="6"/>
  <c r="N129" i="6"/>
  <c r="M129" i="6"/>
  <c r="J129" i="6"/>
  <c r="F129" i="6"/>
  <c r="N101" i="6"/>
  <c r="M101" i="6"/>
  <c r="L101" i="6"/>
  <c r="J101" i="6"/>
  <c r="F101" i="6"/>
  <c r="F58" i="6"/>
  <c r="E58" i="6"/>
  <c r="D58" i="6"/>
  <c r="L58" i="6"/>
  <c r="J44" i="6"/>
  <c r="N44" i="6"/>
  <c r="L44" i="6"/>
  <c r="F44" i="6"/>
  <c r="E44" i="6"/>
  <c r="M44" i="6"/>
  <c r="D44" i="6"/>
  <c r="B33" i="6"/>
  <c r="C401" i="6"/>
  <c r="C129" i="6"/>
  <c r="D371" i="6"/>
  <c r="L186" i="6"/>
  <c r="N401" i="6"/>
  <c r="F401" i="6"/>
  <c r="J401" i="6"/>
  <c r="M401" i="6"/>
  <c r="N387" i="6"/>
  <c r="M387" i="6"/>
  <c r="N373" i="6"/>
  <c r="M373" i="6"/>
  <c r="F373" i="6"/>
  <c r="J373" i="6"/>
  <c r="N359" i="6"/>
  <c r="M359" i="6"/>
  <c r="J359" i="6"/>
  <c r="E359" i="6"/>
  <c r="D359" i="6"/>
  <c r="N344" i="6"/>
  <c r="M344" i="6"/>
  <c r="J344" i="6"/>
  <c r="F344" i="6"/>
  <c r="E344" i="6"/>
  <c r="D344" i="6"/>
  <c r="J330" i="6"/>
  <c r="F330" i="6"/>
  <c r="N330" i="6"/>
  <c r="M330" i="6"/>
  <c r="E330" i="6"/>
  <c r="D330" i="6"/>
  <c r="M316" i="6"/>
  <c r="F316" i="6"/>
  <c r="E316" i="6"/>
  <c r="D316" i="6"/>
  <c r="J302" i="6"/>
  <c r="N302" i="6"/>
  <c r="F302" i="6"/>
  <c r="J273" i="6"/>
  <c r="N273" i="6"/>
  <c r="M273" i="6"/>
  <c r="N259" i="6"/>
  <c r="M259" i="6"/>
  <c r="J259" i="6"/>
  <c r="F259" i="6"/>
  <c r="N245" i="6"/>
  <c r="M245" i="6"/>
  <c r="J245" i="6"/>
  <c r="N231" i="6"/>
  <c r="J231" i="6"/>
  <c r="M231" i="6"/>
  <c r="E231" i="6"/>
  <c r="D231" i="6"/>
  <c r="N216" i="6"/>
  <c r="M216" i="6"/>
  <c r="L216" i="6"/>
  <c r="J216" i="6"/>
  <c r="F216" i="6"/>
  <c r="E216" i="6"/>
  <c r="D216" i="6"/>
  <c r="J202" i="6"/>
  <c r="F202" i="6"/>
  <c r="L202" i="6"/>
  <c r="M202" i="6"/>
  <c r="E202" i="6"/>
  <c r="D202" i="6"/>
  <c r="F188" i="6"/>
  <c r="N188" i="6"/>
  <c r="M188" i="6"/>
  <c r="J188" i="6"/>
  <c r="E188" i="6"/>
  <c r="D188" i="6"/>
  <c r="J174" i="6"/>
  <c r="L174" i="6"/>
  <c r="F174" i="6"/>
  <c r="M174" i="6"/>
  <c r="M145" i="6"/>
  <c r="J145" i="6"/>
  <c r="L145" i="6"/>
  <c r="N145" i="6"/>
  <c r="N131" i="6"/>
  <c r="M131" i="6"/>
  <c r="L131" i="6"/>
  <c r="J131" i="6"/>
  <c r="F131" i="6"/>
  <c r="N117" i="6"/>
  <c r="M117" i="6"/>
  <c r="L117" i="6"/>
  <c r="J117" i="6"/>
  <c r="N103" i="6"/>
  <c r="M103" i="6"/>
  <c r="J103" i="6"/>
  <c r="E103" i="6"/>
  <c r="D103" i="6"/>
  <c r="L103" i="6"/>
  <c r="N88" i="6"/>
  <c r="M88" i="6"/>
  <c r="L88" i="6"/>
  <c r="J88" i="6"/>
  <c r="F88" i="6"/>
  <c r="E88" i="6"/>
  <c r="D88" i="6"/>
  <c r="J74" i="6"/>
  <c r="F74" i="6"/>
  <c r="E74" i="6"/>
  <c r="N74" i="6"/>
  <c r="M74" i="6"/>
  <c r="L74" i="6"/>
  <c r="D74" i="6"/>
  <c r="F60" i="6"/>
  <c r="E60" i="6"/>
  <c r="D60" i="6"/>
  <c r="J46" i="6"/>
  <c r="N46" i="6"/>
  <c r="L46" i="6"/>
  <c r="F46" i="6"/>
  <c r="E46" i="6"/>
  <c r="M46" i="6"/>
  <c r="J17" i="6"/>
  <c r="L17" i="6"/>
  <c r="N17" i="6"/>
  <c r="M17" i="6"/>
  <c r="N3" i="6"/>
  <c r="M3" i="6"/>
  <c r="L3" i="6"/>
  <c r="J3" i="6"/>
  <c r="E3" i="6"/>
  <c r="F3" i="6"/>
  <c r="B323" i="6"/>
  <c r="C387" i="6"/>
  <c r="C259" i="6"/>
  <c r="C131" i="6"/>
  <c r="C3" i="6"/>
  <c r="D373" i="6"/>
  <c r="D245" i="6"/>
  <c r="D117" i="6"/>
  <c r="L188" i="6"/>
  <c r="M385" i="6"/>
  <c r="N385" i="6"/>
  <c r="N357" i="6"/>
  <c r="M357" i="6"/>
  <c r="M314" i="6"/>
  <c r="F314" i="6"/>
  <c r="E314" i="6"/>
  <c r="D314" i="6"/>
  <c r="M286" i="6"/>
  <c r="F286" i="6"/>
  <c r="J286" i="6"/>
  <c r="N286" i="6"/>
  <c r="N243" i="6"/>
  <c r="M243" i="6"/>
  <c r="J243" i="6"/>
  <c r="N215" i="6"/>
  <c r="M215" i="6"/>
  <c r="F215" i="6"/>
  <c r="E215" i="6"/>
  <c r="D215" i="6"/>
  <c r="N200" i="6"/>
  <c r="M200" i="6"/>
  <c r="L200" i="6"/>
  <c r="J200" i="6"/>
  <c r="F200" i="6"/>
  <c r="E200" i="6"/>
  <c r="D200" i="6"/>
  <c r="J172" i="6"/>
  <c r="L172" i="6"/>
  <c r="F172" i="6"/>
  <c r="E172" i="6"/>
  <c r="D172" i="6"/>
  <c r="N172" i="6"/>
  <c r="N115" i="6"/>
  <c r="M115" i="6"/>
  <c r="L115" i="6"/>
  <c r="J115" i="6"/>
  <c r="N87" i="6"/>
  <c r="M87" i="6"/>
  <c r="L87" i="6"/>
  <c r="F87" i="6"/>
  <c r="D87" i="6"/>
  <c r="J87" i="6"/>
  <c r="E87" i="6"/>
  <c r="N72" i="6"/>
  <c r="M72" i="6"/>
  <c r="L72" i="6"/>
  <c r="J72" i="6"/>
  <c r="F72" i="6"/>
  <c r="E72" i="6"/>
  <c r="D72" i="6"/>
  <c r="F30" i="6"/>
  <c r="E30" i="6"/>
  <c r="J30" i="6"/>
  <c r="N30" i="6"/>
  <c r="B337" i="6"/>
  <c r="B209" i="6"/>
  <c r="B97" i="6"/>
  <c r="C257" i="6"/>
  <c r="J399" i="6"/>
  <c r="N399" i="6"/>
  <c r="M399" i="6"/>
  <c r="M384" i="6"/>
  <c r="N384" i="6"/>
  <c r="F384" i="6"/>
  <c r="F370" i="6"/>
  <c r="J370" i="6"/>
  <c r="N356" i="6"/>
  <c r="M356" i="6"/>
  <c r="N342" i="6"/>
  <c r="M342" i="6"/>
  <c r="E342" i="6"/>
  <c r="D342" i="6"/>
  <c r="F342" i="6"/>
  <c r="J342" i="6"/>
  <c r="N313" i="6"/>
  <c r="M313" i="6"/>
  <c r="J313" i="6"/>
  <c r="F313" i="6"/>
  <c r="E313" i="6"/>
  <c r="D313" i="6"/>
  <c r="N299" i="6"/>
  <c r="F299" i="6"/>
  <c r="E299" i="6"/>
  <c r="D299" i="6"/>
  <c r="M285" i="6"/>
  <c r="F285" i="6"/>
  <c r="J285" i="6"/>
  <c r="N285" i="6"/>
  <c r="E285" i="6"/>
  <c r="D285" i="6"/>
  <c r="N271" i="6"/>
  <c r="F271" i="6"/>
  <c r="J271" i="6"/>
  <c r="M271" i="6"/>
  <c r="M256" i="6"/>
  <c r="J256" i="6"/>
  <c r="F256" i="6"/>
  <c r="N242" i="6"/>
  <c r="J242" i="6"/>
  <c r="N228" i="6"/>
  <c r="M228" i="6"/>
  <c r="J228" i="6"/>
  <c r="F228" i="6"/>
  <c r="N214" i="6"/>
  <c r="M214" i="6"/>
  <c r="L214" i="6"/>
  <c r="J214" i="6"/>
  <c r="E214" i="6"/>
  <c r="D214" i="6"/>
  <c r="N185" i="6"/>
  <c r="M185" i="6"/>
  <c r="L185" i="6"/>
  <c r="J185" i="6"/>
  <c r="F185" i="6"/>
  <c r="E185" i="6"/>
  <c r="D185" i="6"/>
  <c r="L171" i="6"/>
  <c r="F171" i="6"/>
  <c r="J171" i="6"/>
  <c r="E171" i="6"/>
  <c r="D171" i="6"/>
  <c r="N171" i="6"/>
  <c r="N157" i="6"/>
  <c r="M157" i="6"/>
  <c r="F157" i="6"/>
  <c r="J157" i="6"/>
  <c r="L157" i="6"/>
  <c r="E157" i="6"/>
  <c r="D157" i="6"/>
  <c r="L143" i="6"/>
  <c r="F143" i="6"/>
  <c r="N143" i="6"/>
  <c r="M143" i="6"/>
  <c r="N128" i="6"/>
  <c r="M128" i="6"/>
  <c r="J128" i="6"/>
  <c r="F128" i="6"/>
  <c r="L114" i="6"/>
  <c r="M114" i="6"/>
  <c r="N100" i="6"/>
  <c r="M100" i="6"/>
  <c r="L100" i="6"/>
  <c r="J100" i="6"/>
  <c r="F100" i="6"/>
  <c r="N86" i="6"/>
  <c r="M86" i="6"/>
  <c r="L86" i="6"/>
  <c r="J86" i="6"/>
  <c r="D86" i="6"/>
  <c r="E86" i="6"/>
  <c r="N57" i="6"/>
  <c r="M57" i="6"/>
  <c r="L57" i="6"/>
  <c r="J57" i="6"/>
  <c r="F57" i="6"/>
  <c r="E57" i="6"/>
  <c r="D57" i="6"/>
  <c r="N43" i="6"/>
  <c r="L43" i="6"/>
  <c r="F43" i="6"/>
  <c r="E43" i="6"/>
  <c r="M43" i="6"/>
  <c r="D43" i="6"/>
  <c r="F29" i="6"/>
  <c r="E29" i="6"/>
  <c r="J29" i="6"/>
  <c r="N29" i="6"/>
  <c r="M29" i="6"/>
  <c r="D29" i="6"/>
  <c r="L15" i="6"/>
  <c r="N15" i="6"/>
  <c r="M15" i="6"/>
  <c r="F15" i="6"/>
  <c r="J15" i="6"/>
  <c r="B352" i="6"/>
  <c r="B336" i="6"/>
  <c r="B208" i="6"/>
  <c r="B160" i="6"/>
  <c r="B144" i="6"/>
  <c r="B96" i="6"/>
  <c r="B80" i="6"/>
  <c r="B32" i="6"/>
  <c r="C400" i="6"/>
  <c r="C384" i="6"/>
  <c r="C256" i="6"/>
  <c r="C128" i="6"/>
  <c r="D370" i="6"/>
  <c r="D242" i="6"/>
  <c r="D114" i="6"/>
  <c r="N99" i="6"/>
  <c r="M99" i="6"/>
  <c r="L99" i="6"/>
  <c r="J99" i="6"/>
  <c r="F99" i="6"/>
  <c r="N85" i="6"/>
  <c r="M85" i="6"/>
  <c r="L85" i="6"/>
  <c r="J85" i="6"/>
  <c r="E85" i="6"/>
  <c r="N71" i="6"/>
  <c r="M71" i="6"/>
  <c r="J71" i="6"/>
  <c r="L71" i="6"/>
  <c r="D71" i="6"/>
  <c r="N56" i="6"/>
  <c r="M56" i="6"/>
  <c r="L56" i="6"/>
  <c r="J56" i="6"/>
  <c r="F56" i="6"/>
  <c r="E56" i="6"/>
  <c r="D56" i="6"/>
  <c r="N42" i="6"/>
  <c r="L42" i="6"/>
  <c r="F42" i="6"/>
  <c r="E42" i="6"/>
  <c r="M42" i="6"/>
  <c r="D42" i="6"/>
  <c r="J42" i="6"/>
  <c r="F28" i="6"/>
  <c r="E28" i="6"/>
  <c r="J28" i="6"/>
  <c r="N28" i="6"/>
  <c r="M28" i="6"/>
  <c r="D28" i="6"/>
  <c r="L14" i="6"/>
  <c r="N14" i="6"/>
  <c r="M14" i="6"/>
  <c r="F14" i="6"/>
  <c r="E14" i="6"/>
  <c r="B335" i="6"/>
  <c r="B239" i="6"/>
  <c r="B223" i="6"/>
  <c r="B207" i="6"/>
  <c r="B175" i="6"/>
  <c r="B127" i="6"/>
  <c r="B95" i="6"/>
  <c r="B79" i="6"/>
  <c r="B31" i="6"/>
  <c r="C399" i="6"/>
  <c r="C271" i="6"/>
  <c r="C143" i="6"/>
  <c r="C15" i="6"/>
  <c r="D399" i="6"/>
  <c r="D273" i="6"/>
  <c r="D145" i="6"/>
  <c r="D113" i="6"/>
  <c r="D17" i="6"/>
  <c r="E385" i="6"/>
  <c r="E257" i="6"/>
  <c r="E129" i="6"/>
  <c r="J60" i="6"/>
  <c r="F400" i="6"/>
  <c r="N400" i="6"/>
  <c r="J400" i="6"/>
  <c r="M400" i="6"/>
  <c r="M386" i="6"/>
  <c r="N386" i="6"/>
  <c r="N372" i="6"/>
  <c r="M372" i="6"/>
  <c r="F372" i="6"/>
  <c r="J372" i="6"/>
  <c r="N358" i="6"/>
  <c r="M358" i="6"/>
  <c r="E358" i="6"/>
  <c r="D358" i="6"/>
  <c r="N329" i="6"/>
  <c r="M329" i="6"/>
  <c r="J329" i="6"/>
  <c r="F329" i="6"/>
  <c r="E329" i="6"/>
  <c r="D329" i="6"/>
  <c r="M315" i="6"/>
  <c r="F315" i="6"/>
  <c r="E315" i="6"/>
  <c r="D315" i="6"/>
  <c r="J301" i="6"/>
  <c r="N301" i="6"/>
  <c r="F301" i="6"/>
  <c r="E301" i="6"/>
  <c r="D301" i="6"/>
  <c r="M287" i="6"/>
  <c r="F287" i="6"/>
  <c r="J287" i="6"/>
  <c r="N287" i="6"/>
  <c r="J272" i="6"/>
  <c r="N272" i="6"/>
  <c r="M272" i="6"/>
  <c r="M258" i="6"/>
  <c r="N258" i="6"/>
  <c r="F258" i="6"/>
  <c r="N244" i="6"/>
  <c r="M244" i="6"/>
  <c r="J244" i="6"/>
  <c r="N230" i="6"/>
  <c r="M230" i="6"/>
  <c r="J230" i="6"/>
  <c r="E230" i="6"/>
  <c r="D230" i="6"/>
  <c r="F230" i="6"/>
  <c r="N201" i="6"/>
  <c r="M201" i="6"/>
  <c r="L201" i="6"/>
  <c r="J201" i="6"/>
  <c r="F201" i="6"/>
  <c r="E201" i="6"/>
  <c r="D201" i="6"/>
  <c r="F187" i="6"/>
  <c r="N187" i="6"/>
  <c r="M187" i="6"/>
  <c r="J187" i="6"/>
  <c r="E187" i="6"/>
  <c r="D187" i="6"/>
  <c r="J173" i="6"/>
  <c r="L173" i="6"/>
  <c r="F173" i="6"/>
  <c r="E173" i="6"/>
  <c r="D173" i="6"/>
  <c r="N159" i="6"/>
  <c r="M159" i="6"/>
  <c r="F159" i="6"/>
  <c r="L159" i="6"/>
  <c r="J144" i="6"/>
  <c r="L144" i="6"/>
  <c r="M144" i="6"/>
  <c r="N144" i="6"/>
  <c r="N130" i="6"/>
  <c r="J130" i="6"/>
  <c r="F130" i="6"/>
  <c r="N116" i="6"/>
  <c r="M116" i="6"/>
  <c r="L116" i="6"/>
  <c r="J116" i="6"/>
  <c r="N102" i="6"/>
  <c r="M102" i="6"/>
  <c r="L102" i="6"/>
  <c r="J102" i="6"/>
  <c r="E102" i="6"/>
  <c r="D102" i="6"/>
  <c r="F102" i="6"/>
  <c r="N73" i="6"/>
  <c r="M73" i="6"/>
  <c r="L73" i="6"/>
  <c r="J73" i="6"/>
  <c r="F73" i="6"/>
  <c r="E73" i="6"/>
  <c r="D73" i="6"/>
  <c r="F59" i="6"/>
  <c r="E59" i="6"/>
  <c r="D59" i="6"/>
  <c r="L59" i="6"/>
  <c r="J45" i="6"/>
  <c r="N45" i="6"/>
  <c r="L45" i="6"/>
  <c r="F45" i="6"/>
  <c r="E45" i="6"/>
  <c r="M45" i="6"/>
  <c r="D45" i="6"/>
  <c r="F31" i="6"/>
  <c r="M31" i="6"/>
  <c r="L31" i="6"/>
  <c r="E31" i="6"/>
  <c r="J31" i="6"/>
  <c r="N31" i="6"/>
  <c r="J16" i="6"/>
  <c r="L16" i="6"/>
  <c r="N16" i="6"/>
  <c r="M16" i="6"/>
  <c r="B322" i="6"/>
  <c r="B210" i="6"/>
  <c r="B50" i="6"/>
  <c r="C386" i="6"/>
  <c r="C258" i="6"/>
  <c r="C130" i="6"/>
  <c r="D372" i="6"/>
  <c r="D244" i="6"/>
  <c r="D116" i="6"/>
  <c r="L187" i="6"/>
  <c r="J398" i="6"/>
  <c r="F398" i="6"/>
  <c r="M398" i="6"/>
  <c r="M369" i="6"/>
  <c r="J369" i="6"/>
  <c r="N355" i="6"/>
  <c r="M355" i="6"/>
  <c r="N341" i="6"/>
  <c r="M341" i="6"/>
  <c r="F341" i="6"/>
  <c r="J341" i="6"/>
  <c r="N327" i="6"/>
  <c r="J327" i="6"/>
  <c r="E327" i="6"/>
  <c r="D327" i="6"/>
  <c r="M327" i="6"/>
  <c r="N312" i="6"/>
  <c r="M312" i="6"/>
  <c r="J312" i="6"/>
  <c r="F312" i="6"/>
  <c r="E312" i="6"/>
  <c r="D312" i="6"/>
  <c r="N298" i="6"/>
  <c r="F298" i="6"/>
  <c r="E298" i="6"/>
  <c r="D298" i="6"/>
  <c r="J298" i="6"/>
  <c r="M284" i="6"/>
  <c r="F284" i="6"/>
  <c r="J284" i="6"/>
  <c r="N284" i="6"/>
  <c r="E284" i="6"/>
  <c r="D284" i="6"/>
  <c r="N270" i="6"/>
  <c r="F270" i="6"/>
  <c r="M270" i="6"/>
  <c r="N241" i="6"/>
  <c r="M241" i="6"/>
  <c r="J241" i="6"/>
  <c r="N227" i="6"/>
  <c r="M227" i="6"/>
  <c r="J227" i="6"/>
  <c r="F227" i="6"/>
  <c r="N213" i="6"/>
  <c r="M213" i="6"/>
  <c r="L213" i="6"/>
  <c r="J213" i="6"/>
  <c r="N199" i="6"/>
  <c r="M199" i="6"/>
  <c r="J199" i="6"/>
  <c r="L199" i="6"/>
  <c r="E199" i="6"/>
  <c r="D199" i="6"/>
  <c r="N184" i="6"/>
  <c r="M184" i="6"/>
  <c r="L184" i="6"/>
  <c r="J184" i="6"/>
  <c r="F184" i="6"/>
  <c r="E184" i="6"/>
  <c r="D184" i="6"/>
  <c r="L170" i="6"/>
  <c r="F170" i="6"/>
  <c r="E170" i="6"/>
  <c r="D170" i="6"/>
  <c r="N170" i="6"/>
  <c r="N156" i="6"/>
  <c r="M156" i="6"/>
  <c r="F156" i="6"/>
  <c r="J156" i="6"/>
  <c r="L156" i="6"/>
  <c r="E156" i="6"/>
  <c r="D156" i="6"/>
  <c r="L142" i="6"/>
  <c r="F142" i="6"/>
  <c r="N142" i="6"/>
  <c r="M142" i="6"/>
  <c r="J142" i="6"/>
  <c r="J397" i="6"/>
  <c r="F397" i="6"/>
  <c r="M397" i="6"/>
  <c r="E397" i="6"/>
  <c r="J396" i="6"/>
  <c r="F396" i="6"/>
  <c r="M396" i="6"/>
  <c r="E396" i="6"/>
  <c r="D396" i="6"/>
  <c r="N339" i="6"/>
  <c r="M339" i="6"/>
  <c r="J339" i="6"/>
  <c r="N311" i="6"/>
  <c r="M311" i="6"/>
  <c r="J311" i="6"/>
  <c r="F311" i="6"/>
  <c r="E311" i="6"/>
  <c r="D311" i="6"/>
  <c r="N296" i="6"/>
  <c r="M296" i="6"/>
  <c r="J296" i="6"/>
  <c r="F296" i="6"/>
  <c r="E296" i="6"/>
  <c r="D296" i="6"/>
  <c r="N268" i="6"/>
  <c r="F268" i="6"/>
  <c r="M268" i="6"/>
  <c r="E268" i="6"/>
  <c r="D268" i="6"/>
  <c r="N197" i="6"/>
  <c r="M197" i="6"/>
  <c r="L197" i="6"/>
  <c r="J197" i="6"/>
  <c r="F197" i="6"/>
  <c r="L12" i="6"/>
  <c r="N12" i="6"/>
  <c r="M12" i="6"/>
  <c r="F12" i="6"/>
  <c r="E12" i="6"/>
  <c r="D12" i="6"/>
  <c r="F386" i="6"/>
  <c r="J394" i="6"/>
  <c r="F394" i="6"/>
  <c r="M394" i="6"/>
  <c r="E394" i="6"/>
  <c r="D394" i="6"/>
  <c r="N380" i="6"/>
  <c r="J380" i="6"/>
  <c r="F380" i="6"/>
  <c r="M380" i="6"/>
  <c r="E380" i="6"/>
  <c r="D380" i="6"/>
  <c r="M366" i="6"/>
  <c r="J366" i="6"/>
  <c r="F366" i="6"/>
  <c r="N366" i="6"/>
  <c r="M337" i="6"/>
  <c r="N337" i="6"/>
  <c r="J337" i="6"/>
  <c r="N323" i="6"/>
  <c r="M323" i="6"/>
  <c r="J323" i="6"/>
  <c r="F323" i="6"/>
  <c r="N309" i="6"/>
  <c r="M309" i="6"/>
  <c r="J309" i="6"/>
  <c r="N295" i="6"/>
  <c r="M295" i="6"/>
  <c r="E295" i="6"/>
  <c r="D295" i="6"/>
  <c r="J295" i="6"/>
  <c r="N266" i="6"/>
  <c r="F266" i="6"/>
  <c r="M266" i="6"/>
  <c r="E266" i="6"/>
  <c r="D266" i="6"/>
  <c r="J252" i="6"/>
  <c r="F252" i="6"/>
  <c r="E252" i="6"/>
  <c r="D252" i="6"/>
  <c r="N238" i="6"/>
  <c r="M238" i="6"/>
  <c r="F238" i="6"/>
  <c r="J238" i="6"/>
  <c r="N209" i="6"/>
  <c r="M209" i="6"/>
  <c r="L209" i="6"/>
  <c r="N195" i="6"/>
  <c r="M195" i="6"/>
  <c r="L195" i="6"/>
  <c r="J195" i="6"/>
  <c r="F195" i="6"/>
  <c r="N181" i="6"/>
  <c r="M181" i="6"/>
  <c r="L181" i="6"/>
  <c r="J181" i="6"/>
  <c r="N167" i="6"/>
  <c r="M167" i="6"/>
  <c r="L167" i="6"/>
  <c r="E167" i="6"/>
  <c r="D167" i="6"/>
  <c r="F138" i="6"/>
  <c r="J138" i="6"/>
  <c r="E138" i="6"/>
  <c r="D138" i="6"/>
  <c r="N124" i="6"/>
  <c r="M124" i="6"/>
  <c r="J124" i="6"/>
  <c r="F124" i="6"/>
  <c r="L124" i="6"/>
  <c r="E124" i="6"/>
  <c r="D124" i="6"/>
  <c r="F110" i="6"/>
  <c r="N110" i="6"/>
  <c r="L110" i="6"/>
  <c r="N81" i="6"/>
  <c r="J81" i="6"/>
  <c r="M81" i="6"/>
  <c r="N67" i="6"/>
  <c r="M67" i="6"/>
  <c r="L67" i="6"/>
  <c r="J67" i="6"/>
  <c r="F67" i="6"/>
  <c r="E67" i="6"/>
  <c r="N53" i="6"/>
  <c r="M53" i="6"/>
  <c r="L53" i="6"/>
  <c r="J53" i="6"/>
  <c r="E53" i="6"/>
  <c r="N39" i="6"/>
  <c r="M39" i="6"/>
  <c r="L39" i="6"/>
  <c r="D39" i="6"/>
  <c r="J39" i="6"/>
  <c r="N10" i="6"/>
  <c r="M10" i="6"/>
  <c r="F10" i="6"/>
  <c r="E10" i="6"/>
  <c r="D10" i="6"/>
  <c r="B395" i="6"/>
  <c r="B379" i="6"/>
  <c r="B363" i="6"/>
  <c r="B347" i="6"/>
  <c r="B331" i="6"/>
  <c r="B299" i="6"/>
  <c r="B283" i="6"/>
  <c r="B267" i="6"/>
  <c r="B251" i="6"/>
  <c r="B235" i="6"/>
  <c r="B219" i="6"/>
  <c r="B171" i="6"/>
  <c r="B155" i="6"/>
  <c r="B123" i="6"/>
  <c r="B91" i="6"/>
  <c r="B75" i="6"/>
  <c r="B59" i="6"/>
  <c r="B27" i="6"/>
  <c r="C347" i="6"/>
  <c r="C315" i="6"/>
  <c r="C299" i="6"/>
  <c r="C219" i="6"/>
  <c r="C203" i="6"/>
  <c r="C187" i="6"/>
  <c r="C171" i="6"/>
  <c r="C59" i="6"/>
  <c r="C43" i="6"/>
  <c r="C11" i="6"/>
  <c r="D389" i="6"/>
  <c r="D357" i="6"/>
  <c r="D325" i="6"/>
  <c r="D229" i="6"/>
  <c r="D197" i="6"/>
  <c r="D133" i="6"/>
  <c r="D101" i="6"/>
  <c r="D69" i="6"/>
  <c r="D5" i="6"/>
  <c r="E373" i="6"/>
  <c r="E341" i="6"/>
  <c r="E309" i="6"/>
  <c r="E277" i="6"/>
  <c r="E245" i="6"/>
  <c r="E213" i="6"/>
  <c r="E181" i="6"/>
  <c r="E117" i="6"/>
  <c r="E22" i="6"/>
  <c r="F369" i="6"/>
  <c r="F309" i="6"/>
  <c r="F246" i="6"/>
  <c r="F182" i="6"/>
  <c r="F118" i="6"/>
  <c r="F54" i="6"/>
  <c r="J320" i="6"/>
  <c r="J114" i="6"/>
  <c r="J14" i="6"/>
  <c r="L138" i="6"/>
  <c r="L30" i="6"/>
  <c r="M60" i="6"/>
  <c r="M226" i="6"/>
  <c r="N369" i="6"/>
  <c r="J395" i="6"/>
  <c r="F395" i="6"/>
  <c r="M395" i="6"/>
  <c r="E395" i="6"/>
  <c r="D395" i="6"/>
  <c r="M338" i="6"/>
  <c r="N338" i="6"/>
  <c r="J338" i="6"/>
  <c r="J253" i="6"/>
  <c r="F253" i="6"/>
  <c r="E253" i="6"/>
  <c r="D253" i="6"/>
  <c r="N196" i="6"/>
  <c r="M196" i="6"/>
  <c r="L196" i="6"/>
  <c r="J196" i="6"/>
  <c r="F196" i="6"/>
  <c r="F139" i="6"/>
  <c r="M139" i="6"/>
  <c r="L139" i="6"/>
  <c r="J139" i="6"/>
  <c r="E139" i="6"/>
  <c r="D139" i="6"/>
  <c r="N82" i="6"/>
  <c r="J82" i="6"/>
  <c r="M82" i="6"/>
  <c r="B364" i="6"/>
  <c r="B332" i="6"/>
  <c r="B252" i="6"/>
  <c r="B108" i="6"/>
  <c r="B76" i="6"/>
  <c r="C300" i="6"/>
  <c r="L60" i="6"/>
  <c r="N393" i="6"/>
  <c r="M393" i="6"/>
  <c r="J393" i="6"/>
  <c r="F393" i="6"/>
  <c r="E393" i="6"/>
  <c r="N379" i="6"/>
  <c r="J379" i="6"/>
  <c r="F379" i="6"/>
  <c r="M379" i="6"/>
  <c r="E379" i="6"/>
  <c r="D379" i="6"/>
  <c r="M365" i="6"/>
  <c r="J365" i="6"/>
  <c r="F365" i="6"/>
  <c r="N365" i="6"/>
  <c r="E365" i="6"/>
  <c r="D365" i="6"/>
  <c r="N351" i="6"/>
  <c r="J351" i="6"/>
  <c r="F351" i="6"/>
  <c r="J322" i="6"/>
  <c r="N322" i="6"/>
  <c r="M322" i="6"/>
  <c r="F322" i="6"/>
  <c r="N308" i="6"/>
  <c r="M308" i="6"/>
  <c r="J308" i="6"/>
  <c r="N294" i="6"/>
  <c r="M294" i="6"/>
  <c r="J294" i="6"/>
  <c r="E294" i="6"/>
  <c r="D294" i="6"/>
  <c r="F294" i="6"/>
  <c r="N265" i="6"/>
  <c r="M265" i="6"/>
  <c r="J265" i="6"/>
  <c r="F265" i="6"/>
  <c r="E265" i="6"/>
  <c r="D265" i="6"/>
  <c r="J251" i="6"/>
  <c r="F251" i="6"/>
  <c r="E251" i="6"/>
  <c r="D251" i="6"/>
  <c r="N237" i="6"/>
  <c r="M237" i="6"/>
  <c r="F237" i="6"/>
  <c r="J237" i="6"/>
  <c r="E237" i="6"/>
  <c r="D237" i="6"/>
  <c r="J223" i="6"/>
  <c r="L223" i="6"/>
  <c r="F223" i="6"/>
  <c r="N223" i="6"/>
  <c r="M223" i="6"/>
  <c r="J194" i="6"/>
  <c r="L194" i="6"/>
  <c r="M194" i="6"/>
  <c r="F194" i="6"/>
  <c r="N180" i="6"/>
  <c r="M180" i="6"/>
  <c r="L180" i="6"/>
  <c r="J180" i="6"/>
  <c r="N166" i="6"/>
  <c r="M166" i="6"/>
  <c r="L166" i="6"/>
  <c r="J166" i="6"/>
  <c r="E166" i="6"/>
  <c r="D166" i="6"/>
  <c r="F166" i="6"/>
  <c r="N137" i="6"/>
  <c r="M137" i="6"/>
  <c r="L137" i="6"/>
  <c r="J137" i="6"/>
  <c r="F137" i="6"/>
  <c r="E137" i="6"/>
  <c r="D137" i="6"/>
  <c r="N123" i="6"/>
  <c r="M123" i="6"/>
  <c r="J123" i="6"/>
  <c r="F123" i="6"/>
  <c r="L123" i="6"/>
  <c r="E123" i="6"/>
  <c r="D123" i="6"/>
  <c r="F109" i="6"/>
  <c r="N109" i="6"/>
  <c r="L109" i="6"/>
  <c r="E109" i="6"/>
  <c r="D109" i="6"/>
  <c r="J95" i="6"/>
  <c r="N95" i="6"/>
  <c r="M95" i="6"/>
  <c r="L95" i="6"/>
  <c r="F95" i="6"/>
  <c r="J66" i="6"/>
  <c r="N66" i="6"/>
  <c r="M66" i="6"/>
  <c r="L66" i="6"/>
  <c r="F66" i="6"/>
  <c r="E66" i="6"/>
  <c r="N52" i="6"/>
  <c r="M52" i="6"/>
  <c r="L52" i="6"/>
  <c r="J52" i="6"/>
  <c r="N38" i="6"/>
  <c r="M38" i="6"/>
  <c r="L38" i="6"/>
  <c r="J38" i="6"/>
  <c r="D38" i="6"/>
  <c r="F38" i="6"/>
  <c r="N9" i="6"/>
  <c r="M9" i="6"/>
  <c r="L9" i="6"/>
  <c r="J9" i="6"/>
  <c r="F9" i="6"/>
  <c r="E9" i="6"/>
  <c r="D9" i="6"/>
  <c r="B394" i="6"/>
  <c r="B378" i="6"/>
  <c r="B362" i="6"/>
  <c r="B346" i="6"/>
  <c r="B298" i="6"/>
  <c r="B266" i="6"/>
  <c r="B250" i="6"/>
  <c r="B234" i="6"/>
  <c r="B218" i="6"/>
  <c r="B170" i="6"/>
  <c r="B154" i="6"/>
  <c r="B138" i="6"/>
  <c r="B122" i="6"/>
  <c r="B106" i="6"/>
  <c r="B90" i="6"/>
  <c r="B58" i="6"/>
  <c r="B42" i="6"/>
  <c r="B26" i="6"/>
  <c r="B10" i="6"/>
  <c r="C394" i="6"/>
  <c r="C330" i="6"/>
  <c r="C314" i="6"/>
  <c r="C298" i="6"/>
  <c r="C266" i="6"/>
  <c r="C218" i="6"/>
  <c r="C202" i="6"/>
  <c r="C186" i="6"/>
  <c r="C170" i="6"/>
  <c r="C138" i="6"/>
  <c r="C74" i="6"/>
  <c r="C58" i="6"/>
  <c r="C42" i="6"/>
  <c r="C26" i="6"/>
  <c r="C10" i="6"/>
  <c r="D388" i="6"/>
  <c r="D356" i="6"/>
  <c r="D228" i="6"/>
  <c r="D196" i="6"/>
  <c r="D132" i="6"/>
  <c r="D100" i="6"/>
  <c r="D4" i="6"/>
  <c r="E372" i="6"/>
  <c r="E308" i="6"/>
  <c r="E244" i="6"/>
  <c r="E180" i="6"/>
  <c r="E116" i="6"/>
  <c r="E81" i="6"/>
  <c r="E21" i="6"/>
  <c r="F368" i="6"/>
  <c r="F308" i="6"/>
  <c r="F245" i="6"/>
  <c r="F181" i="6"/>
  <c r="F117" i="6"/>
  <c r="F53" i="6"/>
  <c r="J319" i="6"/>
  <c r="J113" i="6"/>
  <c r="L135" i="6"/>
  <c r="L29" i="6"/>
  <c r="M59" i="6"/>
  <c r="N202" i="6"/>
  <c r="J98" i="6"/>
  <c r="N98" i="6"/>
  <c r="M98" i="6"/>
  <c r="L98" i="6"/>
  <c r="F98" i="6"/>
  <c r="N84" i="6"/>
  <c r="M84" i="6"/>
  <c r="L84" i="6"/>
  <c r="J84" i="6"/>
  <c r="E84" i="6"/>
  <c r="N70" i="6"/>
  <c r="M70" i="6"/>
  <c r="L70" i="6"/>
  <c r="J70" i="6"/>
  <c r="D70" i="6"/>
  <c r="F70" i="6"/>
  <c r="N41" i="6"/>
  <c r="M41" i="6"/>
  <c r="L41" i="6"/>
  <c r="J41" i="6"/>
  <c r="F41" i="6"/>
  <c r="E41" i="6"/>
  <c r="D41" i="6"/>
  <c r="F27" i="6"/>
  <c r="E27" i="6"/>
  <c r="J27" i="6"/>
  <c r="N27" i="6"/>
  <c r="M27" i="6"/>
  <c r="D27" i="6"/>
  <c r="L13" i="6"/>
  <c r="N13" i="6"/>
  <c r="M13" i="6"/>
  <c r="F13" i="6"/>
  <c r="E13" i="6"/>
  <c r="D13" i="6"/>
  <c r="B350" i="6"/>
  <c r="B334" i="6"/>
  <c r="B238" i="6"/>
  <c r="B222" i="6"/>
  <c r="B206" i="6"/>
  <c r="B174" i="6"/>
  <c r="B94" i="6"/>
  <c r="B46" i="6"/>
  <c r="C398" i="6"/>
  <c r="C302" i="6"/>
  <c r="C286" i="6"/>
  <c r="C270" i="6"/>
  <c r="C174" i="6"/>
  <c r="C158" i="6"/>
  <c r="C142" i="6"/>
  <c r="C46" i="6"/>
  <c r="C30" i="6"/>
  <c r="C14" i="6"/>
  <c r="D398" i="6"/>
  <c r="D272" i="6"/>
  <c r="D144" i="6"/>
  <c r="D112" i="6"/>
  <c r="D16" i="6"/>
  <c r="E384" i="6"/>
  <c r="E256" i="6"/>
  <c r="E128" i="6"/>
  <c r="F387" i="6"/>
  <c r="F327" i="6"/>
  <c r="F273" i="6"/>
  <c r="F145" i="6"/>
  <c r="F17" i="6"/>
  <c r="J159" i="6"/>
  <c r="J59" i="6"/>
  <c r="J378" i="6"/>
  <c r="F378" i="6"/>
  <c r="N378" i="6"/>
  <c r="E378" i="6"/>
  <c r="D378" i="6"/>
  <c r="M364" i="6"/>
  <c r="J364" i="6"/>
  <c r="F364" i="6"/>
  <c r="N364" i="6"/>
  <c r="E364" i="6"/>
  <c r="D364" i="6"/>
  <c r="N350" i="6"/>
  <c r="J350" i="6"/>
  <c r="F350" i="6"/>
  <c r="N321" i="6"/>
  <c r="M321" i="6"/>
  <c r="J321" i="6"/>
  <c r="F321" i="6"/>
  <c r="N307" i="6"/>
  <c r="M307" i="6"/>
  <c r="J307" i="6"/>
  <c r="N293" i="6"/>
  <c r="M293" i="6"/>
  <c r="J293" i="6"/>
  <c r="F293" i="6"/>
  <c r="N279" i="6"/>
  <c r="J279" i="6"/>
  <c r="F279" i="6"/>
  <c r="E279" i="6"/>
  <c r="D279" i="6"/>
  <c r="M279" i="6"/>
  <c r="J250" i="6"/>
  <c r="F250" i="6"/>
  <c r="N250" i="6"/>
  <c r="E250" i="6"/>
  <c r="D250" i="6"/>
  <c r="N236" i="6"/>
  <c r="M236" i="6"/>
  <c r="F236" i="6"/>
  <c r="J236" i="6"/>
  <c r="E236" i="6"/>
  <c r="D236" i="6"/>
  <c r="J222" i="6"/>
  <c r="L222" i="6"/>
  <c r="F222" i="6"/>
  <c r="N222" i="6"/>
  <c r="M222" i="6"/>
  <c r="L193" i="6"/>
  <c r="F193" i="6"/>
  <c r="N179" i="6"/>
  <c r="M179" i="6"/>
  <c r="L179" i="6"/>
  <c r="J179" i="6"/>
  <c r="N165" i="6"/>
  <c r="M165" i="6"/>
  <c r="L165" i="6"/>
  <c r="J165" i="6"/>
  <c r="F165" i="6"/>
  <c r="N151" i="6"/>
  <c r="M151" i="6"/>
  <c r="J151" i="6"/>
  <c r="L151" i="6"/>
  <c r="F151" i="6"/>
  <c r="E151" i="6"/>
  <c r="D151" i="6"/>
  <c r="M122" i="6"/>
  <c r="J122" i="6"/>
  <c r="F122" i="6"/>
  <c r="L122" i="6"/>
  <c r="N122" i="6"/>
  <c r="E122" i="6"/>
  <c r="D122" i="6"/>
  <c r="F108" i="6"/>
  <c r="N108" i="6"/>
  <c r="L108" i="6"/>
  <c r="E108" i="6"/>
  <c r="D108" i="6"/>
  <c r="J94" i="6"/>
  <c r="N94" i="6"/>
  <c r="M94" i="6"/>
  <c r="L94" i="6"/>
  <c r="F94" i="6"/>
  <c r="N65" i="6"/>
  <c r="M65" i="6"/>
  <c r="L65" i="6"/>
  <c r="J65" i="6"/>
  <c r="F65" i="6"/>
  <c r="E65" i="6"/>
  <c r="N51" i="6"/>
  <c r="M51" i="6"/>
  <c r="L51" i="6"/>
  <c r="J51" i="6"/>
  <c r="N37" i="6"/>
  <c r="M37" i="6"/>
  <c r="L37" i="6"/>
  <c r="J37" i="6"/>
  <c r="F37" i="6"/>
  <c r="E37" i="6"/>
  <c r="N23" i="6"/>
  <c r="M23" i="6"/>
  <c r="J23" i="6"/>
  <c r="L23" i="6"/>
  <c r="F23" i="6"/>
  <c r="E23" i="6"/>
  <c r="D23" i="6"/>
  <c r="B393" i="6"/>
  <c r="B377" i="6"/>
  <c r="B361" i="6"/>
  <c r="B345" i="6"/>
  <c r="B329" i="6"/>
  <c r="B297" i="6"/>
  <c r="B281" i="6"/>
  <c r="B265" i="6"/>
  <c r="B249" i="6"/>
  <c r="B217" i="6"/>
  <c r="B169" i="6"/>
  <c r="B153" i="6"/>
  <c r="B137" i="6"/>
  <c r="B121" i="6"/>
  <c r="B89" i="6"/>
  <c r="B73" i="6"/>
  <c r="B41" i="6"/>
  <c r="B9" i="6"/>
  <c r="C393" i="6"/>
  <c r="C329" i="6"/>
  <c r="C313" i="6"/>
  <c r="C281" i="6"/>
  <c r="C265" i="6"/>
  <c r="C201" i="6"/>
  <c r="C185" i="6"/>
  <c r="C137" i="6"/>
  <c r="C73" i="6"/>
  <c r="C57" i="6"/>
  <c r="C41" i="6"/>
  <c r="C25" i="6"/>
  <c r="C9" i="6"/>
  <c r="D387" i="6"/>
  <c r="D355" i="6"/>
  <c r="D323" i="6"/>
  <c r="D259" i="6"/>
  <c r="D227" i="6"/>
  <c r="D195" i="6"/>
  <c r="D131" i="6"/>
  <c r="D99" i="6"/>
  <c r="D67" i="6"/>
  <c r="D3" i="6"/>
  <c r="E371" i="6"/>
  <c r="E339" i="6"/>
  <c r="E307" i="6"/>
  <c r="E243" i="6"/>
  <c r="E179" i="6"/>
  <c r="E115" i="6"/>
  <c r="E20" i="6"/>
  <c r="F307" i="6"/>
  <c r="F244" i="6"/>
  <c r="F180" i="6"/>
  <c r="F116" i="6"/>
  <c r="F52" i="6"/>
  <c r="J318" i="6"/>
  <c r="J112" i="6"/>
  <c r="J12" i="6"/>
  <c r="L130" i="6"/>
  <c r="L28" i="6"/>
  <c r="M303" i="6"/>
  <c r="M58" i="6"/>
  <c r="N334" i="6"/>
  <c r="N194" i="6"/>
  <c r="N377" i="6"/>
  <c r="M377" i="6"/>
  <c r="J377" i="6"/>
  <c r="F377" i="6"/>
  <c r="E377" i="6"/>
  <c r="D377" i="6"/>
  <c r="M363" i="6"/>
  <c r="J363" i="6"/>
  <c r="F363" i="6"/>
  <c r="N363" i="6"/>
  <c r="E363" i="6"/>
  <c r="D363" i="6"/>
  <c r="N349" i="6"/>
  <c r="J349" i="6"/>
  <c r="F349" i="6"/>
  <c r="M349" i="6"/>
  <c r="E349" i="6"/>
  <c r="D349" i="6"/>
  <c r="M335" i="6"/>
  <c r="J335" i="6"/>
  <c r="N320" i="6"/>
  <c r="F320" i="6"/>
  <c r="M306" i="6"/>
  <c r="J306" i="6"/>
  <c r="N292" i="6"/>
  <c r="M292" i="6"/>
  <c r="J292" i="6"/>
  <c r="F292" i="6"/>
  <c r="N278" i="6"/>
  <c r="M278" i="6"/>
  <c r="J278" i="6"/>
  <c r="E278" i="6"/>
  <c r="D278" i="6"/>
  <c r="N249" i="6"/>
  <c r="M249" i="6"/>
  <c r="J249" i="6"/>
  <c r="F249" i="6"/>
  <c r="E249" i="6"/>
  <c r="D249" i="6"/>
  <c r="M235" i="6"/>
  <c r="F235" i="6"/>
  <c r="J235" i="6"/>
  <c r="N235" i="6"/>
  <c r="E235" i="6"/>
  <c r="D235" i="6"/>
  <c r="L221" i="6"/>
  <c r="F221" i="6"/>
  <c r="J221" i="6"/>
  <c r="N221" i="6"/>
  <c r="M221" i="6"/>
  <c r="E221" i="6"/>
  <c r="D221" i="6"/>
  <c r="N207" i="6"/>
  <c r="M207" i="6"/>
  <c r="J207" i="6"/>
  <c r="F207" i="6"/>
  <c r="L207" i="6"/>
  <c r="L192" i="6"/>
  <c r="F192" i="6"/>
  <c r="J192" i="6"/>
  <c r="N178" i="6"/>
  <c r="M178" i="6"/>
  <c r="J178" i="6"/>
  <c r="N164" i="6"/>
  <c r="M164" i="6"/>
  <c r="L164" i="6"/>
  <c r="J164" i="6"/>
  <c r="F164" i="6"/>
  <c r="N150" i="6"/>
  <c r="M150" i="6"/>
  <c r="L150" i="6"/>
  <c r="J150" i="6"/>
  <c r="E150" i="6"/>
  <c r="D150" i="6"/>
  <c r="N121" i="6"/>
  <c r="M121" i="6"/>
  <c r="L121" i="6"/>
  <c r="J121" i="6"/>
  <c r="F121" i="6"/>
  <c r="E121" i="6"/>
  <c r="D121" i="6"/>
  <c r="F107" i="6"/>
  <c r="N107" i="6"/>
  <c r="J107" i="6"/>
  <c r="L107" i="6"/>
  <c r="E107" i="6"/>
  <c r="D107" i="6"/>
  <c r="M107" i="6"/>
  <c r="N93" i="6"/>
  <c r="M93" i="6"/>
  <c r="L93" i="6"/>
  <c r="F93" i="6"/>
  <c r="E93" i="6"/>
  <c r="D93" i="6"/>
  <c r="J79" i="6"/>
  <c r="F79" i="6"/>
  <c r="M79" i="6"/>
  <c r="N64" i="6"/>
  <c r="M64" i="6"/>
  <c r="L64" i="6"/>
  <c r="F64" i="6"/>
  <c r="E64" i="6"/>
  <c r="J50" i="6"/>
  <c r="L50" i="6"/>
  <c r="N36" i="6"/>
  <c r="M36" i="6"/>
  <c r="L36" i="6"/>
  <c r="J36" i="6"/>
  <c r="F36" i="6"/>
  <c r="E36" i="6"/>
  <c r="N22" i="6"/>
  <c r="M22" i="6"/>
  <c r="L22" i="6"/>
  <c r="J22" i="6"/>
  <c r="D22" i="6"/>
  <c r="B392" i="6"/>
  <c r="B376" i="6"/>
  <c r="B344" i="6"/>
  <c r="B328" i="6"/>
  <c r="B296" i="6"/>
  <c r="B280" i="6"/>
  <c r="B264" i="6"/>
  <c r="B248" i="6"/>
  <c r="B232" i="6"/>
  <c r="B216" i="6"/>
  <c r="B168" i="6"/>
  <c r="B152" i="6"/>
  <c r="B136" i="6"/>
  <c r="B104" i="6"/>
  <c r="B72" i="6"/>
  <c r="B56" i="6"/>
  <c r="B40" i="6"/>
  <c r="B8" i="6"/>
  <c r="C344" i="6"/>
  <c r="C328" i="6"/>
  <c r="C312" i="6"/>
  <c r="C296" i="6"/>
  <c r="C216" i="6"/>
  <c r="C200" i="6"/>
  <c r="C184" i="6"/>
  <c r="C88" i="6"/>
  <c r="C72" i="6"/>
  <c r="C56" i="6"/>
  <c r="D386" i="6"/>
  <c r="D322" i="6"/>
  <c r="D258" i="6"/>
  <c r="D194" i="6"/>
  <c r="D130" i="6"/>
  <c r="D98" i="6"/>
  <c r="D66" i="6"/>
  <c r="E2" i="6"/>
  <c r="E370" i="6"/>
  <c r="E338" i="6"/>
  <c r="E306" i="6"/>
  <c r="E242" i="6"/>
  <c r="E210" i="6"/>
  <c r="E178" i="6"/>
  <c r="E114" i="6"/>
  <c r="E79" i="6"/>
  <c r="E19" i="6"/>
  <c r="F359" i="6"/>
  <c r="F306" i="6"/>
  <c r="F243" i="6"/>
  <c r="F179" i="6"/>
  <c r="F115" i="6"/>
  <c r="F51" i="6"/>
  <c r="J387" i="6"/>
  <c r="J317" i="6"/>
  <c r="J215" i="6"/>
  <c r="J111" i="6"/>
  <c r="L129" i="6"/>
  <c r="L27" i="6"/>
  <c r="M302" i="6"/>
  <c r="M50" i="6"/>
  <c r="N193" i="6"/>
  <c r="N60" i="6"/>
  <c r="N114" i="6"/>
  <c r="N383" i="6"/>
  <c r="J383" i="6"/>
  <c r="M383" i="6"/>
  <c r="F383" i="6"/>
  <c r="M368" i="6"/>
  <c r="J368" i="6"/>
  <c r="N354" i="6"/>
  <c r="F354" i="6"/>
  <c r="N340" i="6"/>
  <c r="M340" i="6"/>
  <c r="F340" i="6"/>
  <c r="J340" i="6"/>
  <c r="N326" i="6"/>
  <c r="M326" i="6"/>
  <c r="J326" i="6"/>
  <c r="E326" i="6"/>
  <c r="D326" i="6"/>
  <c r="N297" i="6"/>
  <c r="M297" i="6"/>
  <c r="J297" i="6"/>
  <c r="F297" i="6"/>
  <c r="E297" i="6"/>
  <c r="D297" i="6"/>
  <c r="F283" i="6"/>
  <c r="J283" i="6"/>
  <c r="M283" i="6"/>
  <c r="N283" i="6"/>
  <c r="E283" i="6"/>
  <c r="D283" i="6"/>
  <c r="N269" i="6"/>
  <c r="F269" i="6"/>
  <c r="M269" i="6"/>
  <c r="E269" i="6"/>
  <c r="D269" i="6"/>
  <c r="J255" i="6"/>
  <c r="F255" i="6"/>
  <c r="M255" i="6"/>
  <c r="N240" i="6"/>
  <c r="M240" i="6"/>
  <c r="J240" i="6"/>
  <c r="J226" i="6"/>
  <c r="F226" i="6"/>
  <c r="N226" i="6"/>
  <c r="N212" i="6"/>
  <c r="M212" i="6"/>
  <c r="L212" i="6"/>
  <c r="J212" i="6"/>
  <c r="N198" i="6"/>
  <c r="M198" i="6"/>
  <c r="L198" i="6"/>
  <c r="J198" i="6"/>
  <c r="E198" i="6"/>
  <c r="D198" i="6"/>
  <c r="F198" i="6"/>
  <c r="N169" i="6"/>
  <c r="M169" i="6"/>
  <c r="L169" i="6"/>
  <c r="J169" i="6"/>
  <c r="F169" i="6"/>
  <c r="E169" i="6"/>
  <c r="D169" i="6"/>
  <c r="N155" i="6"/>
  <c r="M155" i="6"/>
  <c r="F155" i="6"/>
  <c r="J155" i="6"/>
  <c r="L155" i="6"/>
  <c r="E155" i="6"/>
  <c r="D155" i="6"/>
  <c r="L141" i="6"/>
  <c r="F141" i="6"/>
  <c r="M141" i="6"/>
  <c r="J141" i="6"/>
  <c r="E141" i="6"/>
  <c r="D141" i="6"/>
  <c r="N127" i="6"/>
  <c r="M127" i="6"/>
  <c r="J127" i="6"/>
  <c r="F127" i="6"/>
  <c r="N112" i="6"/>
  <c r="M367" i="6"/>
  <c r="J367" i="6"/>
  <c r="N367" i="6"/>
  <c r="N352" i="6"/>
  <c r="F352" i="6"/>
  <c r="N310" i="6"/>
  <c r="M310" i="6"/>
  <c r="J310" i="6"/>
  <c r="F310" i="6"/>
  <c r="E310" i="6"/>
  <c r="D310" i="6"/>
  <c r="N267" i="6"/>
  <c r="F267" i="6"/>
  <c r="M267" i="6"/>
  <c r="E267" i="6"/>
  <c r="D267" i="6"/>
  <c r="N239" i="6"/>
  <c r="M239" i="6"/>
  <c r="F239" i="6"/>
  <c r="J239" i="6"/>
  <c r="J224" i="6"/>
  <c r="L224" i="6"/>
  <c r="F224" i="6"/>
  <c r="N224" i="6"/>
  <c r="M224" i="6"/>
  <c r="N182" i="6"/>
  <c r="M182" i="6"/>
  <c r="L182" i="6"/>
  <c r="J182" i="6"/>
  <c r="E182" i="6"/>
  <c r="D182" i="6"/>
  <c r="N153" i="6"/>
  <c r="M153" i="6"/>
  <c r="L153" i="6"/>
  <c r="J153" i="6"/>
  <c r="F153" i="6"/>
  <c r="E153" i="6"/>
  <c r="D153" i="6"/>
  <c r="N125" i="6"/>
  <c r="M125" i="6"/>
  <c r="J125" i="6"/>
  <c r="F125" i="6"/>
  <c r="L125" i="6"/>
  <c r="E125" i="6"/>
  <c r="D125" i="6"/>
  <c r="J96" i="6"/>
  <c r="N96" i="6"/>
  <c r="M96" i="6"/>
  <c r="L96" i="6"/>
  <c r="F96" i="6"/>
  <c r="N54" i="6"/>
  <c r="M54" i="6"/>
  <c r="L54" i="6"/>
  <c r="J54" i="6"/>
  <c r="D54" i="6"/>
  <c r="E54" i="6"/>
  <c r="N11" i="6"/>
  <c r="M11" i="6"/>
  <c r="F11" i="6"/>
  <c r="E11" i="6"/>
  <c r="L11" i="6"/>
  <c r="D11" i="6"/>
  <c r="B236" i="6"/>
  <c r="B92" i="6"/>
  <c r="C396" i="6"/>
  <c r="C188" i="6"/>
  <c r="C172" i="6"/>
  <c r="C156" i="6"/>
  <c r="C60" i="6"/>
  <c r="C28" i="6"/>
  <c r="C12" i="6"/>
  <c r="D302" i="6"/>
  <c r="D270" i="6"/>
  <c r="D174" i="6"/>
  <c r="D142" i="6"/>
  <c r="D46" i="6"/>
  <c r="F71" i="6"/>
  <c r="N368" i="6"/>
  <c r="N391" i="6"/>
  <c r="M391" i="6"/>
  <c r="J391" i="6"/>
  <c r="E391" i="6"/>
  <c r="D391" i="6"/>
  <c r="N376" i="6"/>
  <c r="M376" i="6"/>
  <c r="J376" i="6"/>
  <c r="F376" i="6"/>
  <c r="E376" i="6"/>
  <c r="D376" i="6"/>
  <c r="M362" i="6"/>
  <c r="J362" i="6"/>
  <c r="F362" i="6"/>
  <c r="N362" i="6"/>
  <c r="E362" i="6"/>
  <c r="D362" i="6"/>
  <c r="J348" i="6"/>
  <c r="F348" i="6"/>
  <c r="N348" i="6"/>
  <c r="M348" i="6"/>
  <c r="E348" i="6"/>
  <c r="D348" i="6"/>
  <c r="M334" i="6"/>
  <c r="J334" i="6"/>
  <c r="F334" i="6"/>
  <c r="J305" i="6"/>
  <c r="M305" i="6"/>
  <c r="N305" i="6"/>
  <c r="N291" i="6"/>
  <c r="M291" i="6"/>
  <c r="J291" i="6"/>
  <c r="F291" i="6"/>
  <c r="N277" i="6"/>
  <c r="M277" i="6"/>
  <c r="J277" i="6"/>
  <c r="N263" i="6"/>
  <c r="M263" i="6"/>
  <c r="E263" i="6"/>
  <c r="D263" i="6"/>
  <c r="M234" i="6"/>
  <c r="F234" i="6"/>
  <c r="J234" i="6"/>
  <c r="E234" i="6"/>
  <c r="D234" i="6"/>
  <c r="N234" i="6"/>
  <c r="L220" i="6"/>
  <c r="F220" i="6"/>
  <c r="N220" i="6"/>
  <c r="M220" i="6"/>
  <c r="E220" i="6"/>
  <c r="D220" i="6"/>
  <c r="N206" i="6"/>
  <c r="M206" i="6"/>
  <c r="J206" i="6"/>
  <c r="F206" i="6"/>
  <c r="L206" i="6"/>
  <c r="N177" i="6"/>
  <c r="M177" i="6"/>
  <c r="J177" i="6"/>
  <c r="N163" i="6"/>
  <c r="M163" i="6"/>
  <c r="L163" i="6"/>
  <c r="J163" i="6"/>
  <c r="F163" i="6"/>
  <c r="N149" i="6"/>
  <c r="M149" i="6"/>
  <c r="L149" i="6"/>
  <c r="J149" i="6"/>
  <c r="N135" i="6"/>
  <c r="M135" i="6"/>
  <c r="E135" i="6"/>
  <c r="D135" i="6"/>
  <c r="J135" i="6"/>
  <c r="N120" i="6"/>
  <c r="M120" i="6"/>
  <c r="L120" i="6"/>
  <c r="J120" i="6"/>
  <c r="F120" i="6"/>
  <c r="E120" i="6"/>
  <c r="D120" i="6"/>
  <c r="F106" i="6"/>
  <c r="N106" i="6"/>
  <c r="J106" i="6"/>
  <c r="M106" i="6"/>
  <c r="L106" i="6"/>
  <c r="E106" i="6"/>
  <c r="D106" i="6"/>
  <c r="M92" i="6"/>
  <c r="L92" i="6"/>
  <c r="F92" i="6"/>
  <c r="N92" i="6"/>
  <c r="E92" i="6"/>
  <c r="D92" i="6"/>
  <c r="J92" i="6"/>
  <c r="J78" i="6"/>
  <c r="F78" i="6"/>
  <c r="E78" i="6"/>
  <c r="M78" i="6"/>
  <c r="J49" i="6"/>
  <c r="L49" i="6"/>
  <c r="N35" i="6"/>
  <c r="M35" i="6"/>
  <c r="L35" i="6"/>
  <c r="J35" i="6"/>
  <c r="F35" i="6"/>
  <c r="E35" i="6"/>
  <c r="N21" i="6"/>
  <c r="M21" i="6"/>
  <c r="L21" i="6"/>
  <c r="J21" i="6"/>
  <c r="N7" i="6"/>
  <c r="M7" i="6"/>
  <c r="D7" i="6"/>
  <c r="E7" i="6"/>
  <c r="B391" i="6"/>
  <c r="B375" i="6"/>
  <c r="B359" i="6"/>
  <c r="B343" i="6"/>
  <c r="B327" i="6"/>
  <c r="B295" i="6"/>
  <c r="B279" i="6"/>
  <c r="B263" i="6"/>
  <c r="B231" i="6"/>
  <c r="B215" i="6"/>
  <c r="B167" i="6"/>
  <c r="B151" i="6"/>
  <c r="B135" i="6"/>
  <c r="B119" i="6"/>
  <c r="B71" i="6"/>
  <c r="B55" i="6"/>
  <c r="B39" i="6"/>
  <c r="B23" i="6"/>
  <c r="B7" i="6"/>
  <c r="C391" i="6"/>
  <c r="C359" i="6"/>
  <c r="C343" i="6"/>
  <c r="C327" i="6"/>
  <c r="C311" i="6"/>
  <c r="C295" i="6"/>
  <c r="C279" i="6"/>
  <c r="C263" i="6"/>
  <c r="C231" i="6"/>
  <c r="C215" i="6"/>
  <c r="C199" i="6"/>
  <c r="C167" i="6"/>
  <c r="C151" i="6"/>
  <c r="C135" i="6"/>
  <c r="C103" i="6"/>
  <c r="C87" i="6"/>
  <c r="C71" i="6"/>
  <c r="C39" i="6"/>
  <c r="C23" i="6"/>
  <c r="C7" i="6"/>
  <c r="D385" i="6"/>
  <c r="D321" i="6"/>
  <c r="D257" i="6"/>
  <c r="D225" i="6"/>
  <c r="D193" i="6"/>
  <c r="D129" i="6"/>
  <c r="D65" i="6"/>
  <c r="E401" i="6"/>
  <c r="E369" i="6"/>
  <c r="E337" i="6"/>
  <c r="E305" i="6"/>
  <c r="E273" i="6"/>
  <c r="E241" i="6"/>
  <c r="E209" i="6"/>
  <c r="E177" i="6"/>
  <c r="E145" i="6"/>
  <c r="E113" i="6"/>
  <c r="E71" i="6"/>
  <c r="E18" i="6"/>
  <c r="F358" i="6"/>
  <c r="F305" i="6"/>
  <c r="F242" i="6"/>
  <c r="F178" i="6"/>
  <c r="F114" i="6"/>
  <c r="F50" i="6"/>
  <c r="J386" i="6"/>
  <c r="J316" i="6"/>
  <c r="J110" i="6"/>
  <c r="J10" i="6"/>
  <c r="L128" i="6"/>
  <c r="M301" i="6"/>
  <c r="M173" i="6"/>
  <c r="M49" i="6"/>
  <c r="N316" i="6"/>
  <c r="N192" i="6"/>
  <c r="N59" i="6"/>
  <c r="N370" i="6"/>
  <c r="N381" i="6"/>
  <c r="J381" i="6"/>
  <c r="F381" i="6"/>
  <c r="M381" i="6"/>
  <c r="E381" i="6"/>
  <c r="D381" i="6"/>
  <c r="N324" i="6"/>
  <c r="M324" i="6"/>
  <c r="J324" i="6"/>
  <c r="F324" i="6"/>
  <c r="N281" i="6"/>
  <c r="M281" i="6"/>
  <c r="J281" i="6"/>
  <c r="F281" i="6"/>
  <c r="E281" i="6"/>
  <c r="D281" i="6"/>
  <c r="N210" i="6"/>
  <c r="M210" i="6"/>
  <c r="L210" i="6"/>
  <c r="N68" i="6"/>
  <c r="M68" i="6"/>
  <c r="L68" i="6"/>
  <c r="J68" i="6"/>
  <c r="F68" i="6"/>
  <c r="N25" i="6"/>
  <c r="M25" i="6"/>
  <c r="L25" i="6"/>
  <c r="J25" i="6"/>
  <c r="F25" i="6"/>
  <c r="E25" i="6"/>
  <c r="D25" i="6"/>
  <c r="B348" i="6"/>
  <c r="B172" i="6"/>
  <c r="C316" i="6"/>
  <c r="C284" i="6"/>
  <c r="C268" i="6"/>
  <c r="C44" i="6"/>
  <c r="D14" i="6"/>
  <c r="E286" i="6"/>
  <c r="E158" i="6"/>
  <c r="F385" i="6"/>
  <c r="F325" i="6"/>
  <c r="F199" i="6"/>
  <c r="J343" i="6"/>
  <c r="N390" i="6"/>
  <c r="M390" i="6"/>
  <c r="E390" i="6"/>
  <c r="D390" i="6"/>
  <c r="N361" i="6"/>
  <c r="M361" i="6"/>
  <c r="J361" i="6"/>
  <c r="F361" i="6"/>
  <c r="E361" i="6"/>
  <c r="D361" i="6"/>
  <c r="J347" i="6"/>
  <c r="F347" i="6"/>
  <c r="M347" i="6"/>
  <c r="N347" i="6"/>
  <c r="E347" i="6"/>
  <c r="D347" i="6"/>
  <c r="J333" i="6"/>
  <c r="F333" i="6"/>
  <c r="N333" i="6"/>
  <c r="M333" i="6"/>
  <c r="E333" i="6"/>
  <c r="D333" i="6"/>
  <c r="N319" i="6"/>
  <c r="M319" i="6"/>
  <c r="F319" i="6"/>
  <c r="N290" i="6"/>
  <c r="M290" i="6"/>
  <c r="F290" i="6"/>
  <c r="J290" i="6"/>
  <c r="N276" i="6"/>
  <c r="M276" i="6"/>
  <c r="J276" i="6"/>
  <c r="N262" i="6"/>
  <c r="M262" i="6"/>
  <c r="J262" i="6"/>
  <c r="E262" i="6"/>
  <c r="D262" i="6"/>
  <c r="F262" i="6"/>
  <c r="N233" i="6"/>
  <c r="M233" i="6"/>
  <c r="J233" i="6"/>
  <c r="F233" i="6"/>
  <c r="E233" i="6"/>
  <c r="D233" i="6"/>
  <c r="L219" i="6"/>
  <c r="F219" i="6"/>
  <c r="N219" i="6"/>
  <c r="M219" i="6"/>
  <c r="E219" i="6"/>
  <c r="D219" i="6"/>
  <c r="M205" i="6"/>
  <c r="J205" i="6"/>
  <c r="F205" i="6"/>
  <c r="N205" i="6"/>
  <c r="L205" i="6"/>
  <c r="E205" i="6"/>
  <c r="D205" i="6"/>
  <c r="L191" i="6"/>
  <c r="F191" i="6"/>
  <c r="J191" i="6"/>
  <c r="L162" i="6"/>
  <c r="F162" i="6"/>
  <c r="N162" i="6"/>
  <c r="M162" i="6"/>
  <c r="N148" i="6"/>
  <c r="M148" i="6"/>
  <c r="L148" i="6"/>
  <c r="J148" i="6"/>
  <c r="N134" i="6"/>
  <c r="M134" i="6"/>
  <c r="L134" i="6"/>
  <c r="J134" i="6"/>
  <c r="E134" i="6"/>
  <c r="D134" i="6"/>
  <c r="F134" i="6"/>
  <c r="N105" i="6"/>
  <c r="M105" i="6"/>
  <c r="L105" i="6"/>
  <c r="J105" i="6"/>
  <c r="F105" i="6"/>
  <c r="E105" i="6"/>
  <c r="D105" i="6"/>
  <c r="L91" i="6"/>
  <c r="F91" i="6"/>
  <c r="M91" i="6"/>
  <c r="N91" i="6"/>
  <c r="E91" i="6"/>
  <c r="D91" i="6"/>
  <c r="J91" i="6"/>
  <c r="J77" i="6"/>
  <c r="F77" i="6"/>
  <c r="E77" i="6"/>
  <c r="N77" i="6"/>
  <c r="M77" i="6"/>
  <c r="D77" i="6"/>
  <c r="N63" i="6"/>
  <c r="M63" i="6"/>
  <c r="L63" i="6"/>
  <c r="F63" i="6"/>
  <c r="E63" i="6"/>
  <c r="L34" i="6"/>
  <c r="N34" i="6"/>
  <c r="M34" i="6"/>
  <c r="F34" i="6"/>
  <c r="E34" i="6"/>
  <c r="J34" i="6"/>
  <c r="N20" i="6"/>
  <c r="M20" i="6"/>
  <c r="L20" i="6"/>
  <c r="J20" i="6"/>
  <c r="N6" i="6"/>
  <c r="M6" i="6"/>
  <c r="L6" i="6"/>
  <c r="J6" i="6"/>
  <c r="D6" i="6"/>
  <c r="E6" i="6"/>
  <c r="F6" i="6"/>
  <c r="B390" i="6"/>
  <c r="B374" i="6"/>
  <c r="B358" i="6"/>
  <c r="B342" i="6"/>
  <c r="B326" i="6"/>
  <c r="B294" i="6"/>
  <c r="B278" i="6"/>
  <c r="B262" i="6"/>
  <c r="B246" i="6"/>
  <c r="B230" i="6"/>
  <c r="B214" i="6"/>
  <c r="B182" i="6"/>
  <c r="B150" i="6"/>
  <c r="B134" i="6"/>
  <c r="B102" i="6"/>
  <c r="B86" i="6"/>
  <c r="B70" i="6"/>
  <c r="B54" i="6"/>
  <c r="B6" i="6"/>
  <c r="C390" i="6"/>
  <c r="C358" i="6"/>
  <c r="C342" i="6"/>
  <c r="C326" i="6"/>
  <c r="C310" i="6"/>
  <c r="C294" i="6"/>
  <c r="C278" i="6"/>
  <c r="C262" i="6"/>
  <c r="C230" i="6"/>
  <c r="C214" i="6"/>
  <c r="C198" i="6"/>
  <c r="C182" i="6"/>
  <c r="C166" i="6"/>
  <c r="C150" i="6"/>
  <c r="C134" i="6"/>
  <c r="C102" i="6"/>
  <c r="C86" i="6"/>
  <c r="C70" i="6"/>
  <c r="C54" i="6"/>
  <c r="C38" i="6"/>
  <c r="C22" i="6"/>
  <c r="C6" i="6"/>
  <c r="D384" i="6"/>
  <c r="D352" i="6"/>
  <c r="D320" i="6"/>
  <c r="D256" i="6"/>
  <c r="D224" i="6"/>
  <c r="D192" i="6"/>
  <c r="D128" i="6"/>
  <c r="D96" i="6"/>
  <c r="D64" i="6"/>
  <c r="E400" i="6"/>
  <c r="E368" i="6"/>
  <c r="E272" i="6"/>
  <c r="E240" i="6"/>
  <c r="E144" i="6"/>
  <c r="E112" i="6"/>
  <c r="E70" i="6"/>
  <c r="E17" i="6"/>
  <c r="F357" i="6"/>
  <c r="F241" i="6"/>
  <c r="F177" i="6"/>
  <c r="F113" i="6"/>
  <c r="F49" i="6"/>
  <c r="J385" i="6"/>
  <c r="J315" i="6"/>
  <c r="J209" i="6"/>
  <c r="J109" i="6"/>
  <c r="J7" i="6"/>
  <c r="L127" i="6"/>
  <c r="L10" i="6"/>
  <c r="M300" i="6"/>
  <c r="M172" i="6"/>
  <c r="N315" i="6"/>
  <c r="N191" i="6"/>
  <c r="N58" i="6"/>
  <c r="M242" i="6"/>
  <c r="N113" i="6"/>
  <c r="N382" i="6"/>
  <c r="J382" i="6"/>
  <c r="F382" i="6"/>
  <c r="M382" i="6"/>
  <c r="N353" i="6"/>
  <c r="F353" i="6"/>
  <c r="N325" i="6"/>
  <c r="M325" i="6"/>
  <c r="J325" i="6"/>
  <c r="F282" i="6"/>
  <c r="J282" i="6"/>
  <c r="N282" i="6"/>
  <c r="E282" i="6"/>
  <c r="D282" i="6"/>
  <c r="M282" i="6"/>
  <c r="J254" i="6"/>
  <c r="F254" i="6"/>
  <c r="M254" i="6"/>
  <c r="J225" i="6"/>
  <c r="L225" i="6"/>
  <c r="F225" i="6"/>
  <c r="N225" i="6"/>
  <c r="N211" i="6"/>
  <c r="M211" i="6"/>
  <c r="L211" i="6"/>
  <c r="J211" i="6"/>
  <c r="N183" i="6"/>
  <c r="M183" i="6"/>
  <c r="J183" i="6"/>
  <c r="F183" i="6"/>
  <c r="E183" i="6"/>
  <c r="D183" i="6"/>
  <c r="N168" i="6"/>
  <c r="M168" i="6"/>
  <c r="L168" i="6"/>
  <c r="J168" i="6"/>
  <c r="F168" i="6"/>
  <c r="E168" i="6"/>
  <c r="D168" i="6"/>
  <c r="N154" i="6"/>
  <c r="M154" i="6"/>
  <c r="F154" i="6"/>
  <c r="J154" i="6"/>
  <c r="L154" i="6"/>
  <c r="E154" i="6"/>
  <c r="D154" i="6"/>
  <c r="L140" i="6"/>
  <c r="F140" i="6"/>
  <c r="M140" i="6"/>
  <c r="J140" i="6"/>
  <c r="E140" i="6"/>
  <c r="D140" i="6"/>
  <c r="N126" i="6"/>
  <c r="M126" i="6"/>
  <c r="J126" i="6"/>
  <c r="F126" i="6"/>
  <c r="J97" i="6"/>
  <c r="N97" i="6"/>
  <c r="M97" i="6"/>
  <c r="L97" i="6"/>
  <c r="F97" i="6"/>
  <c r="N83" i="6"/>
  <c r="M83" i="6"/>
  <c r="L83" i="6"/>
  <c r="J83" i="6"/>
  <c r="E83" i="6"/>
  <c r="N69" i="6"/>
  <c r="M69" i="6"/>
  <c r="L69" i="6"/>
  <c r="J69" i="6"/>
  <c r="F69" i="6"/>
  <c r="N55" i="6"/>
  <c r="M55" i="6"/>
  <c r="J55" i="6"/>
  <c r="F55" i="6"/>
  <c r="D55" i="6"/>
  <c r="E55" i="6"/>
  <c r="L55" i="6"/>
  <c r="N40" i="6"/>
  <c r="M40" i="6"/>
  <c r="L40" i="6"/>
  <c r="J40" i="6"/>
  <c r="F40" i="6"/>
  <c r="E40" i="6"/>
  <c r="D40" i="6"/>
  <c r="F26" i="6"/>
  <c r="E26" i="6"/>
  <c r="J26" i="6"/>
  <c r="N26" i="6"/>
  <c r="M26" i="6"/>
  <c r="D26" i="6"/>
  <c r="B365" i="6"/>
  <c r="B349" i="6"/>
  <c r="B333" i="6"/>
  <c r="B237" i="6"/>
  <c r="B221" i="6"/>
  <c r="B205" i="6"/>
  <c r="B173" i="6"/>
  <c r="B141" i="6"/>
  <c r="B93" i="6"/>
  <c r="B61" i="6"/>
  <c r="B45" i="6"/>
  <c r="B13" i="6"/>
  <c r="C397" i="6"/>
  <c r="C301" i="6"/>
  <c r="C285" i="6"/>
  <c r="C269" i="6"/>
  <c r="C173" i="6"/>
  <c r="C157" i="6"/>
  <c r="C141" i="6"/>
  <c r="C45" i="6"/>
  <c r="C29" i="6"/>
  <c r="C13" i="6"/>
  <c r="D397" i="6"/>
  <c r="D271" i="6"/>
  <c r="D143" i="6"/>
  <c r="D15" i="6"/>
  <c r="E383" i="6"/>
  <c r="E287" i="6"/>
  <c r="E255" i="6"/>
  <c r="E159" i="6"/>
  <c r="E127" i="6"/>
  <c r="F326" i="6"/>
  <c r="F272" i="6"/>
  <c r="F144" i="6"/>
  <c r="F16" i="6"/>
  <c r="J258" i="6"/>
  <c r="J158" i="6"/>
  <c r="J58" i="6"/>
  <c r="N389" i="6"/>
  <c r="M389" i="6"/>
  <c r="N375" i="6"/>
  <c r="E375" i="6"/>
  <c r="D375" i="6"/>
  <c r="F375" i="6"/>
  <c r="J346" i="6"/>
  <c r="F346" i="6"/>
  <c r="M346" i="6"/>
  <c r="N346" i="6"/>
  <c r="E346" i="6"/>
  <c r="D346" i="6"/>
  <c r="J332" i="6"/>
  <c r="F332" i="6"/>
  <c r="N332" i="6"/>
  <c r="M332" i="6"/>
  <c r="E332" i="6"/>
  <c r="D332" i="6"/>
  <c r="M318" i="6"/>
  <c r="F318" i="6"/>
  <c r="N318" i="6"/>
  <c r="N289" i="6"/>
  <c r="M289" i="6"/>
  <c r="F289" i="6"/>
  <c r="J289" i="6"/>
  <c r="N275" i="6"/>
  <c r="M275" i="6"/>
  <c r="J275" i="6"/>
  <c r="N261" i="6"/>
  <c r="M261" i="6"/>
  <c r="J261" i="6"/>
  <c r="F261" i="6"/>
  <c r="N247" i="6"/>
  <c r="F247" i="6"/>
  <c r="E247" i="6"/>
  <c r="D247" i="6"/>
  <c r="L218" i="6"/>
  <c r="F218" i="6"/>
  <c r="N218" i="6"/>
  <c r="M218" i="6"/>
  <c r="E218" i="6"/>
  <c r="D218" i="6"/>
  <c r="J204" i="6"/>
  <c r="F204" i="6"/>
  <c r="M204" i="6"/>
  <c r="N204" i="6"/>
  <c r="L204" i="6"/>
  <c r="E204" i="6"/>
  <c r="D204" i="6"/>
  <c r="L190" i="6"/>
  <c r="F190" i="6"/>
  <c r="N190" i="6"/>
  <c r="J190" i="6"/>
  <c r="F161" i="6"/>
  <c r="N161" i="6"/>
  <c r="M161" i="6"/>
  <c r="N147" i="6"/>
  <c r="M147" i="6"/>
  <c r="L147" i="6"/>
  <c r="J147" i="6"/>
  <c r="N133" i="6"/>
  <c r="M133" i="6"/>
  <c r="L133" i="6"/>
  <c r="J133" i="6"/>
  <c r="F133" i="6"/>
  <c r="N119" i="6"/>
  <c r="M119" i="6"/>
  <c r="L119" i="6"/>
  <c r="J119" i="6"/>
  <c r="F119" i="6"/>
  <c r="E119" i="6"/>
  <c r="D119" i="6"/>
  <c r="L90" i="6"/>
  <c r="F90" i="6"/>
  <c r="E90" i="6"/>
  <c r="N90" i="6"/>
  <c r="D90" i="6"/>
  <c r="J90" i="6"/>
  <c r="M90" i="6"/>
  <c r="J76" i="6"/>
  <c r="F76" i="6"/>
  <c r="E76" i="6"/>
  <c r="N76" i="6"/>
  <c r="M76" i="6"/>
  <c r="D76" i="6"/>
  <c r="M62" i="6"/>
  <c r="L62" i="6"/>
  <c r="F62" i="6"/>
  <c r="E62" i="6"/>
  <c r="N62" i="6"/>
  <c r="N33" i="6"/>
  <c r="M33" i="6"/>
  <c r="L33" i="6"/>
  <c r="F33" i="6"/>
  <c r="E33" i="6"/>
  <c r="J33" i="6"/>
  <c r="N19" i="6"/>
  <c r="M19" i="6"/>
  <c r="L19" i="6"/>
  <c r="J19" i="6"/>
  <c r="N5" i="6"/>
  <c r="M5" i="6"/>
  <c r="L5" i="6"/>
  <c r="J5" i="6"/>
  <c r="E5" i="6"/>
  <c r="F5" i="6"/>
  <c r="B389" i="6"/>
  <c r="B373" i="6"/>
  <c r="B357" i="6"/>
  <c r="B341" i="6"/>
  <c r="B325" i="6"/>
  <c r="B309" i="6"/>
  <c r="B293" i="6"/>
  <c r="B277" i="6"/>
  <c r="B261" i="6"/>
  <c r="B245" i="6"/>
  <c r="B229" i="6"/>
  <c r="B213" i="6"/>
  <c r="B181" i="6"/>
  <c r="B165" i="6"/>
  <c r="B149" i="6"/>
  <c r="B133" i="6"/>
  <c r="B117" i="6"/>
  <c r="B101" i="6"/>
  <c r="B85" i="6"/>
  <c r="B53" i="6"/>
  <c r="B37" i="6"/>
  <c r="B21" i="6"/>
  <c r="B5" i="6"/>
  <c r="C389" i="6"/>
  <c r="C373" i="6"/>
  <c r="C357" i="6"/>
  <c r="C341" i="6"/>
  <c r="C325" i="6"/>
  <c r="C309" i="6"/>
  <c r="C293" i="6"/>
  <c r="C277" i="6"/>
  <c r="C261" i="6"/>
  <c r="C245" i="6"/>
  <c r="C229" i="6"/>
  <c r="C213" i="6"/>
  <c r="C197" i="6"/>
  <c r="C181" i="6"/>
  <c r="C165" i="6"/>
  <c r="C149" i="6"/>
  <c r="C133" i="6"/>
  <c r="C117" i="6"/>
  <c r="C101" i="6"/>
  <c r="C85" i="6"/>
  <c r="C69" i="6"/>
  <c r="C53" i="6"/>
  <c r="C37" i="6"/>
  <c r="C21" i="6"/>
  <c r="C5" i="6"/>
  <c r="D383" i="6"/>
  <c r="D351" i="6"/>
  <c r="D319" i="6"/>
  <c r="D287" i="6"/>
  <c r="D255" i="6"/>
  <c r="D223" i="6"/>
  <c r="D191" i="6"/>
  <c r="D159" i="6"/>
  <c r="D127" i="6"/>
  <c r="D95" i="6"/>
  <c r="D63" i="6"/>
  <c r="D31" i="6"/>
  <c r="E399" i="6"/>
  <c r="E367" i="6"/>
  <c r="E335" i="6"/>
  <c r="E303" i="6"/>
  <c r="E271" i="6"/>
  <c r="E239" i="6"/>
  <c r="E207" i="6"/>
  <c r="E143" i="6"/>
  <c r="E111" i="6"/>
  <c r="E69" i="6"/>
  <c r="E16" i="6"/>
  <c r="F356" i="6"/>
  <c r="F240" i="6"/>
  <c r="F112" i="6"/>
  <c r="J384" i="6"/>
  <c r="J314" i="6"/>
  <c r="J108" i="6"/>
  <c r="L126" i="6"/>
  <c r="L7" i="6"/>
  <c r="M299" i="6"/>
  <c r="M171" i="6"/>
  <c r="N314" i="6"/>
  <c r="N174" i="6"/>
  <c r="N50" i="6"/>
  <c r="J143" i="6"/>
  <c r="J43" i="6"/>
  <c r="N111" i="6"/>
  <c r="N2" i="6"/>
  <c r="F2" i="6"/>
  <c r="J2" i="6"/>
  <c r="N388" i="6"/>
  <c r="M388" i="6"/>
  <c r="N374" i="6"/>
  <c r="M374" i="6"/>
  <c r="E374" i="6"/>
  <c r="D374" i="6"/>
  <c r="F374" i="6"/>
  <c r="J374" i="6"/>
  <c r="N345" i="6"/>
  <c r="M345" i="6"/>
  <c r="J345" i="6"/>
  <c r="F345" i="6"/>
  <c r="E345" i="6"/>
  <c r="D345" i="6"/>
  <c r="J331" i="6"/>
  <c r="F331" i="6"/>
  <c r="N331" i="6"/>
  <c r="M331" i="6"/>
  <c r="E331" i="6"/>
  <c r="D331" i="6"/>
  <c r="M317" i="6"/>
  <c r="F317" i="6"/>
  <c r="E317" i="6"/>
  <c r="D317" i="6"/>
  <c r="J303" i="6"/>
  <c r="N303" i="6"/>
  <c r="J274" i="6"/>
  <c r="M274" i="6"/>
  <c r="N260" i="6"/>
  <c r="M260" i="6"/>
  <c r="J260" i="6"/>
  <c r="F260" i="6"/>
  <c r="N246" i="6"/>
  <c r="M246" i="6"/>
  <c r="J246" i="6"/>
  <c r="E246" i="6"/>
  <c r="D246" i="6"/>
  <c r="N217" i="6"/>
  <c r="M217" i="6"/>
  <c r="L217" i="6"/>
  <c r="J217" i="6"/>
  <c r="F217" i="6"/>
  <c r="E217" i="6"/>
  <c r="D217" i="6"/>
  <c r="J203" i="6"/>
  <c r="F203" i="6"/>
  <c r="L203" i="6"/>
  <c r="M203" i="6"/>
  <c r="E203" i="6"/>
  <c r="D203" i="6"/>
  <c r="F189" i="6"/>
  <c r="N189" i="6"/>
  <c r="M189" i="6"/>
  <c r="L189" i="6"/>
  <c r="J189" i="6"/>
  <c r="E189" i="6"/>
  <c r="D189" i="6"/>
  <c r="M175" i="6"/>
  <c r="J175" i="6"/>
  <c r="L175" i="6"/>
  <c r="F175" i="6"/>
  <c r="N175" i="6"/>
  <c r="N146" i="6"/>
  <c r="M146" i="6"/>
  <c r="J146" i="6"/>
  <c r="L146" i="6"/>
  <c r="N132" i="6"/>
  <c r="M132" i="6"/>
  <c r="L132" i="6"/>
  <c r="J132" i="6"/>
  <c r="F132" i="6"/>
  <c r="N118" i="6"/>
  <c r="M118" i="6"/>
  <c r="L118" i="6"/>
  <c r="J118" i="6"/>
  <c r="E118" i="6"/>
  <c r="D118" i="6"/>
  <c r="N89" i="6"/>
  <c r="M89" i="6"/>
  <c r="L89" i="6"/>
  <c r="J89" i="6"/>
  <c r="F89" i="6"/>
  <c r="E89" i="6"/>
  <c r="D89" i="6"/>
  <c r="J75" i="6"/>
  <c r="F75" i="6"/>
  <c r="E75" i="6"/>
  <c r="N75" i="6"/>
  <c r="M75" i="6"/>
  <c r="L75" i="6"/>
  <c r="D75" i="6"/>
  <c r="F61" i="6"/>
  <c r="E61" i="6"/>
  <c r="M61" i="6"/>
  <c r="L61" i="6"/>
  <c r="D61" i="6"/>
  <c r="J47" i="6"/>
  <c r="N47" i="6"/>
  <c r="L47" i="6"/>
  <c r="F47" i="6"/>
  <c r="J18" i="6"/>
  <c r="L18" i="6"/>
  <c r="N18" i="6"/>
  <c r="M18" i="6"/>
  <c r="N4" i="6"/>
  <c r="M4" i="6"/>
  <c r="L4" i="6"/>
  <c r="J4" i="6"/>
  <c r="E4" i="6"/>
  <c r="F4" i="6"/>
  <c r="B388" i="6"/>
  <c r="B372" i="6"/>
  <c r="B356" i="6"/>
  <c r="B340" i="6"/>
  <c r="B324" i="6"/>
  <c r="B308" i="6"/>
  <c r="B292" i="6"/>
  <c r="B276" i="6"/>
  <c r="B260" i="6"/>
  <c r="B244" i="6"/>
  <c r="B228" i="6"/>
  <c r="B212" i="6"/>
  <c r="B196" i="6"/>
  <c r="B180" i="6"/>
  <c r="B148" i="6"/>
  <c r="B132" i="6"/>
  <c r="B116" i="6"/>
  <c r="B100" i="6"/>
  <c r="B84" i="6"/>
  <c r="B68" i="6"/>
  <c r="B52" i="6"/>
  <c r="B36" i="6"/>
  <c r="B20" i="6"/>
  <c r="B4" i="6"/>
  <c r="C388" i="6"/>
  <c r="C372" i="6"/>
  <c r="C356" i="6"/>
  <c r="C340" i="6"/>
  <c r="C324" i="6"/>
  <c r="C308" i="6"/>
  <c r="C292" i="6"/>
  <c r="C276" i="6"/>
  <c r="C260" i="6"/>
  <c r="C244" i="6"/>
  <c r="C228" i="6"/>
  <c r="C212" i="6"/>
  <c r="C196" i="6"/>
  <c r="C180" i="6"/>
  <c r="C164" i="6"/>
  <c r="C148" i="6"/>
  <c r="C132" i="6"/>
  <c r="C116" i="6"/>
  <c r="C100" i="6"/>
  <c r="C84" i="6"/>
  <c r="C68" i="6"/>
  <c r="C52" i="6"/>
  <c r="C36" i="6"/>
  <c r="C20" i="6"/>
  <c r="C4" i="6"/>
  <c r="D382" i="6"/>
  <c r="D350" i="6"/>
  <c r="D318" i="6"/>
  <c r="D286" i="6"/>
  <c r="D254" i="6"/>
  <c r="D222" i="6"/>
  <c r="D190" i="6"/>
  <c r="D158" i="6"/>
  <c r="D126" i="6"/>
  <c r="D94" i="6"/>
  <c r="D62" i="6"/>
  <c r="D30" i="6"/>
  <c r="E398" i="6"/>
  <c r="E366" i="6"/>
  <c r="E334" i="6"/>
  <c r="E302" i="6"/>
  <c r="E270" i="6"/>
  <c r="E238" i="6"/>
  <c r="E206" i="6"/>
  <c r="E174" i="6"/>
  <c r="E142" i="6"/>
  <c r="E110" i="6"/>
  <c r="E68" i="6"/>
  <c r="E15" i="6"/>
  <c r="F355" i="6"/>
  <c r="F295" i="6"/>
  <c r="F231" i="6"/>
  <c r="F167" i="6"/>
  <c r="F103" i="6"/>
  <c r="F39" i="6"/>
  <c r="J375" i="6"/>
  <c r="J299" i="6"/>
  <c r="J193" i="6"/>
  <c r="J93" i="6"/>
  <c r="L215" i="6"/>
  <c r="L111" i="6"/>
  <c r="M2" i="6"/>
  <c r="M298" i="6"/>
  <c r="M170" i="6"/>
  <c r="M30" i="6"/>
  <c r="N306" i="6"/>
  <c r="N173" i="6"/>
  <c r="N49" i="6"/>
  <c r="H1536" i="2"/>
  <c r="I1536" i="2" s="1"/>
  <c r="H1493" i="2"/>
  <c r="I1493" i="2" s="1"/>
  <c r="H1136" i="2"/>
  <c r="I1136" i="2" s="1"/>
  <c r="H1024" i="2"/>
  <c r="I1024" i="2" s="1"/>
  <c r="H368" i="2"/>
  <c r="I368" i="2" s="1"/>
  <c r="H176" i="2"/>
  <c r="I176" i="2" s="1"/>
  <c r="H1492" i="2"/>
  <c r="I1492" i="2" s="1"/>
  <c r="H1424" i="2"/>
  <c r="I1424" i="2" s="1"/>
  <c r="H1381" i="2"/>
  <c r="H1312" i="2"/>
  <c r="I1312" i="2" s="1"/>
  <c r="H928" i="2"/>
  <c r="I928" i="2" s="1"/>
  <c r="H848" i="2"/>
  <c r="I848" i="2" s="1"/>
  <c r="H704" i="2"/>
  <c r="I704" i="2" s="1"/>
  <c r="H576" i="2"/>
  <c r="I576" i="2" s="1"/>
  <c r="H464" i="2"/>
  <c r="I464" i="2" s="1"/>
  <c r="H256" i="2"/>
  <c r="I256" i="2" s="1"/>
  <c r="G1214" i="2"/>
  <c r="H1568" i="2"/>
  <c r="I1568" i="2" s="1"/>
  <c r="H1525" i="2"/>
  <c r="I1525" i="2" s="1"/>
  <c r="H1491" i="2"/>
  <c r="I1491" i="2" s="1"/>
  <c r="H1380" i="2"/>
  <c r="I1380" i="2" s="1"/>
  <c r="H1218" i="2"/>
  <c r="H914" i="2"/>
  <c r="H818" i="2"/>
  <c r="H690" i="2"/>
  <c r="H562" i="2"/>
  <c r="H352" i="2"/>
  <c r="I352" i="2" s="1"/>
  <c r="H242" i="2"/>
  <c r="H80" i="2"/>
  <c r="I80" i="2" s="1"/>
  <c r="H1601" i="2"/>
  <c r="I1601" i="2" s="1"/>
  <c r="H1558" i="2"/>
  <c r="H1524" i="2"/>
  <c r="H1490" i="2"/>
  <c r="H1456" i="2"/>
  <c r="I1456" i="2" s="1"/>
  <c r="H1413" i="2"/>
  <c r="I1413" i="2" s="1"/>
  <c r="H1379" i="2"/>
  <c r="H1290" i="2"/>
  <c r="H1217" i="2"/>
  <c r="I1217" i="2" s="1"/>
  <c r="H1115" i="2"/>
  <c r="H280" i="6" s="1"/>
  <c r="H1002" i="2"/>
  <c r="H913" i="2"/>
  <c r="I913" i="2" s="1"/>
  <c r="H817" i="2"/>
  <c r="I817" i="2" s="1"/>
  <c r="H688" i="2"/>
  <c r="I688" i="2" s="1"/>
  <c r="H560" i="2"/>
  <c r="I560" i="2" s="1"/>
  <c r="H448" i="2"/>
  <c r="I448" i="2" s="1"/>
  <c r="H338" i="2"/>
  <c r="H241" i="2"/>
  <c r="I241" i="2" s="1"/>
  <c r="H160" i="2"/>
  <c r="I160" i="2" s="1"/>
  <c r="H66" i="2"/>
  <c r="H1444" i="2"/>
  <c r="I1444" i="2" s="1"/>
  <c r="H1554" i="2"/>
  <c r="H1104" i="2"/>
  <c r="I1104" i="2" s="1"/>
  <c r="H130" i="2"/>
  <c r="H1587" i="2"/>
  <c r="I1587" i="2" s="1"/>
  <c r="H1553" i="2"/>
  <c r="I1553" i="2" s="1"/>
  <c r="H1510" i="2"/>
  <c r="H1476" i="2"/>
  <c r="I1476" i="2" s="1"/>
  <c r="H1442" i="2"/>
  <c r="H1408" i="2"/>
  <c r="I1408" i="2" s="1"/>
  <c r="H1365" i="2"/>
  <c r="I1365" i="2" s="1"/>
  <c r="H1259" i="2"/>
  <c r="I1259" i="2" s="1"/>
  <c r="H1170" i="2"/>
  <c r="H1074" i="2"/>
  <c r="H973" i="2"/>
  <c r="I973" i="2" s="1"/>
  <c r="H882" i="2"/>
  <c r="H769" i="2"/>
  <c r="I769" i="2" s="1"/>
  <c r="H641" i="2"/>
  <c r="I641" i="2" s="1"/>
  <c r="H513" i="2"/>
  <c r="I513" i="2" s="1"/>
  <c r="H416" i="2"/>
  <c r="I416" i="2" s="1"/>
  <c r="H306" i="2"/>
  <c r="H210" i="2"/>
  <c r="H129" i="2"/>
  <c r="I129" i="2" s="1"/>
  <c r="H48" i="2"/>
  <c r="I48" i="2" s="1"/>
  <c r="H1556" i="2"/>
  <c r="I1556" i="2" s="1"/>
  <c r="H336" i="2"/>
  <c r="I336" i="2" s="1"/>
  <c r="H1589" i="2"/>
  <c r="I1589" i="2" s="1"/>
  <c r="H1477" i="2"/>
  <c r="I1477" i="2" s="1"/>
  <c r="H1586" i="2"/>
  <c r="H1552" i="2"/>
  <c r="I1552" i="2" s="1"/>
  <c r="H1509" i="2"/>
  <c r="I1509" i="2" s="1"/>
  <c r="H1475" i="2"/>
  <c r="I1475" i="2" s="1"/>
  <c r="H1441" i="2"/>
  <c r="I1441" i="2" s="1"/>
  <c r="H1398" i="2"/>
  <c r="H1364" i="2"/>
  <c r="I1364" i="2" s="1"/>
  <c r="H1258" i="2"/>
  <c r="H1169" i="2"/>
  <c r="I1169" i="2" s="1"/>
  <c r="H1073" i="2"/>
  <c r="I1073" i="2" s="1"/>
  <c r="H972" i="2"/>
  <c r="I972" i="2" s="1"/>
  <c r="H881" i="2"/>
  <c r="I881" i="2" s="1"/>
  <c r="H768" i="2"/>
  <c r="I768" i="2" s="1"/>
  <c r="H640" i="2"/>
  <c r="I640" i="2" s="1"/>
  <c r="H512" i="2"/>
  <c r="I512" i="2" s="1"/>
  <c r="H402" i="2"/>
  <c r="H305" i="2"/>
  <c r="I305" i="2" s="1"/>
  <c r="H209" i="2"/>
  <c r="I209" i="2" s="1"/>
  <c r="H128" i="2"/>
  <c r="I128" i="2" s="1"/>
  <c r="H34" i="2"/>
  <c r="H1600" i="2"/>
  <c r="I1600" i="2" s="1"/>
  <c r="H912" i="2"/>
  <c r="I912" i="2" s="1"/>
  <c r="H240" i="2"/>
  <c r="I240" i="2" s="1"/>
  <c r="H1445" i="2"/>
  <c r="I1445" i="2" s="1"/>
  <c r="H1555" i="2"/>
  <c r="I1555" i="2" s="1"/>
  <c r="H1184" i="2"/>
  <c r="I1184" i="2" s="1"/>
  <c r="H784" i="2"/>
  <c r="I784" i="2" s="1"/>
  <c r="H224" i="2"/>
  <c r="I224" i="2" s="1"/>
  <c r="H1585" i="2"/>
  <c r="I1585" i="2" s="1"/>
  <c r="H1542" i="2"/>
  <c r="H1508" i="2"/>
  <c r="I1508" i="2" s="1"/>
  <c r="H1474" i="2"/>
  <c r="H1440" i="2"/>
  <c r="I1440" i="2" s="1"/>
  <c r="H1397" i="2"/>
  <c r="I1397" i="2" s="1"/>
  <c r="H1363" i="2"/>
  <c r="I1363" i="2" s="1"/>
  <c r="H1250" i="2"/>
  <c r="H1168" i="2"/>
  <c r="I1168" i="2" s="1"/>
  <c r="H1057" i="2"/>
  <c r="I1057" i="2" s="1"/>
  <c r="H971" i="2"/>
  <c r="I971" i="2" s="1"/>
  <c r="H880" i="2"/>
  <c r="I880" i="2" s="1"/>
  <c r="H754" i="2"/>
  <c r="H626" i="2"/>
  <c r="H498" i="2"/>
  <c r="H401" i="2"/>
  <c r="I401" i="2" s="1"/>
  <c r="H304" i="2"/>
  <c r="I304" i="2" s="1"/>
  <c r="H208" i="2"/>
  <c r="I208" i="2" s="1"/>
  <c r="H114" i="2"/>
  <c r="H33" i="2"/>
  <c r="I33" i="2" s="1"/>
  <c r="H1557" i="2"/>
  <c r="I1557" i="2" s="1"/>
  <c r="H1412" i="2"/>
  <c r="I1412" i="2" s="1"/>
  <c r="H1488" i="2"/>
  <c r="I1488" i="2" s="1"/>
  <c r="H64" i="2"/>
  <c r="I64" i="2" s="1"/>
  <c r="H992" i="2"/>
  <c r="I992" i="2" s="1"/>
  <c r="H1520" i="2"/>
  <c r="I1520" i="2" s="1"/>
  <c r="H1443" i="2"/>
  <c r="I1443" i="2" s="1"/>
  <c r="H1584" i="2"/>
  <c r="I1584" i="2" s="1"/>
  <c r="H1541" i="2"/>
  <c r="I1541" i="2" s="1"/>
  <c r="H1507" i="2"/>
  <c r="I1507" i="2" s="1"/>
  <c r="H1473" i="2"/>
  <c r="I1473" i="2" s="1"/>
  <c r="H1430" i="2"/>
  <c r="H1396" i="2"/>
  <c r="I1396" i="2" s="1"/>
  <c r="H1362" i="2"/>
  <c r="H1249" i="2"/>
  <c r="I1249" i="2" s="1"/>
  <c r="H1154" i="2"/>
  <c r="H1056" i="2"/>
  <c r="I1056" i="2" s="1"/>
  <c r="H970" i="2"/>
  <c r="H861" i="2"/>
  <c r="I861" i="2" s="1"/>
  <c r="H752" i="2"/>
  <c r="I752" i="2" s="1"/>
  <c r="H624" i="2"/>
  <c r="I624" i="2" s="1"/>
  <c r="H497" i="2"/>
  <c r="I497" i="2" s="1"/>
  <c r="H400" i="2"/>
  <c r="I400" i="2" s="1"/>
  <c r="H289" i="2"/>
  <c r="I289" i="2" s="1"/>
  <c r="H194" i="2"/>
  <c r="H113" i="2"/>
  <c r="I113" i="2" s="1"/>
  <c r="H32" i="2"/>
  <c r="I32" i="2" s="1"/>
  <c r="H800" i="2"/>
  <c r="I800" i="2" s="1"/>
  <c r="H544" i="2"/>
  <c r="I544" i="2" s="1"/>
  <c r="H1280" i="2"/>
  <c r="I1280" i="2" s="1"/>
  <c r="H144" i="2"/>
  <c r="I144" i="2" s="1"/>
  <c r="H974" i="2"/>
  <c r="H320" i="2"/>
  <c r="I320" i="2" s="1"/>
  <c r="H1574" i="2"/>
  <c r="H1540" i="2"/>
  <c r="I1540" i="2" s="1"/>
  <c r="H1506" i="2"/>
  <c r="H1472" i="2"/>
  <c r="I1472" i="2" s="1"/>
  <c r="H1429" i="2"/>
  <c r="I1429" i="2" s="1"/>
  <c r="H1395" i="2"/>
  <c r="I1395" i="2" s="1"/>
  <c r="H1361" i="2"/>
  <c r="I1361" i="2" s="1"/>
  <c r="H1248" i="2"/>
  <c r="I1248" i="2" s="1"/>
  <c r="H1147" i="2"/>
  <c r="I1147" i="2" s="1"/>
  <c r="H1041" i="2"/>
  <c r="I1041" i="2" s="1"/>
  <c r="H962" i="2"/>
  <c r="H860" i="2"/>
  <c r="I860" i="2" s="1"/>
  <c r="H737" i="2"/>
  <c r="I737" i="2" s="1"/>
  <c r="H609" i="2"/>
  <c r="I609" i="2" s="1"/>
  <c r="H496" i="2"/>
  <c r="I496" i="2" s="1"/>
  <c r="H385" i="2"/>
  <c r="I385" i="2" s="1"/>
  <c r="H288" i="2"/>
  <c r="I288" i="2" s="1"/>
  <c r="H193" i="2"/>
  <c r="I193" i="2" s="1"/>
  <c r="H112" i="2"/>
  <c r="I112" i="2" s="1"/>
  <c r="H18" i="2"/>
  <c r="H672" i="2"/>
  <c r="I672" i="2" s="1"/>
  <c r="H656" i="2"/>
  <c r="I656" i="2" s="1"/>
  <c r="H1573" i="2"/>
  <c r="I1573" i="2" s="1"/>
  <c r="H1539" i="2"/>
  <c r="I1539" i="2" s="1"/>
  <c r="H1505" i="2"/>
  <c r="I1505" i="2" s="1"/>
  <c r="H1462" i="2"/>
  <c r="H1428" i="2"/>
  <c r="H1394" i="2"/>
  <c r="H1360" i="2"/>
  <c r="I1360" i="2" s="1"/>
  <c r="H1230" i="2"/>
  <c r="H1146" i="2"/>
  <c r="H1034" i="2"/>
  <c r="H961" i="2"/>
  <c r="I961" i="2" s="1"/>
  <c r="H859" i="2"/>
  <c r="I859" i="2" s="1"/>
  <c r="H736" i="2"/>
  <c r="I736" i="2" s="1"/>
  <c r="H608" i="2"/>
  <c r="I608" i="2" s="1"/>
  <c r="H481" i="2"/>
  <c r="I481" i="2" s="1"/>
  <c r="H384" i="2"/>
  <c r="I384" i="2" s="1"/>
  <c r="H274" i="2"/>
  <c r="H192" i="2"/>
  <c r="I192" i="2" s="1"/>
  <c r="H98" i="2"/>
  <c r="H17" i="2"/>
  <c r="I17" i="2" s="1"/>
  <c r="H1216" i="2"/>
  <c r="I1216" i="2" s="1"/>
  <c r="H1411" i="2"/>
  <c r="H1200" i="2"/>
  <c r="I1200" i="2" s="1"/>
  <c r="H1376" i="2"/>
  <c r="I1376" i="2" s="1"/>
  <c r="H432" i="2"/>
  <c r="I432" i="2" s="1"/>
  <c r="H1588" i="2"/>
  <c r="I1588" i="2" s="1"/>
  <c r="H528" i="2"/>
  <c r="I528" i="2" s="1"/>
  <c r="H1572" i="2"/>
  <c r="H1538" i="2"/>
  <c r="H1504" i="2"/>
  <c r="I1504" i="2" s="1"/>
  <c r="H1461" i="2"/>
  <c r="I366" i="6" s="1"/>
  <c r="H1427" i="2"/>
  <c r="H1393" i="2"/>
  <c r="I1393" i="2" s="1"/>
  <c r="H1330" i="2"/>
  <c r="H1229" i="2"/>
  <c r="I1229" i="2" s="1"/>
  <c r="H1138" i="2"/>
  <c r="H1026" i="2"/>
  <c r="H960" i="2"/>
  <c r="I960" i="2" s="1"/>
  <c r="H858" i="2"/>
  <c r="H722" i="2"/>
  <c r="H594" i="2"/>
  <c r="H480" i="2"/>
  <c r="I480" i="2" s="1"/>
  <c r="H370" i="2"/>
  <c r="H273" i="2"/>
  <c r="I273" i="2" s="1"/>
  <c r="H178" i="2"/>
  <c r="H97" i="2"/>
  <c r="I97" i="2" s="1"/>
  <c r="H16" i="2"/>
  <c r="I16" i="2" s="1"/>
  <c r="G1567" i="2"/>
  <c r="H1567" i="2"/>
  <c r="I1567" i="2" s="1"/>
  <c r="G1439" i="2"/>
  <c r="H1439" i="2"/>
  <c r="I1439" i="2" s="1"/>
  <c r="G1311" i="2"/>
  <c r="H1311" i="2"/>
  <c r="I1311" i="2" s="1"/>
  <c r="G1167" i="2"/>
  <c r="H1167" i="2"/>
  <c r="I1167" i="2" s="1"/>
  <c r="G1071" i="2"/>
  <c r="H1071" i="2"/>
  <c r="I1071" i="2" s="1"/>
  <c r="G943" i="2"/>
  <c r="H943" i="2"/>
  <c r="I943" i="2" s="1"/>
  <c r="G847" i="2"/>
  <c r="H847" i="2"/>
  <c r="I847" i="2" s="1"/>
  <c r="G719" i="2"/>
  <c r="H719" i="2"/>
  <c r="I719" i="2" s="1"/>
  <c r="G623" i="2"/>
  <c r="H623" i="2"/>
  <c r="I623" i="2" s="1"/>
  <c r="G511" i="2"/>
  <c r="H511" i="2"/>
  <c r="G271" i="2"/>
  <c r="H271" i="2"/>
  <c r="I271" i="2" s="1"/>
  <c r="G1583" i="2"/>
  <c r="H1583" i="2"/>
  <c r="I1583" i="2" s="1"/>
  <c r="G1455" i="2"/>
  <c r="H1455" i="2"/>
  <c r="I1455" i="2" s="1"/>
  <c r="G1327" i="2"/>
  <c r="H1327" i="2"/>
  <c r="I1327" i="2" s="1"/>
  <c r="G1183" i="2"/>
  <c r="H1183" i="2"/>
  <c r="I1183" i="2" s="1"/>
  <c r="G1055" i="2"/>
  <c r="H1055" i="2"/>
  <c r="I1055" i="2" s="1"/>
  <c r="G927" i="2"/>
  <c r="H927" i="2"/>
  <c r="I927" i="2" s="1"/>
  <c r="G831" i="2"/>
  <c r="H831" i="2"/>
  <c r="I831" i="2" s="1"/>
  <c r="G735" i="2"/>
  <c r="H735" i="2"/>
  <c r="I735" i="2" s="1"/>
  <c r="G639" i="2"/>
  <c r="H639" i="2"/>
  <c r="I639" i="2" s="1"/>
  <c r="G495" i="2"/>
  <c r="H495" i="2"/>
  <c r="I495" i="2" s="1"/>
  <c r="G255" i="2"/>
  <c r="H255" i="2"/>
  <c r="I255" i="2" s="1"/>
  <c r="G1503" i="2"/>
  <c r="H1503" i="2"/>
  <c r="I1503" i="2" s="1"/>
  <c r="G1359" i="2"/>
  <c r="H1359" i="2"/>
  <c r="I1359" i="2" s="1"/>
  <c r="G1199" i="2"/>
  <c r="H1199" i="2"/>
  <c r="I1199" i="2" s="1"/>
  <c r="G1023" i="2"/>
  <c r="H1023" i="2"/>
  <c r="I1023" i="2" s="1"/>
  <c r="G671" i="2"/>
  <c r="H671" i="2"/>
  <c r="I671" i="2" s="1"/>
  <c r="G1519" i="2"/>
  <c r="H1519" i="2"/>
  <c r="I1519" i="2" s="1"/>
  <c r="G1391" i="2"/>
  <c r="H1391" i="2"/>
  <c r="I1391" i="2" s="1"/>
  <c r="G1263" i="2"/>
  <c r="H1263" i="2"/>
  <c r="I1263" i="2" s="1"/>
  <c r="G1135" i="2"/>
  <c r="H1135" i="2"/>
  <c r="I1135" i="2" s="1"/>
  <c r="G975" i="2"/>
  <c r="H975" i="2"/>
  <c r="I975" i="2" s="1"/>
  <c r="G799" i="2"/>
  <c r="H799" i="2"/>
  <c r="I799" i="2" s="1"/>
  <c r="G447" i="2"/>
  <c r="H447" i="2"/>
  <c r="I447" i="2" s="1"/>
  <c r="G1599" i="2"/>
  <c r="H1599" i="2"/>
  <c r="I1599" i="2" s="1"/>
  <c r="G1551" i="2"/>
  <c r="H1551" i="2"/>
  <c r="I1551" i="2" s="1"/>
  <c r="G1471" i="2"/>
  <c r="H1471" i="2"/>
  <c r="I1471" i="2" s="1"/>
  <c r="G1423" i="2"/>
  <c r="H1423" i="2"/>
  <c r="I1423" i="2" s="1"/>
  <c r="G1407" i="2"/>
  <c r="H1407" i="2"/>
  <c r="I1407" i="2" s="1"/>
  <c r="G1279" i="2"/>
  <c r="H1279" i="2"/>
  <c r="I1279" i="2" s="1"/>
  <c r="G1231" i="2"/>
  <c r="H1231" i="2"/>
  <c r="I1231" i="2" s="1"/>
  <c r="G1151" i="2"/>
  <c r="H1151" i="2"/>
  <c r="I1151" i="2" s="1"/>
  <c r="G1119" i="2"/>
  <c r="H1119" i="2"/>
  <c r="I1119" i="2" s="1"/>
  <c r="G1039" i="2"/>
  <c r="H1039" i="2"/>
  <c r="I1039" i="2" s="1"/>
  <c r="G1007" i="2"/>
  <c r="H1007" i="2"/>
  <c r="I1007" i="2" s="1"/>
  <c r="G911" i="2"/>
  <c r="H911" i="2"/>
  <c r="I911" i="2" s="1"/>
  <c r="G879" i="2"/>
  <c r="H879" i="2"/>
  <c r="I879" i="2" s="1"/>
  <c r="G815" i="2"/>
  <c r="H815" i="2"/>
  <c r="I815" i="2" s="1"/>
  <c r="G783" i="2"/>
  <c r="H783" i="2"/>
  <c r="I783" i="2" s="1"/>
  <c r="G703" i="2"/>
  <c r="H703" i="2"/>
  <c r="I703" i="2" s="1"/>
  <c r="H687" i="2"/>
  <c r="I687" i="2" s="1"/>
  <c r="G687" i="2"/>
  <c r="G655" i="2"/>
  <c r="H655" i="2"/>
  <c r="I655" i="2" s="1"/>
  <c r="G607" i="2"/>
  <c r="H607" i="2"/>
  <c r="I607" i="2" s="1"/>
  <c r="G559" i="2"/>
  <c r="H559" i="2"/>
  <c r="I559" i="2" s="1"/>
  <c r="G543" i="2"/>
  <c r="H543" i="2"/>
  <c r="I543" i="2" s="1"/>
  <c r="G527" i="2"/>
  <c r="H527" i="2"/>
  <c r="I527" i="2" s="1"/>
  <c r="G479" i="2"/>
  <c r="H479" i="2"/>
  <c r="I479" i="2" s="1"/>
  <c r="G463" i="2"/>
  <c r="H463" i="2"/>
  <c r="I463" i="2" s="1"/>
  <c r="G431" i="2"/>
  <c r="H431" i="2"/>
  <c r="I431" i="2" s="1"/>
  <c r="G415" i="2"/>
  <c r="H415" i="2"/>
  <c r="I415" i="2" s="1"/>
  <c r="G383" i="2"/>
  <c r="H383" i="2"/>
  <c r="I383" i="2" s="1"/>
  <c r="G367" i="2"/>
  <c r="H367" i="2"/>
  <c r="I367" i="2" s="1"/>
  <c r="G351" i="2"/>
  <c r="H351" i="2"/>
  <c r="I351" i="2" s="1"/>
  <c r="G319" i="2"/>
  <c r="H319" i="2"/>
  <c r="I319" i="2" s="1"/>
  <c r="G303" i="2"/>
  <c r="H303" i="2"/>
  <c r="I303" i="2" s="1"/>
  <c r="G287" i="2"/>
  <c r="H287" i="2"/>
  <c r="I287" i="2" s="1"/>
  <c r="G239" i="2"/>
  <c r="H239" i="2"/>
  <c r="I239" i="2" s="1"/>
  <c r="G223" i="2"/>
  <c r="H223" i="2"/>
  <c r="I223" i="2" s="1"/>
  <c r="G207" i="2"/>
  <c r="H207" i="2"/>
  <c r="I207" i="2" s="1"/>
  <c r="G191" i="2"/>
  <c r="H191" i="2"/>
  <c r="I191" i="2" s="1"/>
  <c r="G175" i="2"/>
  <c r="H175" i="2"/>
  <c r="I175" i="2" s="1"/>
  <c r="G159" i="2"/>
  <c r="H159" i="2"/>
  <c r="I159" i="2" s="1"/>
  <c r="G143" i="2"/>
  <c r="H143" i="2"/>
  <c r="I143" i="2" s="1"/>
  <c r="G127" i="2"/>
  <c r="H127" i="2"/>
  <c r="I127" i="2" s="1"/>
  <c r="G111" i="2"/>
  <c r="H111" i="2"/>
  <c r="I111" i="2" s="1"/>
  <c r="G95" i="2"/>
  <c r="H95" i="2"/>
  <c r="I95" i="2" s="1"/>
  <c r="G79" i="2"/>
  <c r="H79" i="2"/>
  <c r="I79" i="2" s="1"/>
  <c r="G63" i="2"/>
  <c r="H63" i="2"/>
  <c r="I63" i="2" s="1"/>
  <c r="G47" i="2"/>
  <c r="H47" i="2"/>
  <c r="I47" i="2" s="1"/>
  <c r="G31" i="2"/>
  <c r="H31" i="2"/>
  <c r="I31" i="2" s="1"/>
  <c r="G15" i="2"/>
  <c r="H15" i="2"/>
  <c r="I15" i="2" s="1"/>
  <c r="G1535" i="2"/>
  <c r="H1535" i="2"/>
  <c r="I1535" i="2" s="1"/>
  <c r="G1215" i="2"/>
  <c r="H1215" i="2"/>
  <c r="G1087" i="2"/>
  <c r="H1087" i="2"/>
  <c r="I1087" i="2" s="1"/>
  <c r="G959" i="2"/>
  <c r="H959" i="2"/>
  <c r="I959" i="2" s="1"/>
  <c r="G863" i="2"/>
  <c r="H863" i="2"/>
  <c r="I863" i="2" s="1"/>
  <c r="G767" i="2"/>
  <c r="H767" i="2"/>
  <c r="I767" i="2" s="1"/>
  <c r="G591" i="2"/>
  <c r="H591" i="2"/>
  <c r="I591" i="2" s="1"/>
  <c r="G399" i="2"/>
  <c r="H399" i="2"/>
  <c r="I399" i="2" s="1"/>
  <c r="G1487" i="2"/>
  <c r="H1487" i="2"/>
  <c r="I1487" i="2" s="1"/>
  <c r="G1375" i="2"/>
  <c r="H1375" i="2"/>
  <c r="I1375" i="2" s="1"/>
  <c r="G1247" i="2"/>
  <c r="H1247" i="2"/>
  <c r="I1247" i="2" s="1"/>
  <c r="G1103" i="2"/>
  <c r="H1103" i="2"/>
  <c r="I1103" i="2" s="1"/>
  <c r="G991" i="2"/>
  <c r="H991" i="2"/>
  <c r="I991" i="2" s="1"/>
  <c r="G895" i="2"/>
  <c r="H895" i="2"/>
  <c r="I895" i="2" s="1"/>
  <c r="G751" i="2"/>
  <c r="H751" i="2"/>
  <c r="I751" i="2" s="1"/>
  <c r="G575" i="2"/>
  <c r="H575" i="2"/>
  <c r="I575" i="2" s="1"/>
  <c r="G335" i="2"/>
  <c r="H335" i="2"/>
  <c r="I335" i="2" s="1"/>
  <c r="H1343" i="2"/>
  <c r="I1343" i="2" s="1"/>
  <c r="G1295" i="2"/>
  <c r="H1295" i="2"/>
  <c r="I1295" i="2" s="1"/>
  <c r="G766" i="2"/>
  <c r="H766" i="2"/>
  <c r="G702" i="2"/>
  <c r="H702" i="2"/>
  <c r="G638" i="2"/>
  <c r="H638" i="2"/>
  <c r="G446" i="2"/>
  <c r="H446" i="2"/>
  <c r="G382" i="2"/>
  <c r="H382" i="2"/>
  <c r="G318" i="2"/>
  <c r="H318" i="2"/>
  <c r="G254" i="2"/>
  <c r="H254" i="2"/>
  <c r="G158" i="2"/>
  <c r="H158" i="2"/>
  <c r="G126" i="2"/>
  <c r="H126" i="2"/>
  <c r="G46" i="2"/>
  <c r="H46" i="2"/>
  <c r="H1342" i="2"/>
  <c r="H830" i="2"/>
  <c r="G1304" i="2"/>
  <c r="H1304" i="2"/>
  <c r="I1304" i="2" s="1"/>
  <c r="G1256" i="2"/>
  <c r="H1256" i="2"/>
  <c r="I1256" i="2" s="1"/>
  <c r="G1176" i="2"/>
  <c r="H1176" i="2"/>
  <c r="I1176" i="2" s="1"/>
  <c r="G1112" i="2"/>
  <c r="H1112" i="2"/>
  <c r="I1112" i="2" s="1"/>
  <c r="G1048" i="2"/>
  <c r="H1048" i="2"/>
  <c r="I1048" i="2" s="1"/>
  <c r="G984" i="2"/>
  <c r="H984" i="2"/>
  <c r="I984" i="2" s="1"/>
  <c r="G920" i="2"/>
  <c r="H920" i="2"/>
  <c r="I920" i="2" s="1"/>
  <c r="G856" i="2"/>
  <c r="H856" i="2"/>
  <c r="I856" i="2" s="1"/>
  <c r="G776" i="2"/>
  <c r="H776" i="2"/>
  <c r="I776" i="2" s="1"/>
  <c r="G728" i="2"/>
  <c r="H728" i="2"/>
  <c r="I728" i="2" s="1"/>
  <c r="G648" i="2"/>
  <c r="H648" i="2"/>
  <c r="I648" i="2" s="1"/>
  <c r="G600" i="2"/>
  <c r="H600" i="2"/>
  <c r="I600" i="2" s="1"/>
  <c r="G520" i="2"/>
  <c r="H520" i="2"/>
  <c r="I520" i="2" s="1"/>
  <c r="G472" i="2"/>
  <c r="H472" i="2"/>
  <c r="I472" i="2" s="1"/>
  <c r="G392" i="2"/>
  <c r="H392" i="2"/>
  <c r="I392" i="2" s="1"/>
  <c r="G344" i="2"/>
  <c r="H344" i="2"/>
  <c r="I344" i="2" s="1"/>
  <c r="G264" i="2"/>
  <c r="H264" i="2"/>
  <c r="I264" i="2" s="1"/>
  <c r="G248" i="2"/>
  <c r="H248" i="2"/>
  <c r="I248" i="2" s="1"/>
  <c r="G136" i="2"/>
  <c r="H136" i="2"/>
  <c r="I136" i="2" s="1"/>
  <c r="G120" i="2"/>
  <c r="H120" i="2"/>
  <c r="I120" i="2" s="1"/>
  <c r="G24" i="2"/>
  <c r="H24" i="2"/>
  <c r="I24" i="2" s="1"/>
  <c r="H1246" i="2"/>
  <c r="H1591" i="2"/>
  <c r="H1575" i="2"/>
  <c r="I1575" i="2" s="1"/>
  <c r="H1559" i="2"/>
  <c r="I1559" i="2" s="1"/>
  <c r="H1543" i="2"/>
  <c r="I1543" i="2" s="1"/>
  <c r="H1527" i="2"/>
  <c r="H1511" i="2"/>
  <c r="I1511" i="2" s="1"/>
  <c r="H1495" i="2"/>
  <c r="H1479" i="2"/>
  <c r="I1479" i="2" s="1"/>
  <c r="H1463" i="2"/>
  <c r="I1463" i="2" s="1"/>
  <c r="H1447" i="2"/>
  <c r="H1431" i="2"/>
  <c r="I1431" i="2" s="1"/>
  <c r="H1415" i="2"/>
  <c r="I1415" i="2" s="1"/>
  <c r="H1399" i="2"/>
  <c r="I1399" i="2" s="1"/>
  <c r="H1383" i="2"/>
  <c r="H1367" i="2"/>
  <c r="H1344" i="2"/>
  <c r="I1344" i="2" s="1"/>
  <c r="H1314" i="2"/>
  <c r="H1291" i="2"/>
  <c r="I1291" i="2" s="1"/>
  <c r="H1261" i="2"/>
  <c r="I1261" i="2" s="1"/>
  <c r="H1201" i="2"/>
  <c r="I1201" i="2" s="1"/>
  <c r="H1178" i="2"/>
  <c r="H1148" i="2"/>
  <c r="I1148" i="2" s="1"/>
  <c r="H1118" i="2"/>
  <c r="H1088" i="2"/>
  <c r="I1088" i="2" s="1"/>
  <c r="H1058" i="2"/>
  <c r="H1035" i="2"/>
  <c r="I1035" i="2" s="1"/>
  <c r="H1005" i="2"/>
  <c r="I1005" i="2" s="1"/>
  <c r="H945" i="2"/>
  <c r="I945" i="2" s="1"/>
  <c r="H922" i="2"/>
  <c r="H892" i="2"/>
  <c r="H862" i="2"/>
  <c r="H832" i="2"/>
  <c r="I832" i="2" s="1"/>
  <c r="H802" i="2"/>
  <c r="H770" i="2"/>
  <c r="H738" i="2"/>
  <c r="H706" i="2"/>
  <c r="H674" i="2"/>
  <c r="H642" i="2"/>
  <c r="H610" i="2"/>
  <c r="H578" i="2"/>
  <c r="H546" i="2"/>
  <c r="H514" i="2"/>
  <c r="H482" i="2"/>
  <c r="H450" i="2"/>
  <c r="H418" i="2"/>
  <c r="H386" i="2"/>
  <c r="H354" i="2"/>
  <c r="H322" i="2"/>
  <c r="H290" i="2"/>
  <c r="H258" i="2"/>
  <c r="G718" i="2"/>
  <c r="H718" i="2"/>
  <c r="G590" i="2"/>
  <c r="H590" i="2"/>
  <c r="G494" i="2"/>
  <c r="H494" i="2"/>
  <c r="G366" i="2"/>
  <c r="H366" i="2"/>
  <c r="G238" i="2"/>
  <c r="H238" i="2"/>
  <c r="G110" i="2"/>
  <c r="H110" i="2"/>
  <c r="H765" i="2"/>
  <c r="I765" i="2" s="1"/>
  <c r="H573" i="2"/>
  <c r="I573" i="2" s="1"/>
  <c r="H381" i="2"/>
  <c r="I381" i="2" s="1"/>
  <c r="H125" i="2"/>
  <c r="I125" i="2" s="1"/>
  <c r="H1309" i="2"/>
  <c r="I1309" i="2" s="1"/>
  <c r="H764" i="2"/>
  <c r="I764" i="2" s="1"/>
  <c r="H540" i="2"/>
  <c r="I540" i="2" s="1"/>
  <c r="H124" i="2"/>
  <c r="I124" i="2" s="1"/>
  <c r="H187" i="2"/>
  <c r="I187" i="2" s="1"/>
  <c r="G1273" i="2"/>
  <c r="H1273" i="2"/>
  <c r="I1273" i="2" s="1"/>
  <c r="G1161" i="2"/>
  <c r="H1161" i="2"/>
  <c r="I1161" i="2" s="1"/>
  <c r="G1049" i="2"/>
  <c r="H1049" i="2"/>
  <c r="I1049" i="2" s="1"/>
  <c r="G937" i="2"/>
  <c r="H937" i="2"/>
  <c r="I937" i="2" s="1"/>
  <c r="G825" i="2"/>
  <c r="H825" i="2"/>
  <c r="I825" i="2" s="1"/>
  <c r="G713" i="2"/>
  <c r="H713" i="2"/>
  <c r="I713" i="2" s="1"/>
  <c r="G601" i="2"/>
  <c r="H601" i="2"/>
  <c r="I601" i="2" s="1"/>
  <c r="G505" i="2"/>
  <c r="H505" i="2"/>
  <c r="I505" i="2" s="1"/>
  <c r="G393" i="2"/>
  <c r="H393" i="2"/>
  <c r="I393" i="2" s="1"/>
  <c r="G297" i="2"/>
  <c r="H297" i="2"/>
  <c r="I297" i="2" s="1"/>
  <c r="G185" i="2"/>
  <c r="H185" i="2"/>
  <c r="I185" i="2" s="1"/>
  <c r="G57" i="2"/>
  <c r="H57" i="2"/>
  <c r="I57" i="2" s="1"/>
  <c r="H1307" i="2"/>
  <c r="I1307" i="2" s="1"/>
  <c r="H1164" i="2"/>
  <c r="I1164" i="2" s="1"/>
  <c r="H698" i="2"/>
  <c r="H506" i="2"/>
  <c r="H378" i="2"/>
  <c r="H282" i="2"/>
  <c r="H26" i="2"/>
  <c r="G1224" i="2"/>
  <c r="H1224" i="2"/>
  <c r="I1224" i="2" s="1"/>
  <c r="G1096" i="2"/>
  <c r="H1096" i="2"/>
  <c r="I1096" i="2" s="1"/>
  <c r="G936" i="2"/>
  <c r="H936" i="2"/>
  <c r="I936" i="2" s="1"/>
  <c r="G808" i="2"/>
  <c r="H808" i="2"/>
  <c r="I808" i="2" s="1"/>
  <c r="G680" i="2"/>
  <c r="H680" i="2"/>
  <c r="I680" i="2" s="1"/>
  <c r="G568" i="2"/>
  <c r="H568" i="2"/>
  <c r="I568" i="2" s="1"/>
  <c r="G456" i="2"/>
  <c r="H456" i="2"/>
  <c r="I456" i="2" s="1"/>
  <c r="G328" i="2"/>
  <c r="H328" i="2"/>
  <c r="I328" i="2" s="1"/>
  <c r="G152" i="2"/>
  <c r="H152" i="2"/>
  <c r="I152" i="2" s="1"/>
  <c r="G8" i="2"/>
  <c r="H8" i="2"/>
  <c r="I8" i="2" s="1"/>
  <c r="H1020" i="2"/>
  <c r="I1020" i="2" s="1"/>
  <c r="H907" i="2"/>
  <c r="I907" i="2" s="1"/>
  <c r="G1351" i="2"/>
  <c r="H1351" i="2"/>
  <c r="I1351" i="2" s="1"/>
  <c r="G1335" i="2"/>
  <c r="H1335" i="2"/>
  <c r="I1335" i="2" s="1"/>
  <c r="G1319" i="2"/>
  <c r="H1319" i="2"/>
  <c r="I1319" i="2" s="1"/>
  <c r="G1303" i="2"/>
  <c r="H1303" i="2"/>
  <c r="I1303" i="2" s="1"/>
  <c r="G1287" i="2"/>
  <c r="H1287" i="2"/>
  <c r="I1287" i="2" s="1"/>
  <c r="G1271" i="2"/>
  <c r="H1271" i="2"/>
  <c r="I1271" i="2" s="1"/>
  <c r="G1255" i="2"/>
  <c r="H1255" i="2"/>
  <c r="I1255" i="2" s="1"/>
  <c r="G1239" i="2"/>
  <c r="H1239" i="2"/>
  <c r="I1239" i="2" s="1"/>
  <c r="G1223" i="2"/>
  <c r="H1223" i="2"/>
  <c r="I1223" i="2" s="1"/>
  <c r="G1207" i="2"/>
  <c r="H1207" i="2"/>
  <c r="I1207" i="2" s="1"/>
  <c r="G1191" i="2"/>
  <c r="H1191" i="2"/>
  <c r="I1191" i="2" s="1"/>
  <c r="G1175" i="2"/>
  <c r="H1175" i="2"/>
  <c r="I1175" i="2" s="1"/>
  <c r="G1159" i="2"/>
  <c r="H1159" i="2"/>
  <c r="I1159" i="2" s="1"/>
  <c r="G1143" i="2"/>
  <c r="H1143" i="2"/>
  <c r="I1143" i="2" s="1"/>
  <c r="G1127" i="2"/>
  <c r="H1127" i="2"/>
  <c r="I1127" i="2" s="1"/>
  <c r="G1111" i="2"/>
  <c r="H1111" i="2"/>
  <c r="I1111" i="2" s="1"/>
  <c r="G1095" i="2"/>
  <c r="H1095" i="2"/>
  <c r="I1095" i="2" s="1"/>
  <c r="G1079" i="2"/>
  <c r="H1079" i="2"/>
  <c r="I1079" i="2" s="1"/>
  <c r="G1063" i="2"/>
  <c r="H1063" i="2"/>
  <c r="I1063" i="2" s="1"/>
  <c r="G1047" i="2"/>
  <c r="H1047" i="2"/>
  <c r="I1047" i="2" s="1"/>
  <c r="G1031" i="2"/>
  <c r="H1031" i="2"/>
  <c r="I1031" i="2" s="1"/>
  <c r="G1015" i="2"/>
  <c r="H1015" i="2"/>
  <c r="I1015" i="2" s="1"/>
  <c r="G999" i="2"/>
  <c r="H999" i="2"/>
  <c r="I999" i="2" s="1"/>
  <c r="G983" i="2"/>
  <c r="H983" i="2"/>
  <c r="I983" i="2" s="1"/>
  <c r="G967" i="2"/>
  <c r="H967" i="2"/>
  <c r="I967" i="2" s="1"/>
  <c r="G951" i="2"/>
  <c r="H951" i="2"/>
  <c r="I951" i="2" s="1"/>
  <c r="G935" i="2"/>
  <c r="H935" i="2"/>
  <c r="I935" i="2" s="1"/>
  <c r="G919" i="2"/>
  <c r="H919" i="2"/>
  <c r="I919" i="2" s="1"/>
  <c r="G903" i="2"/>
  <c r="H903" i="2"/>
  <c r="I903" i="2" s="1"/>
  <c r="G887" i="2"/>
  <c r="H887" i="2"/>
  <c r="I887" i="2" s="1"/>
  <c r="G871" i="2"/>
  <c r="H871" i="2"/>
  <c r="I871" i="2" s="1"/>
  <c r="G855" i="2"/>
  <c r="H855" i="2"/>
  <c r="I855" i="2" s="1"/>
  <c r="G839" i="2"/>
  <c r="H839" i="2"/>
  <c r="I839" i="2" s="1"/>
  <c r="G823" i="2"/>
  <c r="H823" i="2"/>
  <c r="I823" i="2" s="1"/>
  <c r="G807" i="2"/>
  <c r="H807" i="2"/>
  <c r="I807" i="2" s="1"/>
  <c r="G791" i="2"/>
  <c r="H791" i="2"/>
  <c r="I791" i="2" s="1"/>
  <c r="G775" i="2"/>
  <c r="H775" i="2"/>
  <c r="I775" i="2" s="1"/>
  <c r="G759" i="2"/>
  <c r="H759" i="2"/>
  <c r="I759" i="2" s="1"/>
  <c r="G743" i="2"/>
  <c r="H743" i="2"/>
  <c r="I743" i="2" s="1"/>
  <c r="G727" i="2"/>
  <c r="H727" i="2"/>
  <c r="I727" i="2" s="1"/>
  <c r="G711" i="2"/>
  <c r="H711" i="2"/>
  <c r="I711" i="2" s="1"/>
  <c r="G695" i="2"/>
  <c r="H695" i="2"/>
  <c r="I695" i="2" s="1"/>
  <c r="G679" i="2"/>
  <c r="H679" i="2"/>
  <c r="I679" i="2" s="1"/>
  <c r="G663" i="2"/>
  <c r="H663" i="2"/>
  <c r="I663" i="2" s="1"/>
  <c r="G647" i="2"/>
  <c r="H647" i="2"/>
  <c r="I647" i="2" s="1"/>
  <c r="G631" i="2"/>
  <c r="H631" i="2"/>
  <c r="I631" i="2" s="1"/>
  <c r="G615" i="2"/>
  <c r="H615" i="2"/>
  <c r="I615" i="2" s="1"/>
  <c r="G599" i="2"/>
  <c r="H599" i="2"/>
  <c r="I599" i="2" s="1"/>
  <c r="G583" i="2"/>
  <c r="H583" i="2"/>
  <c r="I583" i="2" s="1"/>
  <c r="G567" i="2"/>
  <c r="H567" i="2"/>
  <c r="I567" i="2" s="1"/>
  <c r="G551" i="2"/>
  <c r="H551" i="2"/>
  <c r="I551" i="2" s="1"/>
  <c r="G535" i="2"/>
  <c r="H535" i="2"/>
  <c r="I535" i="2" s="1"/>
  <c r="G519" i="2"/>
  <c r="H519" i="2"/>
  <c r="I519" i="2" s="1"/>
  <c r="G503" i="2"/>
  <c r="H503" i="2"/>
  <c r="I503" i="2" s="1"/>
  <c r="G487" i="2"/>
  <c r="H487" i="2"/>
  <c r="I487" i="2" s="1"/>
  <c r="G471" i="2"/>
  <c r="H471" i="2"/>
  <c r="I471" i="2" s="1"/>
  <c r="G455" i="2"/>
  <c r="H455" i="2"/>
  <c r="I455" i="2" s="1"/>
  <c r="G439" i="2"/>
  <c r="H439" i="2"/>
  <c r="I439" i="2" s="1"/>
  <c r="G423" i="2"/>
  <c r="H423" i="2"/>
  <c r="I423" i="2" s="1"/>
  <c r="G407" i="2"/>
  <c r="H407" i="2"/>
  <c r="I407" i="2" s="1"/>
  <c r="G391" i="2"/>
  <c r="H391" i="2"/>
  <c r="I391" i="2" s="1"/>
  <c r="G375" i="2"/>
  <c r="H375" i="2"/>
  <c r="I375" i="2" s="1"/>
  <c r="G359" i="2"/>
  <c r="H359" i="2"/>
  <c r="I359" i="2" s="1"/>
  <c r="G343" i="2"/>
  <c r="H343" i="2"/>
  <c r="I343" i="2" s="1"/>
  <c r="G327" i="2"/>
  <c r="H327" i="2"/>
  <c r="I327" i="2" s="1"/>
  <c r="G311" i="2"/>
  <c r="H311" i="2"/>
  <c r="I311" i="2" s="1"/>
  <c r="G295" i="2"/>
  <c r="H295" i="2"/>
  <c r="I295" i="2" s="1"/>
  <c r="G279" i="2"/>
  <c r="H279" i="2"/>
  <c r="I279" i="2" s="1"/>
  <c r="G263" i="2"/>
  <c r="H263" i="2"/>
  <c r="I263" i="2" s="1"/>
  <c r="G247" i="2"/>
  <c r="H247" i="2"/>
  <c r="I247" i="2" s="1"/>
  <c r="G231" i="2"/>
  <c r="H231" i="2"/>
  <c r="I231" i="2" s="1"/>
  <c r="G215" i="2"/>
  <c r="H215" i="2"/>
  <c r="I215" i="2" s="1"/>
  <c r="G199" i="2"/>
  <c r="H199" i="2"/>
  <c r="I199" i="2" s="1"/>
  <c r="G183" i="2"/>
  <c r="H183" i="2"/>
  <c r="I183" i="2" s="1"/>
  <c r="G167" i="2"/>
  <c r="H167" i="2"/>
  <c r="I167" i="2" s="1"/>
  <c r="G151" i="2"/>
  <c r="H151" i="2"/>
  <c r="I151" i="2" s="1"/>
  <c r="G135" i="2"/>
  <c r="H135" i="2"/>
  <c r="I135" i="2" s="1"/>
  <c r="G119" i="2"/>
  <c r="H119" i="2"/>
  <c r="I119" i="2" s="1"/>
  <c r="G103" i="2"/>
  <c r="H103" i="2"/>
  <c r="I103" i="2" s="1"/>
  <c r="G87" i="2"/>
  <c r="H87" i="2"/>
  <c r="I87" i="2" s="1"/>
  <c r="G71" i="2"/>
  <c r="H71" i="2"/>
  <c r="I71" i="2" s="1"/>
  <c r="G55" i="2"/>
  <c r="H55" i="2"/>
  <c r="I55" i="2" s="1"/>
  <c r="G39" i="2"/>
  <c r="H39" i="2"/>
  <c r="I39" i="2" s="1"/>
  <c r="G23" i="2"/>
  <c r="H23" i="2"/>
  <c r="I23" i="2" s="1"/>
  <c r="G7" i="2"/>
  <c r="H7" i="2"/>
  <c r="I7" i="2" s="1"/>
  <c r="H1598" i="2"/>
  <c r="H1582" i="2"/>
  <c r="H1566" i="2"/>
  <c r="H1550" i="2"/>
  <c r="H1534" i="2"/>
  <c r="H1518" i="2"/>
  <c r="H1502" i="2"/>
  <c r="H1486" i="2"/>
  <c r="H1470" i="2"/>
  <c r="H1454" i="2"/>
  <c r="H1438" i="2"/>
  <c r="H1422" i="2"/>
  <c r="H1406" i="2"/>
  <c r="H1390" i="2"/>
  <c r="H1374" i="2"/>
  <c r="H1358" i="2"/>
  <c r="H1328" i="2"/>
  <c r="I1328" i="2" s="1"/>
  <c r="H1298" i="2"/>
  <c r="H1275" i="2"/>
  <c r="I1275" i="2" s="1"/>
  <c r="H1245" i="2"/>
  <c r="I1245" i="2" s="1"/>
  <c r="H1185" i="2"/>
  <c r="I1185" i="2" s="1"/>
  <c r="H1162" i="2"/>
  <c r="H1132" i="2"/>
  <c r="I1132" i="2" s="1"/>
  <c r="H1102" i="2"/>
  <c r="H1072" i="2"/>
  <c r="I1072" i="2" s="1"/>
  <c r="H1042" i="2"/>
  <c r="H1019" i="2"/>
  <c r="I1019" i="2" s="1"/>
  <c r="H989" i="2"/>
  <c r="I989" i="2" s="1"/>
  <c r="H929" i="2"/>
  <c r="I929" i="2" s="1"/>
  <c r="H906" i="2"/>
  <c r="H876" i="2"/>
  <c r="I876" i="2" s="1"/>
  <c r="H846" i="2"/>
  <c r="H816" i="2"/>
  <c r="I816" i="2" s="1"/>
  <c r="H785" i="2"/>
  <c r="I785" i="2" s="1"/>
  <c r="H753" i="2"/>
  <c r="I753" i="2" s="1"/>
  <c r="H721" i="2"/>
  <c r="I721" i="2" s="1"/>
  <c r="H689" i="2"/>
  <c r="I689" i="2" s="1"/>
  <c r="H657" i="2"/>
  <c r="I657" i="2" s="1"/>
  <c r="H625" i="2"/>
  <c r="I625" i="2" s="1"/>
  <c r="H593" i="2"/>
  <c r="I593" i="2" s="1"/>
  <c r="H561" i="2"/>
  <c r="I561" i="2" s="1"/>
  <c r="H529" i="2"/>
  <c r="I529" i="2" s="1"/>
  <c r="G670" i="2"/>
  <c r="H670" i="2"/>
  <c r="G542" i="2"/>
  <c r="H542" i="2"/>
  <c r="G414" i="2"/>
  <c r="H414" i="2"/>
  <c r="G286" i="2"/>
  <c r="H286" i="2"/>
  <c r="G174" i="2"/>
  <c r="H174" i="2"/>
  <c r="G62" i="2"/>
  <c r="H62" i="2"/>
  <c r="H797" i="2"/>
  <c r="I797" i="2" s="1"/>
  <c r="H605" i="2"/>
  <c r="I605" i="2" s="1"/>
  <c r="H445" i="2"/>
  <c r="I445" i="2" s="1"/>
  <c r="H253" i="2"/>
  <c r="I253" i="2" s="1"/>
  <c r="H189" i="2"/>
  <c r="I189" i="2" s="1"/>
  <c r="H604" i="2"/>
  <c r="I604" i="2" s="1"/>
  <c r="H92" i="2"/>
  <c r="I92" i="2" s="1"/>
  <c r="H1082" i="2"/>
  <c r="H731" i="2"/>
  <c r="I731" i="2" s="1"/>
  <c r="H667" i="2"/>
  <c r="I667" i="2" s="1"/>
  <c r="H539" i="2"/>
  <c r="I539" i="2" s="1"/>
  <c r="H379" i="2"/>
  <c r="I379" i="2" s="1"/>
  <c r="H315" i="2"/>
  <c r="I315" i="2" s="1"/>
  <c r="H251" i="2"/>
  <c r="I251" i="2" s="1"/>
  <c r="H91" i="2"/>
  <c r="I91" i="2" s="1"/>
  <c r="G1353" i="2"/>
  <c r="H1353" i="2"/>
  <c r="I1353" i="2" s="1"/>
  <c r="G1241" i="2"/>
  <c r="H1241" i="2"/>
  <c r="I1241" i="2" s="1"/>
  <c r="G1145" i="2"/>
  <c r="H1145" i="2"/>
  <c r="I1145" i="2" s="1"/>
  <c r="G1033" i="2"/>
  <c r="H1033" i="2"/>
  <c r="I1033" i="2" s="1"/>
  <c r="G953" i="2"/>
  <c r="H953" i="2"/>
  <c r="I953" i="2" s="1"/>
  <c r="G841" i="2"/>
  <c r="H841" i="2"/>
  <c r="I841" i="2" s="1"/>
  <c r="G729" i="2"/>
  <c r="H729" i="2"/>
  <c r="I729" i="2" s="1"/>
  <c r="G633" i="2"/>
  <c r="H633" i="2"/>
  <c r="I633" i="2" s="1"/>
  <c r="G537" i="2"/>
  <c r="H537" i="2"/>
  <c r="I537" i="2" s="1"/>
  <c r="G441" i="2"/>
  <c r="H441" i="2"/>
  <c r="I441" i="2" s="1"/>
  <c r="G345" i="2"/>
  <c r="H345" i="2"/>
  <c r="I345" i="2" s="1"/>
  <c r="G233" i="2"/>
  <c r="H233" i="2"/>
  <c r="I233" i="2" s="1"/>
  <c r="G153" i="2"/>
  <c r="H153" i="2"/>
  <c r="I153" i="2" s="1"/>
  <c r="G41" i="2"/>
  <c r="H41" i="2"/>
  <c r="I41" i="2" s="1"/>
  <c r="H1021" i="2"/>
  <c r="I1021" i="2" s="1"/>
  <c r="H908" i="2"/>
  <c r="I908" i="2" s="1"/>
  <c r="H730" i="2"/>
  <c r="H538" i="2"/>
  <c r="H346" i="2"/>
  <c r="H90" i="2"/>
  <c r="G1288" i="2"/>
  <c r="H1288" i="2"/>
  <c r="I1288" i="2" s="1"/>
  <c r="G1160" i="2"/>
  <c r="H1160" i="2"/>
  <c r="I1160" i="2" s="1"/>
  <c r="G1032" i="2"/>
  <c r="H1032" i="2"/>
  <c r="I1032" i="2" s="1"/>
  <c r="G904" i="2"/>
  <c r="H904" i="2"/>
  <c r="I904" i="2" s="1"/>
  <c r="G792" i="2"/>
  <c r="H792" i="2"/>
  <c r="I792" i="2" s="1"/>
  <c r="G664" i="2"/>
  <c r="H664" i="2"/>
  <c r="I664" i="2" s="1"/>
  <c r="G536" i="2"/>
  <c r="H536" i="2"/>
  <c r="I536" i="2" s="1"/>
  <c r="G408" i="2"/>
  <c r="H408" i="2"/>
  <c r="I408" i="2" s="1"/>
  <c r="G280" i="2"/>
  <c r="H280" i="2"/>
  <c r="I280" i="2" s="1"/>
  <c r="G168" i="2"/>
  <c r="H168" i="2"/>
  <c r="I168" i="2" s="1"/>
  <c r="G88" i="2"/>
  <c r="H88" i="2"/>
  <c r="I88" i="2" s="1"/>
  <c r="H1276" i="2"/>
  <c r="I1276" i="2" s="1"/>
  <c r="H990" i="2"/>
  <c r="G1350" i="2"/>
  <c r="H1350" i="2"/>
  <c r="G1334" i="2"/>
  <c r="H1334" i="2"/>
  <c r="G1318" i="2"/>
  <c r="H1318" i="2"/>
  <c r="G1302" i="2"/>
  <c r="H1302" i="2"/>
  <c r="G1286" i="2"/>
  <c r="H1286" i="2"/>
  <c r="G1270" i="2"/>
  <c r="H1270" i="2"/>
  <c r="G1254" i="2"/>
  <c r="H1254" i="2"/>
  <c r="G1238" i="2"/>
  <c r="H1238" i="2"/>
  <c r="G1222" i="2"/>
  <c r="H1222" i="2"/>
  <c r="G1206" i="2"/>
  <c r="H1206" i="2"/>
  <c r="G1190" i="2"/>
  <c r="H1190" i="2"/>
  <c r="G1174" i="2"/>
  <c r="H1174" i="2"/>
  <c r="G1158" i="2"/>
  <c r="H1158" i="2"/>
  <c r="G1142" i="2"/>
  <c r="H1142" i="2"/>
  <c r="G1126" i="2"/>
  <c r="H1126" i="2"/>
  <c r="G1110" i="2"/>
  <c r="H1110" i="2"/>
  <c r="G1094" i="2"/>
  <c r="H1094" i="2"/>
  <c r="G1078" i="2"/>
  <c r="H1078" i="2"/>
  <c r="G1062" i="2"/>
  <c r="H1062" i="2"/>
  <c r="G1046" i="2"/>
  <c r="H1046" i="2"/>
  <c r="G1030" i="2"/>
  <c r="H1030" i="2"/>
  <c r="G1014" i="2"/>
  <c r="H1014" i="2"/>
  <c r="G998" i="2"/>
  <c r="H998" i="2"/>
  <c r="G982" i="2"/>
  <c r="H982" i="2"/>
  <c r="G966" i="2"/>
  <c r="H966" i="2"/>
  <c r="G950" i="2"/>
  <c r="H950" i="2"/>
  <c r="G934" i="2"/>
  <c r="H934" i="2"/>
  <c r="G918" i="2"/>
  <c r="H918" i="2"/>
  <c r="G902" i="2"/>
  <c r="H902" i="2"/>
  <c r="G886" i="2"/>
  <c r="H886" i="2"/>
  <c r="G870" i="2"/>
  <c r="H870" i="2"/>
  <c r="G854" i="2"/>
  <c r="H854" i="2"/>
  <c r="G838" i="2"/>
  <c r="H838" i="2"/>
  <c r="G822" i="2"/>
  <c r="H822" i="2"/>
  <c r="G806" i="2"/>
  <c r="H806" i="2"/>
  <c r="G790" i="2"/>
  <c r="H790" i="2"/>
  <c r="G774" i="2"/>
  <c r="H774" i="2"/>
  <c r="G758" i="2"/>
  <c r="H758" i="2"/>
  <c r="G742" i="2"/>
  <c r="H742" i="2"/>
  <c r="G726" i="2"/>
  <c r="H726" i="2"/>
  <c r="G710" i="2"/>
  <c r="H710" i="2"/>
  <c r="G694" i="2"/>
  <c r="H694" i="2"/>
  <c r="G678" i="2"/>
  <c r="H678" i="2"/>
  <c r="G662" i="2"/>
  <c r="H662" i="2"/>
  <c r="G646" i="2"/>
  <c r="H646" i="2"/>
  <c r="G630" i="2"/>
  <c r="H630" i="2"/>
  <c r="G614" i="2"/>
  <c r="H614" i="2"/>
  <c r="G598" i="2"/>
  <c r="H598" i="2"/>
  <c r="G582" i="2"/>
  <c r="H582" i="2"/>
  <c r="G566" i="2"/>
  <c r="H566" i="2"/>
  <c r="G550" i="2"/>
  <c r="H550" i="2"/>
  <c r="G534" i="2"/>
  <c r="H534" i="2"/>
  <c r="G518" i="2"/>
  <c r="H518" i="2"/>
  <c r="G502" i="2"/>
  <c r="H502" i="2"/>
  <c r="G486" i="2"/>
  <c r="H486" i="2"/>
  <c r="G470" i="2"/>
  <c r="H470" i="2"/>
  <c r="G454" i="2"/>
  <c r="H454" i="2"/>
  <c r="G438" i="2"/>
  <c r="H438" i="2"/>
  <c r="G422" i="2"/>
  <c r="H422" i="2"/>
  <c r="G406" i="2"/>
  <c r="H406" i="2"/>
  <c r="G390" i="2"/>
  <c r="H390" i="2"/>
  <c r="G374" i="2"/>
  <c r="H374" i="2"/>
  <c r="G358" i="2"/>
  <c r="H358" i="2"/>
  <c r="G342" i="2"/>
  <c r="H342" i="2"/>
  <c r="G326" i="2"/>
  <c r="H326" i="2"/>
  <c r="G310" i="2"/>
  <c r="H310" i="2"/>
  <c r="G294" i="2"/>
  <c r="H294" i="2"/>
  <c r="G278" i="2"/>
  <c r="H278" i="2"/>
  <c r="G262" i="2"/>
  <c r="H262" i="2"/>
  <c r="G246" i="2"/>
  <c r="H246" i="2"/>
  <c r="G230" i="2"/>
  <c r="H230" i="2"/>
  <c r="G214" i="2"/>
  <c r="H214" i="2"/>
  <c r="G198" i="2"/>
  <c r="H198" i="2"/>
  <c r="G182" i="2"/>
  <c r="H182" i="2"/>
  <c r="G166" i="2"/>
  <c r="H166" i="2"/>
  <c r="G150" i="2"/>
  <c r="H150" i="2"/>
  <c r="G134" i="2"/>
  <c r="H134" i="2"/>
  <c r="G118" i="2"/>
  <c r="H118" i="2"/>
  <c r="G102" i="2"/>
  <c r="H102" i="2"/>
  <c r="G86" i="2"/>
  <c r="H86" i="2"/>
  <c r="G70" i="2"/>
  <c r="H70" i="2"/>
  <c r="G54" i="2"/>
  <c r="H54" i="2"/>
  <c r="G38" i="2"/>
  <c r="H38" i="2"/>
  <c r="G22" i="2"/>
  <c r="H22" i="2"/>
  <c r="G6" i="2"/>
  <c r="H6" i="2"/>
  <c r="H1597" i="2"/>
  <c r="I1597" i="2" s="1"/>
  <c r="H1581" i="2"/>
  <c r="I1581" i="2" s="1"/>
  <c r="H1565" i="2"/>
  <c r="I1565" i="2" s="1"/>
  <c r="H1549" i="2"/>
  <c r="I1549" i="2" s="1"/>
  <c r="H1533" i="2"/>
  <c r="I1533" i="2" s="1"/>
  <c r="H1517" i="2"/>
  <c r="I1517" i="2" s="1"/>
  <c r="H1501" i="2"/>
  <c r="I1501" i="2" s="1"/>
  <c r="H1485" i="2"/>
  <c r="I1485" i="2" s="1"/>
  <c r="H1469" i="2"/>
  <c r="I1469" i="2" s="1"/>
  <c r="H1453" i="2"/>
  <c r="I1453" i="2" s="1"/>
  <c r="H1437" i="2"/>
  <c r="I1437" i="2" s="1"/>
  <c r="H1421" i="2"/>
  <c r="I1421" i="2" s="1"/>
  <c r="H1405" i="2"/>
  <c r="I1405" i="2" s="1"/>
  <c r="H1389" i="2"/>
  <c r="I1389" i="2" s="1"/>
  <c r="H1373" i="2"/>
  <c r="I1373" i="2" s="1"/>
  <c r="H1357" i="2"/>
  <c r="I1357" i="2" s="1"/>
  <c r="H1274" i="2"/>
  <c r="H1244" i="2"/>
  <c r="I1244" i="2" s="1"/>
  <c r="H1131" i="2"/>
  <c r="I1131" i="2" s="1"/>
  <c r="H1101" i="2"/>
  <c r="I1101" i="2" s="1"/>
  <c r="H1018" i="2"/>
  <c r="H988" i="2"/>
  <c r="I988" i="2" s="1"/>
  <c r="H958" i="2"/>
  <c r="H875" i="2"/>
  <c r="I875" i="2" s="1"/>
  <c r="H845" i="2"/>
  <c r="I845" i="2" s="1"/>
  <c r="G750" i="2"/>
  <c r="H750" i="2"/>
  <c r="G622" i="2"/>
  <c r="H622" i="2"/>
  <c r="G526" i="2"/>
  <c r="H526" i="2"/>
  <c r="G398" i="2"/>
  <c r="H398" i="2"/>
  <c r="G270" i="2"/>
  <c r="H270" i="2"/>
  <c r="G142" i="2"/>
  <c r="H142" i="2"/>
  <c r="G14" i="2"/>
  <c r="H14" i="2"/>
  <c r="H1341" i="2"/>
  <c r="I1341" i="2" s="1"/>
  <c r="H1085" i="2"/>
  <c r="I1085" i="2" s="1"/>
  <c r="H701" i="2"/>
  <c r="I701" i="2" s="1"/>
  <c r="H477" i="2"/>
  <c r="I477" i="2" s="1"/>
  <c r="H317" i="2"/>
  <c r="I317" i="2" s="1"/>
  <c r="H157" i="2"/>
  <c r="I157" i="2" s="1"/>
  <c r="H1339" i="2"/>
  <c r="I1339" i="2" s="1"/>
  <c r="H827" i="2"/>
  <c r="I827" i="2" s="1"/>
  <c r="H668" i="2"/>
  <c r="I668" i="2" s="1"/>
  <c r="H508" i="2"/>
  <c r="I508" i="2" s="1"/>
  <c r="H412" i="2"/>
  <c r="I412" i="2" s="1"/>
  <c r="H284" i="2"/>
  <c r="I284" i="2" s="1"/>
  <c r="H156" i="2"/>
  <c r="I156" i="2" s="1"/>
  <c r="H1338" i="2"/>
  <c r="H1165" i="2"/>
  <c r="I1165" i="2" s="1"/>
  <c r="H795" i="2"/>
  <c r="I795" i="2" s="1"/>
  <c r="H603" i="2"/>
  <c r="I603" i="2" s="1"/>
  <c r="H443" i="2"/>
  <c r="I443" i="2" s="1"/>
  <c r="H155" i="2"/>
  <c r="I155" i="2" s="1"/>
  <c r="G1289" i="2"/>
  <c r="H1289" i="2"/>
  <c r="I1289" i="2" s="1"/>
  <c r="G1177" i="2"/>
  <c r="H1177" i="2"/>
  <c r="I1177" i="2" s="1"/>
  <c r="G1065" i="2"/>
  <c r="H1065" i="2"/>
  <c r="I1065" i="2" s="1"/>
  <c r="G969" i="2"/>
  <c r="H969" i="2"/>
  <c r="I969" i="2" s="1"/>
  <c r="G857" i="2"/>
  <c r="H857" i="2"/>
  <c r="I857" i="2" s="1"/>
  <c r="G745" i="2"/>
  <c r="H745" i="2"/>
  <c r="I745" i="2" s="1"/>
  <c r="G617" i="2"/>
  <c r="H617" i="2"/>
  <c r="I617" i="2" s="1"/>
  <c r="G521" i="2"/>
  <c r="H521" i="2"/>
  <c r="I521" i="2" s="1"/>
  <c r="G409" i="2"/>
  <c r="H409" i="2"/>
  <c r="I409" i="2" s="1"/>
  <c r="G329" i="2"/>
  <c r="H329" i="2"/>
  <c r="I329" i="2" s="1"/>
  <c r="G249" i="2"/>
  <c r="H249" i="2"/>
  <c r="I249" i="2" s="1"/>
  <c r="G137" i="2"/>
  <c r="H137" i="2"/>
  <c r="I137" i="2" s="1"/>
  <c r="G25" i="2"/>
  <c r="H25" i="2"/>
  <c r="I25" i="2" s="1"/>
  <c r="H878" i="2"/>
  <c r="H634" i="2"/>
  <c r="H410" i="2"/>
  <c r="H58" i="2"/>
  <c r="G1240" i="2"/>
  <c r="H1240" i="2"/>
  <c r="I1240" i="2" s="1"/>
  <c r="G1128" i="2"/>
  <c r="H1128" i="2"/>
  <c r="I1128" i="2" s="1"/>
  <c r="G1000" i="2"/>
  <c r="H1000" i="2"/>
  <c r="I1000" i="2" s="1"/>
  <c r="G888" i="2"/>
  <c r="H888" i="2"/>
  <c r="I888" i="2" s="1"/>
  <c r="G744" i="2"/>
  <c r="H744" i="2"/>
  <c r="I744" i="2" s="1"/>
  <c r="G632" i="2"/>
  <c r="H632" i="2"/>
  <c r="I632" i="2" s="1"/>
  <c r="G504" i="2"/>
  <c r="H504" i="2"/>
  <c r="I504" i="2" s="1"/>
  <c r="G376" i="2"/>
  <c r="H376" i="2"/>
  <c r="I376" i="2" s="1"/>
  <c r="G216" i="2"/>
  <c r="H216" i="2"/>
  <c r="I216" i="2" s="1"/>
  <c r="G72" i="2"/>
  <c r="H72" i="2"/>
  <c r="I72" i="2" s="1"/>
  <c r="H1133" i="2"/>
  <c r="I1133" i="2" s="1"/>
  <c r="G1349" i="2"/>
  <c r="H1349" i="2"/>
  <c r="I1349" i="2" s="1"/>
  <c r="G1333" i="2"/>
  <c r="H1333" i="2"/>
  <c r="I1333" i="2" s="1"/>
  <c r="G1317" i="2"/>
  <c r="H1317" i="2"/>
  <c r="I1317" i="2" s="1"/>
  <c r="G1301" i="2"/>
  <c r="H1301" i="2"/>
  <c r="I1301" i="2" s="1"/>
  <c r="G1285" i="2"/>
  <c r="H1285" i="2"/>
  <c r="I1285" i="2" s="1"/>
  <c r="G1269" i="2"/>
  <c r="H1269" i="2"/>
  <c r="I1269" i="2" s="1"/>
  <c r="G1253" i="2"/>
  <c r="H1253" i="2"/>
  <c r="I1253" i="2" s="1"/>
  <c r="G1237" i="2"/>
  <c r="H1237" i="2"/>
  <c r="I1237" i="2" s="1"/>
  <c r="G1221" i="2"/>
  <c r="H1221" i="2"/>
  <c r="I1221" i="2" s="1"/>
  <c r="G1205" i="2"/>
  <c r="H1205" i="2"/>
  <c r="I1205" i="2" s="1"/>
  <c r="G1189" i="2"/>
  <c r="H1189" i="2"/>
  <c r="I1189" i="2" s="1"/>
  <c r="G1173" i="2"/>
  <c r="H1173" i="2"/>
  <c r="I1173" i="2" s="1"/>
  <c r="G1157" i="2"/>
  <c r="H1157" i="2"/>
  <c r="I1157" i="2" s="1"/>
  <c r="G1141" i="2"/>
  <c r="H1141" i="2"/>
  <c r="I1141" i="2" s="1"/>
  <c r="G1125" i="2"/>
  <c r="H1125" i="2"/>
  <c r="I1125" i="2" s="1"/>
  <c r="G1109" i="2"/>
  <c r="H1109" i="2"/>
  <c r="I1109" i="2" s="1"/>
  <c r="G1093" i="2"/>
  <c r="H1093" i="2"/>
  <c r="I1093" i="2" s="1"/>
  <c r="G1077" i="2"/>
  <c r="H1077" i="2"/>
  <c r="I1077" i="2" s="1"/>
  <c r="G1061" i="2"/>
  <c r="H1061" i="2"/>
  <c r="I1061" i="2" s="1"/>
  <c r="G1045" i="2"/>
  <c r="H1045" i="2"/>
  <c r="I1045" i="2" s="1"/>
  <c r="G1029" i="2"/>
  <c r="H1029" i="2"/>
  <c r="I1029" i="2" s="1"/>
  <c r="G1013" i="2"/>
  <c r="H1013" i="2"/>
  <c r="I1013" i="2" s="1"/>
  <c r="G997" i="2"/>
  <c r="H997" i="2"/>
  <c r="I997" i="2" s="1"/>
  <c r="G981" i="2"/>
  <c r="H981" i="2"/>
  <c r="I981" i="2" s="1"/>
  <c r="G965" i="2"/>
  <c r="H965" i="2"/>
  <c r="I965" i="2" s="1"/>
  <c r="G949" i="2"/>
  <c r="H949" i="2"/>
  <c r="I949" i="2" s="1"/>
  <c r="G933" i="2"/>
  <c r="H933" i="2"/>
  <c r="I933" i="2" s="1"/>
  <c r="G917" i="2"/>
  <c r="H917" i="2"/>
  <c r="I917" i="2" s="1"/>
  <c r="G901" i="2"/>
  <c r="H901" i="2"/>
  <c r="I901" i="2" s="1"/>
  <c r="G885" i="2"/>
  <c r="H885" i="2"/>
  <c r="I885" i="2" s="1"/>
  <c r="G869" i="2"/>
  <c r="H869" i="2"/>
  <c r="I869" i="2" s="1"/>
  <c r="G853" i="2"/>
  <c r="H853" i="2"/>
  <c r="I853" i="2" s="1"/>
  <c r="G837" i="2"/>
  <c r="H837" i="2"/>
  <c r="I837" i="2" s="1"/>
  <c r="G821" i="2"/>
  <c r="H821" i="2"/>
  <c r="I821" i="2" s="1"/>
  <c r="G805" i="2"/>
  <c r="H805" i="2"/>
  <c r="I805" i="2" s="1"/>
  <c r="G789" i="2"/>
  <c r="H789" i="2"/>
  <c r="I789" i="2" s="1"/>
  <c r="G773" i="2"/>
  <c r="H773" i="2"/>
  <c r="I773" i="2" s="1"/>
  <c r="G757" i="2"/>
  <c r="H757" i="2"/>
  <c r="I757" i="2" s="1"/>
  <c r="G741" i="2"/>
  <c r="H741" i="2"/>
  <c r="I741" i="2" s="1"/>
  <c r="G725" i="2"/>
  <c r="H725" i="2"/>
  <c r="I725" i="2" s="1"/>
  <c r="G709" i="2"/>
  <c r="H709" i="2"/>
  <c r="I709" i="2" s="1"/>
  <c r="G693" i="2"/>
  <c r="H693" i="2"/>
  <c r="I693" i="2" s="1"/>
  <c r="G677" i="2"/>
  <c r="H677" i="2"/>
  <c r="I677" i="2" s="1"/>
  <c r="G661" i="2"/>
  <c r="H661" i="2"/>
  <c r="I661" i="2" s="1"/>
  <c r="G645" i="2"/>
  <c r="H645" i="2"/>
  <c r="I645" i="2" s="1"/>
  <c r="G629" i="2"/>
  <c r="H629" i="2"/>
  <c r="I629" i="2" s="1"/>
  <c r="G613" i="2"/>
  <c r="H613" i="2"/>
  <c r="I613" i="2" s="1"/>
  <c r="G597" i="2"/>
  <c r="H597" i="2"/>
  <c r="I597" i="2" s="1"/>
  <c r="G581" i="2"/>
  <c r="H581" i="2"/>
  <c r="I581" i="2" s="1"/>
  <c r="G565" i="2"/>
  <c r="H565" i="2"/>
  <c r="I565" i="2" s="1"/>
  <c r="G549" i="2"/>
  <c r="H549" i="2"/>
  <c r="I549" i="2" s="1"/>
  <c r="G533" i="2"/>
  <c r="H533" i="2"/>
  <c r="I533" i="2" s="1"/>
  <c r="G517" i="2"/>
  <c r="H517" i="2"/>
  <c r="I517" i="2" s="1"/>
  <c r="G501" i="2"/>
  <c r="H501" i="2"/>
  <c r="I501" i="2" s="1"/>
  <c r="G485" i="2"/>
  <c r="H485" i="2"/>
  <c r="I485" i="2" s="1"/>
  <c r="G469" i="2"/>
  <c r="H469" i="2"/>
  <c r="I469" i="2" s="1"/>
  <c r="G453" i="2"/>
  <c r="H453" i="2"/>
  <c r="I453" i="2" s="1"/>
  <c r="G437" i="2"/>
  <c r="H437" i="2"/>
  <c r="I437" i="2" s="1"/>
  <c r="G421" i="2"/>
  <c r="H421" i="2"/>
  <c r="I421" i="2" s="1"/>
  <c r="G405" i="2"/>
  <c r="H405" i="2"/>
  <c r="I405" i="2" s="1"/>
  <c r="G389" i="2"/>
  <c r="H389" i="2"/>
  <c r="I389" i="2" s="1"/>
  <c r="G373" i="2"/>
  <c r="H373" i="2"/>
  <c r="I373" i="2" s="1"/>
  <c r="G357" i="2"/>
  <c r="H357" i="2"/>
  <c r="I357" i="2" s="1"/>
  <c r="G341" i="2"/>
  <c r="H341" i="2"/>
  <c r="I341" i="2" s="1"/>
  <c r="G325" i="2"/>
  <c r="H325" i="2"/>
  <c r="I325" i="2" s="1"/>
  <c r="G309" i="2"/>
  <c r="H309" i="2"/>
  <c r="I309" i="2" s="1"/>
  <c r="G293" i="2"/>
  <c r="H293" i="2"/>
  <c r="I293" i="2" s="1"/>
  <c r="G277" i="2"/>
  <c r="H277" i="2"/>
  <c r="I277" i="2" s="1"/>
  <c r="G261" i="2"/>
  <c r="H261" i="2"/>
  <c r="I261" i="2" s="1"/>
  <c r="G245" i="2"/>
  <c r="H245" i="2"/>
  <c r="I245" i="2" s="1"/>
  <c r="G229" i="2"/>
  <c r="H229" i="2"/>
  <c r="I229" i="2" s="1"/>
  <c r="G213" i="2"/>
  <c r="H213" i="2"/>
  <c r="I213" i="2" s="1"/>
  <c r="G197" i="2"/>
  <c r="H197" i="2"/>
  <c r="I197" i="2" s="1"/>
  <c r="G181" i="2"/>
  <c r="H181" i="2"/>
  <c r="I181" i="2" s="1"/>
  <c r="G165" i="2"/>
  <c r="H165" i="2"/>
  <c r="I165" i="2" s="1"/>
  <c r="G149" i="2"/>
  <c r="H149" i="2"/>
  <c r="I149" i="2" s="1"/>
  <c r="G133" i="2"/>
  <c r="H133" i="2"/>
  <c r="I133" i="2" s="1"/>
  <c r="G117" i="2"/>
  <c r="H117" i="2"/>
  <c r="I117" i="2" s="1"/>
  <c r="G101" i="2"/>
  <c r="H101" i="2"/>
  <c r="I101" i="2" s="1"/>
  <c r="G85" i="2"/>
  <c r="H85" i="2"/>
  <c r="I85" i="2" s="1"/>
  <c r="G69" i="2"/>
  <c r="H69" i="2"/>
  <c r="I69" i="2" s="1"/>
  <c r="G53" i="2"/>
  <c r="H53" i="2"/>
  <c r="I53" i="2" s="1"/>
  <c r="G37" i="2"/>
  <c r="H37" i="2"/>
  <c r="I37" i="2" s="1"/>
  <c r="G21" i="2"/>
  <c r="H21" i="2"/>
  <c r="I21" i="2" s="1"/>
  <c r="G5" i="2"/>
  <c r="H5" i="2"/>
  <c r="I5" i="2" s="1"/>
  <c r="H1596" i="2"/>
  <c r="I1596" i="2" s="1"/>
  <c r="H1580" i="2"/>
  <c r="I1580" i="2" s="1"/>
  <c r="H1564" i="2"/>
  <c r="I1564" i="2" s="1"/>
  <c r="H1548" i="2"/>
  <c r="I1548" i="2" s="1"/>
  <c r="H1532" i="2"/>
  <c r="I1532" i="2" s="1"/>
  <c r="H1516" i="2"/>
  <c r="I1516" i="2" s="1"/>
  <c r="H1500" i="2"/>
  <c r="I1500" i="2" s="1"/>
  <c r="H1484" i="2"/>
  <c r="I1484" i="2" s="1"/>
  <c r="H1468" i="2"/>
  <c r="I1468" i="2" s="1"/>
  <c r="H1452" i="2"/>
  <c r="I1452" i="2" s="1"/>
  <c r="H1436" i="2"/>
  <c r="I1436" i="2" s="1"/>
  <c r="H1420" i="2"/>
  <c r="I1420" i="2" s="1"/>
  <c r="H1404" i="2"/>
  <c r="I1404" i="2" s="1"/>
  <c r="H1388" i="2"/>
  <c r="I1388" i="2" s="1"/>
  <c r="H1372" i="2"/>
  <c r="I1372" i="2" s="1"/>
  <c r="H1356" i="2"/>
  <c r="I1356" i="2" s="1"/>
  <c r="H1326" i="2"/>
  <c r="H1296" i="2"/>
  <c r="I1296" i="2" s="1"/>
  <c r="H1266" i="2"/>
  <c r="H1243" i="2"/>
  <c r="I1243" i="2" s="1"/>
  <c r="H1213" i="2"/>
  <c r="I1213" i="2" s="1"/>
  <c r="H1153" i="2"/>
  <c r="I1153" i="2" s="1"/>
  <c r="H1130" i="2"/>
  <c r="H1100" i="2"/>
  <c r="I1100" i="2" s="1"/>
  <c r="H1070" i="2"/>
  <c r="H1040" i="2"/>
  <c r="I1040" i="2" s="1"/>
  <c r="H1010" i="2"/>
  <c r="H987" i="2"/>
  <c r="I987" i="2" s="1"/>
  <c r="H957" i="2"/>
  <c r="I957" i="2" s="1"/>
  <c r="H897" i="2"/>
  <c r="I897" i="2" s="1"/>
  <c r="H874" i="2"/>
  <c r="H844" i="2"/>
  <c r="I844" i="2" s="1"/>
  <c r="H814" i="2"/>
  <c r="G782" i="2"/>
  <c r="H782" i="2"/>
  <c r="G654" i="2"/>
  <c r="H654" i="2"/>
  <c r="G558" i="2"/>
  <c r="H558" i="2"/>
  <c r="G430" i="2"/>
  <c r="H430" i="2"/>
  <c r="G302" i="2"/>
  <c r="H302" i="2"/>
  <c r="G190" i="2"/>
  <c r="H190" i="2"/>
  <c r="G30" i="2"/>
  <c r="H30" i="2"/>
  <c r="H1086" i="2"/>
  <c r="H1198" i="2"/>
  <c r="H942" i="2"/>
  <c r="H669" i="2"/>
  <c r="I669" i="2" s="1"/>
  <c r="H413" i="2"/>
  <c r="I413" i="2" s="1"/>
  <c r="H93" i="2"/>
  <c r="I93" i="2" s="1"/>
  <c r="H1196" i="2"/>
  <c r="I1196" i="2" s="1"/>
  <c r="H1083" i="2"/>
  <c r="I1083" i="2" s="1"/>
  <c r="H910" i="2"/>
  <c r="H700" i="2"/>
  <c r="I700" i="2" s="1"/>
  <c r="H476" i="2"/>
  <c r="I476" i="2" s="1"/>
  <c r="H348" i="2"/>
  <c r="I348" i="2" s="1"/>
  <c r="H60" i="2"/>
  <c r="I60" i="2" s="1"/>
  <c r="H1022" i="2"/>
  <c r="H909" i="2"/>
  <c r="I909" i="2" s="1"/>
  <c r="H826" i="2"/>
  <c r="H635" i="2"/>
  <c r="I635" i="2" s="1"/>
  <c r="H475" i="2"/>
  <c r="I475" i="2" s="1"/>
  <c r="H411" i="2"/>
  <c r="I411" i="2" s="1"/>
  <c r="H347" i="2"/>
  <c r="I347" i="2" s="1"/>
  <c r="H283" i="2"/>
  <c r="I283" i="2" s="1"/>
  <c r="H59" i="2"/>
  <c r="I59" i="2" s="1"/>
  <c r="G1337" i="2"/>
  <c r="H1337" i="2"/>
  <c r="I1337" i="2" s="1"/>
  <c r="G1225" i="2"/>
  <c r="H1225" i="2"/>
  <c r="I1225" i="2" s="1"/>
  <c r="G1113" i="2"/>
  <c r="H1113" i="2"/>
  <c r="I1113" i="2" s="1"/>
  <c r="G1001" i="2"/>
  <c r="H1001" i="2"/>
  <c r="I1001" i="2" s="1"/>
  <c r="G889" i="2"/>
  <c r="H889" i="2"/>
  <c r="I889" i="2" s="1"/>
  <c r="G777" i="2"/>
  <c r="H777" i="2"/>
  <c r="I777" i="2" s="1"/>
  <c r="G681" i="2"/>
  <c r="H681" i="2"/>
  <c r="I681" i="2" s="1"/>
  <c r="G569" i="2"/>
  <c r="H569" i="2"/>
  <c r="I569" i="2" s="1"/>
  <c r="G489" i="2"/>
  <c r="H489" i="2"/>
  <c r="I489" i="2" s="1"/>
  <c r="G361" i="2"/>
  <c r="H361" i="2"/>
  <c r="I361" i="2" s="1"/>
  <c r="G265" i="2"/>
  <c r="H265" i="2"/>
  <c r="I265" i="2" s="1"/>
  <c r="G169" i="2"/>
  <c r="H169" i="2"/>
  <c r="I169" i="2" s="1"/>
  <c r="G73" i="2"/>
  <c r="H73" i="2"/>
  <c r="I73" i="2" s="1"/>
  <c r="H794" i="2"/>
  <c r="H570" i="2"/>
  <c r="H186" i="2"/>
  <c r="G1320" i="2"/>
  <c r="H1320" i="2"/>
  <c r="I1320" i="2" s="1"/>
  <c r="G1192" i="2"/>
  <c r="H1192" i="2"/>
  <c r="I1192" i="2" s="1"/>
  <c r="G1064" i="2"/>
  <c r="H1064" i="2"/>
  <c r="I1064" i="2" s="1"/>
  <c r="G968" i="2"/>
  <c r="H968" i="2"/>
  <c r="I968" i="2" s="1"/>
  <c r="G840" i="2"/>
  <c r="H840" i="2"/>
  <c r="I840" i="2" s="1"/>
  <c r="G712" i="2"/>
  <c r="H712" i="2"/>
  <c r="I712" i="2" s="1"/>
  <c r="G584" i="2"/>
  <c r="H584" i="2"/>
  <c r="I584" i="2" s="1"/>
  <c r="G440" i="2"/>
  <c r="H440" i="2"/>
  <c r="I440" i="2" s="1"/>
  <c r="G296" i="2"/>
  <c r="H296" i="2"/>
  <c r="I296" i="2" s="1"/>
  <c r="G184" i="2"/>
  <c r="H184" i="2"/>
  <c r="I184" i="2" s="1"/>
  <c r="G40" i="2"/>
  <c r="H40" i="2"/>
  <c r="I40" i="2" s="1"/>
  <c r="G1348" i="2"/>
  <c r="H1348" i="2"/>
  <c r="I1348" i="2" s="1"/>
  <c r="G1332" i="2"/>
  <c r="H1332" i="2"/>
  <c r="I1332" i="2" s="1"/>
  <c r="G1316" i="2"/>
  <c r="H1316" i="2"/>
  <c r="I1316" i="2" s="1"/>
  <c r="G1300" i="2"/>
  <c r="H1300" i="2"/>
  <c r="I1300" i="2" s="1"/>
  <c r="G1284" i="2"/>
  <c r="H1284" i="2"/>
  <c r="I1284" i="2" s="1"/>
  <c r="G1268" i="2"/>
  <c r="H1268" i="2"/>
  <c r="I1268" i="2" s="1"/>
  <c r="G1252" i="2"/>
  <c r="H1252" i="2"/>
  <c r="I1252" i="2" s="1"/>
  <c r="G1236" i="2"/>
  <c r="H1236" i="2"/>
  <c r="I1236" i="2" s="1"/>
  <c r="G1220" i="2"/>
  <c r="H1220" i="2"/>
  <c r="I1220" i="2" s="1"/>
  <c r="G1204" i="2"/>
  <c r="H1204" i="2"/>
  <c r="I1204" i="2" s="1"/>
  <c r="G1188" i="2"/>
  <c r="H1188" i="2"/>
  <c r="I1188" i="2" s="1"/>
  <c r="G1172" i="2"/>
  <c r="H1172" i="2"/>
  <c r="I1172" i="2" s="1"/>
  <c r="G1156" i="2"/>
  <c r="H1156" i="2"/>
  <c r="I1156" i="2" s="1"/>
  <c r="G1140" i="2"/>
  <c r="H1140" i="2"/>
  <c r="I1140" i="2" s="1"/>
  <c r="G1124" i="2"/>
  <c r="H1124" i="2"/>
  <c r="I1124" i="2" s="1"/>
  <c r="G1108" i="2"/>
  <c r="H1108" i="2"/>
  <c r="I1108" i="2" s="1"/>
  <c r="G1092" i="2"/>
  <c r="H1092" i="2"/>
  <c r="I1092" i="2" s="1"/>
  <c r="G1076" i="2"/>
  <c r="H1076" i="2"/>
  <c r="I1076" i="2" s="1"/>
  <c r="G1060" i="2"/>
  <c r="H1060" i="2"/>
  <c r="I1060" i="2" s="1"/>
  <c r="G1044" i="2"/>
  <c r="H1044" i="2"/>
  <c r="I1044" i="2" s="1"/>
  <c r="G1028" i="2"/>
  <c r="H1028" i="2"/>
  <c r="I1028" i="2" s="1"/>
  <c r="G1012" i="2"/>
  <c r="H1012" i="2"/>
  <c r="I1012" i="2" s="1"/>
  <c r="G996" i="2"/>
  <c r="H996" i="2"/>
  <c r="I996" i="2" s="1"/>
  <c r="G980" i="2"/>
  <c r="H980" i="2"/>
  <c r="I980" i="2" s="1"/>
  <c r="G964" i="2"/>
  <c r="H964" i="2"/>
  <c r="I964" i="2" s="1"/>
  <c r="G948" i="2"/>
  <c r="H948" i="2"/>
  <c r="I948" i="2" s="1"/>
  <c r="G932" i="2"/>
  <c r="H932" i="2"/>
  <c r="I932" i="2" s="1"/>
  <c r="G916" i="2"/>
  <c r="H916" i="2"/>
  <c r="I916" i="2" s="1"/>
  <c r="G900" i="2"/>
  <c r="H900" i="2"/>
  <c r="I900" i="2" s="1"/>
  <c r="G884" i="2"/>
  <c r="H884" i="2"/>
  <c r="I884" i="2" s="1"/>
  <c r="G868" i="2"/>
  <c r="H868" i="2"/>
  <c r="I868" i="2" s="1"/>
  <c r="G852" i="2"/>
  <c r="H852" i="2"/>
  <c r="G836" i="2"/>
  <c r="H836" i="2"/>
  <c r="I836" i="2" s="1"/>
  <c r="G820" i="2"/>
  <c r="H820" i="2"/>
  <c r="I820" i="2" s="1"/>
  <c r="G804" i="2"/>
  <c r="H804" i="2"/>
  <c r="I804" i="2" s="1"/>
  <c r="G788" i="2"/>
  <c r="H788" i="2"/>
  <c r="I788" i="2" s="1"/>
  <c r="G772" i="2"/>
  <c r="H772" i="2"/>
  <c r="I772" i="2" s="1"/>
  <c r="G756" i="2"/>
  <c r="H756" i="2"/>
  <c r="I756" i="2" s="1"/>
  <c r="G740" i="2"/>
  <c r="H740" i="2"/>
  <c r="I740" i="2" s="1"/>
  <c r="G724" i="2"/>
  <c r="H724" i="2"/>
  <c r="I724" i="2" s="1"/>
  <c r="G708" i="2"/>
  <c r="H708" i="2"/>
  <c r="I708" i="2" s="1"/>
  <c r="G692" i="2"/>
  <c r="H692" i="2"/>
  <c r="I692" i="2" s="1"/>
  <c r="G676" i="2"/>
  <c r="H676" i="2"/>
  <c r="I676" i="2" s="1"/>
  <c r="G660" i="2"/>
  <c r="H660" i="2"/>
  <c r="I660" i="2" s="1"/>
  <c r="G644" i="2"/>
  <c r="H644" i="2"/>
  <c r="I644" i="2" s="1"/>
  <c r="G628" i="2"/>
  <c r="H628" i="2"/>
  <c r="I628" i="2" s="1"/>
  <c r="G612" i="2"/>
  <c r="H612" i="2"/>
  <c r="I612" i="2" s="1"/>
  <c r="G596" i="2"/>
  <c r="H596" i="2"/>
  <c r="I596" i="2" s="1"/>
  <c r="G580" i="2"/>
  <c r="H580" i="2"/>
  <c r="I580" i="2" s="1"/>
  <c r="G564" i="2"/>
  <c r="H564" i="2"/>
  <c r="I564" i="2" s="1"/>
  <c r="G548" i="2"/>
  <c r="H548" i="2"/>
  <c r="I548" i="2" s="1"/>
  <c r="G532" i="2"/>
  <c r="H532" i="2"/>
  <c r="I532" i="2" s="1"/>
  <c r="G516" i="2"/>
  <c r="H516" i="2"/>
  <c r="I516" i="2" s="1"/>
  <c r="G500" i="2"/>
  <c r="H500" i="2"/>
  <c r="I500" i="2" s="1"/>
  <c r="G484" i="2"/>
  <c r="H484" i="2"/>
  <c r="I484" i="2" s="1"/>
  <c r="G468" i="2"/>
  <c r="H468" i="2"/>
  <c r="I468" i="2" s="1"/>
  <c r="G452" i="2"/>
  <c r="H452" i="2"/>
  <c r="I452" i="2" s="1"/>
  <c r="G436" i="2"/>
  <c r="H436" i="2"/>
  <c r="I436" i="2" s="1"/>
  <c r="G420" i="2"/>
  <c r="H420" i="2"/>
  <c r="I420" i="2" s="1"/>
  <c r="G404" i="2"/>
  <c r="H404" i="2"/>
  <c r="I404" i="2" s="1"/>
  <c r="G388" i="2"/>
  <c r="H388" i="2"/>
  <c r="I388" i="2" s="1"/>
  <c r="G372" i="2"/>
  <c r="H372" i="2"/>
  <c r="I372" i="2" s="1"/>
  <c r="G356" i="2"/>
  <c r="H356" i="2"/>
  <c r="I356" i="2" s="1"/>
  <c r="G340" i="2"/>
  <c r="H340" i="2"/>
  <c r="I340" i="2" s="1"/>
  <c r="G324" i="2"/>
  <c r="H324" i="2"/>
  <c r="I324" i="2" s="1"/>
  <c r="G308" i="2"/>
  <c r="H308" i="2"/>
  <c r="I308" i="2" s="1"/>
  <c r="G292" i="2"/>
  <c r="H292" i="2"/>
  <c r="I292" i="2" s="1"/>
  <c r="G276" i="2"/>
  <c r="H276" i="2"/>
  <c r="I276" i="2" s="1"/>
  <c r="G260" i="2"/>
  <c r="H260" i="2"/>
  <c r="I260" i="2" s="1"/>
  <c r="G244" i="2"/>
  <c r="H244" i="2"/>
  <c r="I244" i="2" s="1"/>
  <c r="G228" i="2"/>
  <c r="H228" i="2"/>
  <c r="I228" i="2" s="1"/>
  <c r="G212" i="2"/>
  <c r="H212" i="2"/>
  <c r="I212" i="2" s="1"/>
  <c r="G196" i="2"/>
  <c r="H196" i="2"/>
  <c r="I196" i="2" s="1"/>
  <c r="G180" i="2"/>
  <c r="H180" i="2"/>
  <c r="I180" i="2" s="1"/>
  <c r="G164" i="2"/>
  <c r="H164" i="2"/>
  <c r="I164" i="2" s="1"/>
  <c r="G148" i="2"/>
  <c r="H148" i="2"/>
  <c r="I148" i="2" s="1"/>
  <c r="G132" i="2"/>
  <c r="H132" i="2"/>
  <c r="I132" i="2" s="1"/>
  <c r="G116" i="2"/>
  <c r="H116" i="2"/>
  <c r="I116" i="2" s="1"/>
  <c r="G100" i="2"/>
  <c r="H100" i="2"/>
  <c r="I100" i="2" s="1"/>
  <c r="G84" i="2"/>
  <c r="H84" i="2"/>
  <c r="I84" i="2" s="1"/>
  <c r="G68" i="2"/>
  <c r="H68" i="2"/>
  <c r="I68" i="2" s="1"/>
  <c r="G52" i="2"/>
  <c r="H52" i="2"/>
  <c r="I52" i="2" s="1"/>
  <c r="G36" i="2"/>
  <c r="H36" i="2"/>
  <c r="I36" i="2" s="1"/>
  <c r="G20" i="2"/>
  <c r="H20" i="2"/>
  <c r="I20" i="2" s="1"/>
  <c r="G4" i="2"/>
  <c r="H4" i="2"/>
  <c r="I4" i="2" s="1"/>
  <c r="H1595" i="2"/>
  <c r="I1595" i="2" s="1"/>
  <c r="H1579" i="2"/>
  <c r="I1579" i="2" s="1"/>
  <c r="H1563" i="2"/>
  <c r="I1563" i="2" s="1"/>
  <c r="H1547" i="2"/>
  <c r="I1547" i="2" s="1"/>
  <c r="H1531" i="2"/>
  <c r="I1531" i="2" s="1"/>
  <c r="H1515" i="2"/>
  <c r="I1515" i="2" s="1"/>
  <c r="H1499" i="2"/>
  <c r="I1499" i="2" s="1"/>
  <c r="H1483" i="2"/>
  <c r="I1483" i="2" s="1"/>
  <c r="H1467" i="2"/>
  <c r="I1467" i="2" s="1"/>
  <c r="H1451" i="2"/>
  <c r="I1451" i="2" s="1"/>
  <c r="H1435" i="2"/>
  <c r="I1435" i="2" s="1"/>
  <c r="H1419" i="2"/>
  <c r="I1419" i="2" s="1"/>
  <c r="H1403" i="2"/>
  <c r="I1403" i="2" s="1"/>
  <c r="H1387" i="2"/>
  <c r="I1387" i="2" s="1"/>
  <c r="H1371" i="2"/>
  <c r="I1371" i="2" s="1"/>
  <c r="H1355" i="2"/>
  <c r="I1355" i="2" s="1"/>
  <c r="H1325" i="2"/>
  <c r="I1325" i="2" s="1"/>
  <c r="H1265" i="2"/>
  <c r="I1265" i="2" s="1"/>
  <c r="H1242" i="2"/>
  <c r="H1212" i="2"/>
  <c r="I1212" i="2" s="1"/>
  <c r="H1182" i="2"/>
  <c r="H1152" i="2"/>
  <c r="I1152" i="2" s="1"/>
  <c r="H1122" i="2"/>
  <c r="H1099" i="2"/>
  <c r="I1099" i="2" s="1"/>
  <c r="H1069" i="2"/>
  <c r="I1069" i="2" s="1"/>
  <c r="H1009" i="2"/>
  <c r="I1009" i="2" s="1"/>
  <c r="H986" i="2"/>
  <c r="H956" i="2"/>
  <c r="I956" i="2" s="1"/>
  <c r="H926" i="2"/>
  <c r="H896" i="2"/>
  <c r="I896" i="2" s="1"/>
  <c r="H866" i="2"/>
  <c r="H843" i="2"/>
  <c r="I843" i="2" s="1"/>
  <c r="H813" i="2"/>
  <c r="I813" i="2" s="1"/>
  <c r="H781" i="2"/>
  <c r="I781" i="2" s="1"/>
  <c r="H749" i="2"/>
  <c r="I749" i="2" s="1"/>
  <c r="H717" i="2"/>
  <c r="I717" i="2" s="1"/>
  <c r="H685" i="2"/>
  <c r="I685" i="2" s="1"/>
  <c r="H653" i="2"/>
  <c r="I653" i="2" s="1"/>
  <c r="H621" i="2"/>
  <c r="I621" i="2" s="1"/>
  <c r="H589" i="2"/>
  <c r="I589" i="2" s="1"/>
  <c r="H557" i="2"/>
  <c r="I557" i="2" s="1"/>
  <c r="H525" i="2"/>
  <c r="I525" i="2" s="1"/>
  <c r="H493" i="2"/>
  <c r="I493" i="2" s="1"/>
  <c r="H461" i="2"/>
  <c r="I461" i="2" s="1"/>
  <c r="H429" i="2"/>
  <c r="I429" i="2" s="1"/>
  <c r="H397" i="2"/>
  <c r="I397" i="2" s="1"/>
  <c r="H365" i="2"/>
  <c r="I365" i="2" s="1"/>
  <c r="H333" i="2"/>
  <c r="I333" i="2" s="1"/>
  <c r="H301" i="2"/>
  <c r="I301" i="2" s="1"/>
  <c r="H269" i="2"/>
  <c r="I269" i="2" s="1"/>
  <c r="H237" i="2"/>
  <c r="I237" i="2" s="1"/>
  <c r="H205" i="2"/>
  <c r="I205" i="2" s="1"/>
  <c r="H173" i="2"/>
  <c r="I173" i="2" s="1"/>
  <c r="H141" i="2"/>
  <c r="I141" i="2" s="1"/>
  <c r="H109" i="2"/>
  <c r="I109" i="2" s="1"/>
  <c r="H77" i="2"/>
  <c r="I77" i="2" s="1"/>
  <c r="H45" i="2"/>
  <c r="I45" i="2" s="1"/>
  <c r="H13" i="2"/>
  <c r="I13" i="2" s="1"/>
  <c r="G798" i="2"/>
  <c r="H798" i="2"/>
  <c r="H1310" i="2"/>
  <c r="H221" i="2"/>
  <c r="I221" i="2" s="1"/>
  <c r="H220" i="2"/>
  <c r="I220" i="2" s="1"/>
  <c r="H219" i="2"/>
  <c r="I219" i="2" s="1"/>
  <c r="G1321" i="2"/>
  <c r="H1321" i="2"/>
  <c r="I1321" i="2" s="1"/>
  <c r="G1209" i="2"/>
  <c r="H1209" i="2"/>
  <c r="I1209" i="2" s="1"/>
  <c r="G1081" i="2"/>
  <c r="H1081" i="2"/>
  <c r="I1081" i="2" s="1"/>
  <c r="G921" i="2"/>
  <c r="H921" i="2"/>
  <c r="I921" i="2" s="1"/>
  <c r="G793" i="2"/>
  <c r="H793" i="2"/>
  <c r="I793" i="2" s="1"/>
  <c r="G665" i="2"/>
  <c r="H665" i="2"/>
  <c r="I665" i="2" s="1"/>
  <c r="G457" i="2"/>
  <c r="H457" i="2"/>
  <c r="I457" i="2" s="1"/>
  <c r="G105" i="2"/>
  <c r="H105" i="2"/>
  <c r="I105" i="2" s="1"/>
  <c r="H218" i="2"/>
  <c r="G1352" i="2"/>
  <c r="H1352" i="2"/>
  <c r="I1352" i="2" s="1"/>
  <c r="G1347" i="2"/>
  <c r="H1347" i="2"/>
  <c r="I1347" i="2" s="1"/>
  <c r="G1331" i="2"/>
  <c r="H1331" i="2"/>
  <c r="I1331" i="2" s="1"/>
  <c r="G1315" i="2"/>
  <c r="H1315" i="2"/>
  <c r="I1315" i="2" s="1"/>
  <c r="G1299" i="2"/>
  <c r="H1299" i="2"/>
  <c r="I1299" i="2" s="1"/>
  <c r="G1283" i="2"/>
  <c r="H1283" i="2"/>
  <c r="G1267" i="2"/>
  <c r="H1267" i="2"/>
  <c r="I1267" i="2" s="1"/>
  <c r="G1251" i="2"/>
  <c r="H1251" i="2"/>
  <c r="I1251" i="2" s="1"/>
  <c r="G1235" i="2"/>
  <c r="H1235" i="2"/>
  <c r="I1235" i="2" s="1"/>
  <c r="G1219" i="2"/>
  <c r="H1219" i="2"/>
  <c r="I1219" i="2" s="1"/>
  <c r="G1203" i="2"/>
  <c r="H1203" i="2"/>
  <c r="I1203" i="2" s="1"/>
  <c r="G1187" i="2"/>
  <c r="H1187" i="2"/>
  <c r="G1171" i="2"/>
  <c r="H1171" i="2"/>
  <c r="I1171" i="2" s="1"/>
  <c r="G1155" i="2"/>
  <c r="H1155" i="2"/>
  <c r="I1155" i="2" s="1"/>
  <c r="G1139" i="2"/>
  <c r="H1139" i="2"/>
  <c r="I1139" i="2" s="1"/>
  <c r="G1123" i="2"/>
  <c r="H1123" i="2"/>
  <c r="I1123" i="2" s="1"/>
  <c r="G1107" i="2"/>
  <c r="H1107" i="2"/>
  <c r="G1091" i="2"/>
  <c r="H1091" i="2"/>
  <c r="I1091" i="2" s="1"/>
  <c r="G1075" i="2"/>
  <c r="H1075" i="2"/>
  <c r="I1075" i="2" s="1"/>
  <c r="G1059" i="2"/>
  <c r="H1059" i="2"/>
  <c r="I1059" i="2" s="1"/>
  <c r="G1043" i="2"/>
  <c r="H1043" i="2"/>
  <c r="I1043" i="2" s="1"/>
  <c r="G1027" i="2"/>
  <c r="H1027" i="2"/>
  <c r="I1027" i="2" s="1"/>
  <c r="G1011" i="2"/>
  <c r="H1011" i="2"/>
  <c r="I1011" i="2" s="1"/>
  <c r="G995" i="2"/>
  <c r="H995" i="2"/>
  <c r="G979" i="2"/>
  <c r="H979" i="2"/>
  <c r="I979" i="2" s="1"/>
  <c r="G963" i="2"/>
  <c r="H963" i="2"/>
  <c r="I963" i="2" s="1"/>
  <c r="G947" i="2"/>
  <c r="H947" i="2"/>
  <c r="I947" i="2" s="1"/>
  <c r="G931" i="2"/>
  <c r="H931" i="2"/>
  <c r="G915" i="2"/>
  <c r="H915" i="2"/>
  <c r="I915" i="2" s="1"/>
  <c r="G899" i="2"/>
  <c r="H899" i="2"/>
  <c r="G883" i="2"/>
  <c r="H883" i="2"/>
  <c r="I883" i="2" s="1"/>
  <c r="G867" i="2"/>
  <c r="H867" i="2"/>
  <c r="I867" i="2" s="1"/>
  <c r="G851" i="2"/>
  <c r="H851" i="2"/>
  <c r="G835" i="2"/>
  <c r="H835" i="2"/>
  <c r="I835" i="2" s="1"/>
  <c r="G819" i="2"/>
  <c r="H819" i="2"/>
  <c r="I819" i="2" s="1"/>
  <c r="G803" i="2"/>
  <c r="H803" i="2"/>
  <c r="I803" i="2" s="1"/>
  <c r="G787" i="2"/>
  <c r="H787" i="2"/>
  <c r="G771" i="2"/>
  <c r="H771" i="2"/>
  <c r="I771" i="2" s="1"/>
  <c r="G755" i="2"/>
  <c r="H755" i="2"/>
  <c r="I755" i="2" s="1"/>
  <c r="G739" i="2"/>
  <c r="H739" i="2"/>
  <c r="I739" i="2" s="1"/>
  <c r="G723" i="2"/>
  <c r="H723" i="2"/>
  <c r="I723" i="2" s="1"/>
  <c r="G707" i="2"/>
  <c r="H707" i="2"/>
  <c r="I707" i="2" s="1"/>
  <c r="G691" i="2"/>
  <c r="H691" i="2"/>
  <c r="I691" i="2" s="1"/>
  <c r="G675" i="2"/>
  <c r="H675" i="2"/>
  <c r="I675" i="2" s="1"/>
  <c r="G659" i="2"/>
  <c r="H659" i="2"/>
  <c r="G643" i="2"/>
  <c r="H643" i="2"/>
  <c r="I643" i="2" s="1"/>
  <c r="G627" i="2"/>
  <c r="H627" i="2"/>
  <c r="I627" i="2" s="1"/>
  <c r="G611" i="2"/>
  <c r="H611" i="2"/>
  <c r="I611" i="2" s="1"/>
  <c r="G595" i="2"/>
  <c r="H595" i="2"/>
  <c r="I595" i="2" s="1"/>
  <c r="G579" i="2"/>
  <c r="H579" i="2"/>
  <c r="I579" i="2" s="1"/>
  <c r="G563" i="2"/>
  <c r="H563" i="2"/>
  <c r="I563" i="2" s="1"/>
  <c r="G547" i="2"/>
  <c r="H547" i="2"/>
  <c r="I547" i="2" s="1"/>
  <c r="G531" i="2"/>
  <c r="H531" i="2"/>
  <c r="G515" i="2"/>
  <c r="H515" i="2"/>
  <c r="I515" i="2" s="1"/>
  <c r="G499" i="2"/>
  <c r="H499" i="2"/>
  <c r="I499" i="2" s="1"/>
  <c r="G483" i="2"/>
  <c r="H483" i="2"/>
  <c r="I483" i="2" s="1"/>
  <c r="G467" i="2"/>
  <c r="H467" i="2"/>
  <c r="G451" i="2"/>
  <c r="H451" i="2"/>
  <c r="I451" i="2" s="1"/>
  <c r="G435" i="2"/>
  <c r="H435" i="2"/>
  <c r="G419" i="2"/>
  <c r="H419" i="2"/>
  <c r="I419" i="2" s="1"/>
  <c r="G403" i="2"/>
  <c r="H403" i="2"/>
  <c r="I403" i="2" s="1"/>
  <c r="G387" i="2"/>
  <c r="H387" i="2"/>
  <c r="I387" i="2" s="1"/>
  <c r="G371" i="2"/>
  <c r="H371" i="2"/>
  <c r="I371" i="2" s="1"/>
  <c r="G355" i="2"/>
  <c r="H355" i="2"/>
  <c r="I355" i="2" s="1"/>
  <c r="G339" i="2"/>
  <c r="H339" i="2"/>
  <c r="I339" i="2" s="1"/>
  <c r="G323" i="2"/>
  <c r="H323" i="2"/>
  <c r="I323" i="2" s="1"/>
  <c r="G307" i="2"/>
  <c r="H307" i="2"/>
  <c r="I307" i="2" s="1"/>
  <c r="G291" i="2"/>
  <c r="H291" i="2"/>
  <c r="I291" i="2" s="1"/>
  <c r="G275" i="2"/>
  <c r="H275" i="2"/>
  <c r="I275" i="2" s="1"/>
  <c r="G259" i="2"/>
  <c r="H259" i="2"/>
  <c r="I259" i="2" s="1"/>
  <c r="G243" i="2"/>
  <c r="H243" i="2"/>
  <c r="I243" i="2" s="1"/>
  <c r="G227" i="2"/>
  <c r="H227" i="2"/>
  <c r="G211" i="2"/>
  <c r="H211" i="2"/>
  <c r="I211" i="2" s="1"/>
  <c r="G195" i="2"/>
  <c r="H195" i="2"/>
  <c r="I195" i="2" s="1"/>
  <c r="G179" i="2"/>
  <c r="H179" i="2"/>
  <c r="I179" i="2" s="1"/>
  <c r="G163" i="2"/>
  <c r="H163" i="2"/>
  <c r="G147" i="2"/>
  <c r="H147" i="2"/>
  <c r="G131" i="2"/>
  <c r="H131" i="2"/>
  <c r="I131" i="2" s="1"/>
  <c r="G115" i="2"/>
  <c r="H115" i="2"/>
  <c r="I115" i="2" s="1"/>
  <c r="G99" i="2"/>
  <c r="H99" i="2"/>
  <c r="I99" i="2" s="1"/>
  <c r="G83" i="2"/>
  <c r="H83" i="2"/>
  <c r="I83" i="2" s="1"/>
  <c r="G67" i="2"/>
  <c r="H67" i="2"/>
  <c r="I67" i="2" s="1"/>
  <c r="G51" i="2"/>
  <c r="H51" i="2"/>
  <c r="G35" i="2"/>
  <c r="H35" i="2"/>
  <c r="I35" i="2" s="1"/>
  <c r="G19" i="2"/>
  <c r="H19" i="2"/>
  <c r="I19" i="2" s="1"/>
  <c r="G3" i="2"/>
  <c r="H3" i="2"/>
  <c r="I3" i="2" s="1"/>
  <c r="H1594" i="2"/>
  <c r="H1578" i="2"/>
  <c r="H1562" i="2"/>
  <c r="H1546" i="2"/>
  <c r="H1530" i="2"/>
  <c r="H1514" i="2"/>
  <c r="H1498" i="2"/>
  <c r="H1482" i="2"/>
  <c r="H1466" i="2"/>
  <c r="H1450" i="2"/>
  <c r="H1434" i="2"/>
  <c r="H1418" i="2"/>
  <c r="H1402" i="2"/>
  <c r="H1386" i="2"/>
  <c r="H1370" i="2"/>
  <c r="H1354" i="2"/>
  <c r="H1324" i="2"/>
  <c r="I1324" i="2" s="1"/>
  <c r="H1294" i="2"/>
  <c r="H1264" i="2"/>
  <c r="I1264" i="2" s="1"/>
  <c r="H1234" i="2"/>
  <c r="H1211" i="2"/>
  <c r="I1211" i="2" s="1"/>
  <c r="H1181" i="2"/>
  <c r="I1181" i="2" s="1"/>
  <c r="H1121" i="2"/>
  <c r="I1121" i="2" s="1"/>
  <c r="H1098" i="2"/>
  <c r="H1068" i="2"/>
  <c r="I1068" i="2" s="1"/>
  <c r="H1038" i="2"/>
  <c r="H1008" i="2"/>
  <c r="I1008" i="2" s="1"/>
  <c r="H978" i="2"/>
  <c r="H955" i="2"/>
  <c r="I955" i="2" s="1"/>
  <c r="H925" i="2"/>
  <c r="I925" i="2" s="1"/>
  <c r="H865" i="2"/>
  <c r="I865" i="2" s="1"/>
  <c r="H842" i="2"/>
  <c r="H812" i="2"/>
  <c r="I812" i="2" s="1"/>
  <c r="H780" i="2"/>
  <c r="I780" i="2" s="1"/>
  <c r="H748" i="2"/>
  <c r="I748" i="2" s="1"/>
  <c r="H716" i="2"/>
  <c r="I716" i="2" s="1"/>
  <c r="H684" i="2"/>
  <c r="I684" i="2" s="1"/>
  <c r="H652" i="2"/>
  <c r="I652" i="2" s="1"/>
  <c r="H620" i="2"/>
  <c r="I620" i="2" s="1"/>
  <c r="H588" i="2"/>
  <c r="I588" i="2" s="1"/>
  <c r="H556" i="2"/>
  <c r="I556" i="2" s="1"/>
  <c r="H524" i="2"/>
  <c r="I524" i="2" s="1"/>
  <c r="H492" i="2"/>
  <c r="I492" i="2" s="1"/>
  <c r="H460" i="2"/>
  <c r="I460" i="2" s="1"/>
  <c r="H428" i="2"/>
  <c r="I428" i="2" s="1"/>
  <c r="H396" i="2"/>
  <c r="I396" i="2" s="1"/>
  <c r="H364" i="2"/>
  <c r="I364" i="2" s="1"/>
  <c r="H332" i="2"/>
  <c r="I332" i="2" s="1"/>
  <c r="H300" i="2"/>
  <c r="I300" i="2" s="1"/>
  <c r="H268" i="2"/>
  <c r="I268" i="2" s="1"/>
  <c r="H236" i="2"/>
  <c r="I236" i="2" s="1"/>
  <c r="H204" i="2"/>
  <c r="I204" i="2" s="1"/>
  <c r="H172" i="2"/>
  <c r="I172" i="2" s="1"/>
  <c r="H140" i="2"/>
  <c r="I140" i="2" s="1"/>
  <c r="H108" i="2"/>
  <c r="I108" i="2" s="1"/>
  <c r="H76" i="2"/>
  <c r="I76" i="2" s="1"/>
  <c r="H44" i="2"/>
  <c r="I44" i="2" s="1"/>
  <c r="H12" i="2"/>
  <c r="I12" i="2" s="1"/>
  <c r="G686" i="2"/>
  <c r="H686" i="2"/>
  <c r="G574" i="2"/>
  <c r="H574" i="2"/>
  <c r="G462" i="2"/>
  <c r="H462" i="2"/>
  <c r="G334" i="2"/>
  <c r="H334" i="2"/>
  <c r="G206" i="2"/>
  <c r="H206" i="2"/>
  <c r="G94" i="2"/>
  <c r="H94" i="2"/>
  <c r="H829" i="2"/>
  <c r="I829" i="2" s="1"/>
  <c r="H1197" i="2"/>
  <c r="I1197" i="2" s="1"/>
  <c r="H1084" i="2"/>
  <c r="I1084" i="2" s="1"/>
  <c r="H1054" i="2"/>
  <c r="H941" i="2"/>
  <c r="I941" i="2" s="1"/>
  <c r="H733" i="2"/>
  <c r="I733" i="2" s="1"/>
  <c r="H541" i="2"/>
  <c r="I541" i="2" s="1"/>
  <c r="H349" i="2"/>
  <c r="I349" i="2" s="1"/>
  <c r="H61" i="2"/>
  <c r="I61" i="2" s="1"/>
  <c r="G510" i="2"/>
  <c r="H732" i="2"/>
  <c r="I732" i="2" s="1"/>
  <c r="H572" i="2"/>
  <c r="I572" i="2" s="1"/>
  <c r="H444" i="2"/>
  <c r="I444" i="2" s="1"/>
  <c r="H316" i="2"/>
  <c r="I316" i="2" s="1"/>
  <c r="H252" i="2"/>
  <c r="I252" i="2" s="1"/>
  <c r="H188" i="2"/>
  <c r="I188" i="2" s="1"/>
  <c r="H1308" i="2"/>
  <c r="I1308" i="2" s="1"/>
  <c r="H1195" i="2"/>
  <c r="I1195" i="2" s="1"/>
  <c r="H1052" i="2"/>
  <c r="I1052" i="2" s="1"/>
  <c r="H939" i="2"/>
  <c r="I939" i="2" s="1"/>
  <c r="H763" i="2"/>
  <c r="I763" i="2" s="1"/>
  <c r="H571" i="2"/>
  <c r="I571" i="2" s="1"/>
  <c r="H123" i="2"/>
  <c r="I123" i="2" s="1"/>
  <c r="G1305" i="2"/>
  <c r="H1305" i="2"/>
  <c r="I1305" i="2" s="1"/>
  <c r="G1193" i="2"/>
  <c r="H1193" i="2"/>
  <c r="I1193" i="2" s="1"/>
  <c r="G1097" i="2"/>
  <c r="H1097" i="2"/>
  <c r="I1097" i="2" s="1"/>
  <c r="G985" i="2"/>
  <c r="H985" i="2"/>
  <c r="I985" i="2" s="1"/>
  <c r="G873" i="2"/>
  <c r="H873" i="2"/>
  <c r="I873" i="2" s="1"/>
  <c r="G761" i="2"/>
  <c r="H761" i="2"/>
  <c r="I761" i="2" s="1"/>
  <c r="G649" i="2"/>
  <c r="H649" i="2"/>
  <c r="I649" i="2" s="1"/>
  <c r="G553" i="2"/>
  <c r="H553" i="2"/>
  <c r="I553" i="2" s="1"/>
  <c r="G425" i="2"/>
  <c r="H425" i="2"/>
  <c r="I425" i="2" s="1"/>
  <c r="G313" i="2"/>
  <c r="H313" i="2"/>
  <c r="I313" i="2" s="1"/>
  <c r="G217" i="2"/>
  <c r="H217" i="2"/>
  <c r="I217" i="2" s="1"/>
  <c r="G121" i="2"/>
  <c r="H121" i="2"/>
  <c r="I121" i="2" s="1"/>
  <c r="G9" i="2"/>
  <c r="H9" i="2"/>
  <c r="I9" i="2" s="1"/>
  <c r="H1194" i="2"/>
  <c r="H1051" i="2"/>
  <c r="I1051" i="2" s="1"/>
  <c r="H938" i="2"/>
  <c r="H762" i="2"/>
  <c r="H602" i="2"/>
  <c r="H442" i="2"/>
  <c r="H122" i="2"/>
  <c r="G1272" i="2"/>
  <c r="H1272" i="2"/>
  <c r="I1272" i="2" s="1"/>
  <c r="G1144" i="2"/>
  <c r="H1144" i="2"/>
  <c r="I1144" i="2" s="1"/>
  <c r="G1016" i="2"/>
  <c r="H1016" i="2"/>
  <c r="I1016" i="2" s="1"/>
  <c r="G872" i="2"/>
  <c r="H872" i="2"/>
  <c r="I872" i="2" s="1"/>
  <c r="G760" i="2"/>
  <c r="H760" i="2"/>
  <c r="I760" i="2" s="1"/>
  <c r="G616" i="2"/>
  <c r="H616" i="2"/>
  <c r="I616" i="2" s="1"/>
  <c r="G488" i="2"/>
  <c r="H488" i="2"/>
  <c r="I488" i="2" s="1"/>
  <c r="G360" i="2"/>
  <c r="H360" i="2"/>
  <c r="I360" i="2" s="1"/>
  <c r="G232" i="2"/>
  <c r="H232" i="2"/>
  <c r="I232" i="2" s="1"/>
  <c r="G56" i="2"/>
  <c r="H56" i="2"/>
  <c r="I56" i="2" s="1"/>
  <c r="H1163" i="2"/>
  <c r="I1163" i="2" s="1"/>
  <c r="H1593" i="2"/>
  <c r="I1593" i="2" s="1"/>
  <c r="H1577" i="2"/>
  <c r="I1577" i="2" s="1"/>
  <c r="H1561" i="2"/>
  <c r="I1561" i="2" s="1"/>
  <c r="H1545" i="2"/>
  <c r="I1545" i="2" s="1"/>
  <c r="H1529" i="2"/>
  <c r="I1529" i="2" s="1"/>
  <c r="H1513" i="2"/>
  <c r="I1513" i="2" s="1"/>
  <c r="H1497" i="2"/>
  <c r="I1497" i="2" s="1"/>
  <c r="H1481" i="2"/>
  <c r="I1481" i="2" s="1"/>
  <c r="H1465" i="2"/>
  <c r="I1465" i="2" s="1"/>
  <c r="H1449" i="2"/>
  <c r="I1449" i="2" s="1"/>
  <c r="H1433" i="2"/>
  <c r="I1433" i="2" s="1"/>
  <c r="H1417" i="2"/>
  <c r="I1417" i="2" s="1"/>
  <c r="H1401" i="2"/>
  <c r="I1401" i="2" s="1"/>
  <c r="H1385" i="2"/>
  <c r="I1385" i="2" s="1"/>
  <c r="H1369" i="2"/>
  <c r="I1369" i="2" s="1"/>
  <c r="H1346" i="2"/>
  <c r="H1323" i="2"/>
  <c r="I1323" i="2" s="1"/>
  <c r="H1293" i="2"/>
  <c r="I1293" i="2" s="1"/>
  <c r="H1233" i="2"/>
  <c r="I1233" i="2" s="1"/>
  <c r="H1210" i="2"/>
  <c r="H1180" i="2"/>
  <c r="I1180" i="2" s="1"/>
  <c r="H1150" i="2"/>
  <c r="H1120" i="2"/>
  <c r="I1120" i="2" s="1"/>
  <c r="H1090" i="2"/>
  <c r="H1067" i="2"/>
  <c r="I1067" i="2" s="1"/>
  <c r="H1037" i="2"/>
  <c r="I1037" i="2" s="1"/>
  <c r="H977" i="2"/>
  <c r="I977" i="2" s="1"/>
  <c r="H954" i="2"/>
  <c r="H924" i="2"/>
  <c r="I924" i="2" s="1"/>
  <c r="H894" i="2"/>
  <c r="H864" i="2"/>
  <c r="I864" i="2" s="1"/>
  <c r="H834" i="2"/>
  <c r="H811" i="2"/>
  <c r="I811" i="2" s="1"/>
  <c r="H779" i="2"/>
  <c r="I779" i="2" s="1"/>
  <c r="H747" i="2"/>
  <c r="I747" i="2" s="1"/>
  <c r="H715" i="2"/>
  <c r="I715" i="2" s="1"/>
  <c r="H683" i="2"/>
  <c r="I683" i="2" s="1"/>
  <c r="H651" i="2"/>
  <c r="I651" i="2" s="1"/>
  <c r="H619" i="2"/>
  <c r="I619" i="2" s="1"/>
  <c r="H587" i="2"/>
  <c r="I587" i="2" s="1"/>
  <c r="H555" i="2"/>
  <c r="I555" i="2" s="1"/>
  <c r="H523" i="2"/>
  <c r="I523" i="2" s="1"/>
  <c r="H491" i="2"/>
  <c r="I491" i="2" s="1"/>
  <c r="H459" i="2"/>
  <c r="I459" i="2" s="1"/>
  <c r="H427" i="2"/>
  <c r="I427" i="2" s="1"/>
  <c r="H395" i="2"/>
  <c r="I395" i="2" s="1"/>
  <c r="H363" i="2"/>
  <c r="I363" i="2" s="1"/>
  <c r="H331" i="2"/>
  <c r="I331" i="2" s="1"/>
  <c r="H299" i="2"/>
  <c r="I299" i="2" s="1"/>
  <c r="H267" i="2"/>
  <c r="I267" i="2" s="1"/>
  <c r="H235" i="2"/>
  <c r="I235" i="2" s="1"/>
  <c r="H203" i="2"/>
  <c r="I203" i="2" s="1"/>
  <c r="H171" i="2"/>
  <c r="I171" i="2" s="1"/>
  <c r="H139" i="2"/>
  <c r="I139" i="2" s="1"/>
  <c r="H107" i="2"/>
  <c r="I107" i="2" s="1"/>
  <c r="H75" i="2"/>
  <c r="I75" i="2" s="1"/>
  <c r="H43" i="2"/>
  <c r="I43" i="2" s="1"/>
  <c r="H11" i="2"/>
  <c r="I11" i="2" s="1"/>
  <c r="G734" i="2"/>
  <c r="H734" i="2"/>
  <c r="G606" i="2"/>
  <c r="H606" i="2"/>
  <c r="G478" i="2"/>
  <c r="H478" i="2"/>
  <c r="G350" i="2"/>
  <c r="H350" i="2"/>
  <c r="G222" i="2"/>
  <c r="H222" i="2"/>
  <c r="G78" i="2"/>
  <c r="H78" i="2"/>
  <c r="H1340" i="2"/>
  <c r="I1340" i="2" s="1"/>
  <c r="H828" i="2"/>
  <c r="I828" i="2" s="1"/>
  <c r="H637" i="2"/>
  <c r="I637" i="2" s="1"/>
  <c r="H509" i="2"/>
  <c r="I509" i="2" s="1"/>
  <c r="H285" i="2"/>
  <c r="I285" i="2" s="1"/>
  <c r="H29" i="2"/>
  <c r="I29" i="2" s="1"/>
  <c r="H1166" i="2"/>
  <c r="H1053" i="2"/>
  <c r="I1053" i="2" s="1"/>
  <c r="H940" i="2"/>
  <c r="I940" i="2" s="1"/>
  <c r="H796" i="2"/>
  <c r="I796" i="2" s="1"/>
  <c r="H636" i="2"/>
  <c r="I636" i="2" s="1"/>
  <c r="H380" i="2"/>
  <c r="I380" i="2" s="1"/>
  <c r="H28" i="2"/>
  <c r="I28" i="2" s="1"/>
  <c r="H1278" i="2"/>
  <c r="H699" i="2"/>
  <c r="I699" i="2" s="1"/>
  <c r="H507" i="2"/>
  <c r="I507" i="2" s="1"/>
  <c r="H27" i="2"/>
  <c r="I27" i="2" s="1"/>
  <c r="G1257" i="2"/>
  <c r="H1257" i="2"/>
  <c r="I1257" i="2" s="1"/>
  <c r="G1129" i="2"/>
  <c r="H1129" i="2"/>
  <c r="I1129" i="2" s="1"/>
  <c r="G1017" i="2"/>
  <c r="H1017" i="2"/>
  <c r="I1017" i="2" s="1"/>
  <c r="G905" i="2"/>
  <c r="H905" i="2"/>
  <c r="I905" i="2" s="1"/>
  <c r="G809" i="2"/>
  <c r="H809" i="2"/>
  <c r="I809" i="2" s="1"/>
  <c r="G697" i="2"/>
  <c r="H697" i="2"/>
  <c r="I697" i="2" s="1"/>
  <c r="G585" i="2"/>
  <c r="H585" i="2"/>
  <c r="I585" i="2" s="1"/>
  <c r="G473" i="2"/>
  <c r="H473" i="2"/>
  <c r="I473" i="2" s="1"/>
  <c r="G377" i="2"/>
  <c r="H377" i="2"/>
  <c r="I377" i="2" s="1"/>
  <c r="G281" i="2"/>
  <c r="H281" i="2"/>
  <c r="I281" i="2" s="1"/>
  <c r="G201" i="2"/>
  <c r="H201" i="2"/>
  <c r="I201" i="2" s="1"/>
  <c r="G89" i="2"/>
  <c r="H89" i="2"/>
  <c r="I89" i="2" s="1"/>
  <c r="H1277" i="2"/>
  <c r="I1277" i="2" s="1"/>
  <c r="H1134" i="2"/>
  <c r="H666" i="2"/>
  <c r="H474" i="2"/>
  <c r="H314" i="2"/>
  <c r="H250" i="2"/>
  <c r="H154" i="2"/>
  <c r="G1336" i="2"/>
  <c r="H1336" i="2"/>
  <c r="I1336" i="2" s="1"/>
  <c r="G1208" i="2"/>
  <c r="H1208" i="2"/>
  <c r="I1208" i="2" s="1"/>
  <c r="G1080" i="2"/>
  <c r="H1080" i="2"/>
  <c r="I1080" i="2" s="1"/>
  <c r="G952" i="2"/>
  <c r="H952" i="2"/>
  <c r="I952" i="2" s="1"/>
  <c r="G824" i="2"/>
  <c r="H824" i="2"/>
  <c r="I824" i="2" s="1"/>
  <c r="G696" i="2"/>
  <c r="H696" i="2"/>
  <c r="I696" i="2" s="1"/>
  <c r="G552" i="2"/>
  <c r="H552" i="2"/>
  <c r="I552" i="2" s="1"/>
  <c r="G424" i="2"/>
  <c r="H424" i="2"/>
  <c r="I424" i="2" s="1"/>
  <c r="G312" i="2"/>
  <c r="H312" i="2"/>
  <c r="I312" i="2" s="1"/>
  <c r="G200" i="2"/>
  <c r="H200" i="2"/>
  <c r="I200" i="2" s="1"/>
  <c r="G104" i="2"/>
  <c r="H104" i="2"/>
  <c r="I104" i="2" s="1"/>
  <c r="H1306" i="2"/>
  <c r="H1050" i="2"/>
  <c r="H877" i="2"/>
  <c r="I877" i="2" s="1"/>
  <c r="H1592" i="2"/>
  <c r="I1592" i="2" s="1"/>
  <c r="H1576" i="2"/>
  <c r="I1576" i="2" s="1"/>
  <c r="H1560" i="2"/>
  <c r="I1560" i="2" s="1"/>
  <c r="H1544" i="2"/>
  <c r="I1544" i="2" s="1"/>
  <c r="H1528" i="2"/>
  <c r="I1528" i="2" s="1"/>
  <c r="H1512" i="2"/>
  <c r="I1512" i="2" s="1"/>
  <c r="H1496" i="2"/>
  <c r="I1496" i="2" s="1"/>
  <c r="H1480" i="2"/>
  <c r="I1480" i="2" s="1"/>
  <c r="H1464" i="2"/>
  <c r="I1464" i="2" s="1"/>
  <c r="H1448" i="2"/>
  <c r="I1448" i="2" s="1"/>
  <c r="H1432" i="2"/>
  <c r="I1432" i="2" s="1"/>
  <c r="H1416" i="2"/>
  <c r="I1416" i="2" s="1"/>
  <c r="H1400" i="2"/>
  <c r="I1400" i="2" s="1"/>
  <c r="H1384" i="2"/>
  <c r="I1384" i="2" s="1"/>
  <c r="H1368" i="2"/>
  <c r="I1368" i="2" s="1"/>
  <c r="H1345" i="2"/>
  <c r="I1345" i="2" s="1"/>
  <c r="H1322" i="2"/>
  <c r="H1292" i="2"/>
  <c r="I1292" i="2" s="1"/>
  <c r="H1262" i="2"/>
  <c r="H1232" i="2"/>
  <c r="I1232" i="2" s="1"/>
  <c r="H1202" i="2"/>
  <c r="H1179" i="2"/>
  <c r="I1179" i="2" s="1"/>
  <c r="H1149" i="2"/>
  <c r="I1149" i="2" s="1"/>
  <c r="H1089" i="2"/>
  <c r="I1089" i="2" s="1"/>
  <c r="H1066" i="2"/>
  <c r="H1036" i="2"/>
  <c r="I1036" i="2" s="1"/>
  <c r="H1006" i="2"/>
  <c r="H976" i="2"/>
  <c r="I976" i="2" s="1"/>
  <c r="H946" i="2"/>
  <c r="H923" i="2"/>
  <c r="I923" i="2" s="1"/>
  <c r="H893" i="2"/>
  <c r="I893" i="2" s="1"/>
  <c r="H833" i="2"/>
  <c r="I833" i="2" s="1"/>
  <c r="H810" i="2"/>
  <c r="H778" i="2"/>
  <c r="H746" i="2"/>
  <c r="H714" i="2"/>
  <c r="H682" i="2"/>
  <c r="H650" i="2"/>
  <c r="H618" i="2"/>
  <c r="H586" i="2"/>
  <c r="H554" i="2"/>
  <c r="H522" i="2"/>
  <c r="H490" i="2"/>
  <c r="H458" i="2"/>
  <c r="H426" i="2"/>
  <c r="H394" i="2"/>
  <c r="H362" i="2"/>
  <c r="H330" i="2"/>
  <c r="H298" i="2"/>
  <c r="H266" i="2"/>
  <c r="H234" i="2"/>
  <c r="H202" i="2"/>
  <c r="H170" i="2"/>
  <c r="H138" i="2"/>
  <c r="H106" i="2"/>
  <c r="H74" i="2"/>
  <c r="H42" i="2"/>
  <c r="H10" i="2"/>
  <c r="H2" i="2"/>
  <c r="I145" i="6" l="1"/>
  <c r="I253" i="6"/>
  <c r="I112" i="6"/>
  <c r="I169" i="6"/>
  <c r="I195" i="6"/>
  <c r="I288" i="6"/>
  <c r="I370" i="6"/>
  <c r="I257" i="6"/>
  <c r="I343" i="6"/>
  <c r="I63" i="6"/>
  <c r="I287" i="6"/>
  <c r="I300" i="6"/>
  <c r="I212" i="6"/>
  <c r="I185" i="6"/>
  <c r="I123" i="6"/>
  <c r="I155" i="6"/>
  <c r="I219" i="6"/>
  <c r="I315" i="6"/>
  <c r="I128" i="6"/>
  <c r="I186" i="6"/>
  <c r="I13" i="6"/>
  <c r="I177" i="6"/>
  <c r="I260" i="6"/>
  <c r="I398" i="6"/>
  <c r="I86" i="6"/>
  <c r="I344" i="6"/>
  <c r="I166" i="6"/>
  <c r="I59" i="6"/>
  <c r="I127" i="6"/>
  <c r="I191" i="6"/>
  <c r="I223" i="6"/>
  <c r="I274" i="6"/>
  <c r="I216" i="6"/>
  <c r="I198" i="6"/>
  <c r="I187" i="6"/>
  <c r="I129" i="6"/>
  <c r="I118" i="6"/>
  <c r="I278" i="6"/>
  <c r="I134" i="6"/>
  <c r="I227" i="6"/>
  <c r="I214" i="6"/>
  <c r="I69" i="6"/>
  <c r="I358" i="6"/>
  <c r="I38" i="6"/>
  <c r="I2" i="6"/>
  <c r="I246" i="6"/>
  <c r="I282" i="6"/>
  <c r="I3" i="6"/>
  <c r="I131" i="6"/>
  <c r="I323" i="6"/>
  <c r="I90" i="6"/>
  <c r="I41" i="6"/>
  <c r="I362" i="6"/>
  <c r="I289" i="6"/>
  <c r="I373" i="6"/>
  <c r="H305" i="6"/>
  <c r="I173" i="6"/>
  <c r="I101" i="6"/>
  <c r="I297" i="6"/>
  <c r="I172" i="6"/>
  <c r="I304" i="6"/>
  <c r="I157" i="6"/>
  <c r="I158" i="6"/>
  <c r="I196" i="6"/>
  <c r="I197" i="6"/>
  <c r="I375" i="6"/>
  <c r="I68" i="6"/>
  <c r="I393" i="6"/>
  <c r="I5" i="6"/>
  <c r="I45" i="6"/>
  <c r="I318" i="6"/>
  <c r="I226" i="6"/>
  <c r="I322" i="6"/>
  <c r="I220" i="6"/>
  <c r="I382" i="6"/>
  <c r="I371" i="6"/>
  <c r="I108" i="6"/>
  <c r="I238" i="6"/>
  <c r="I201" i="6"/>
  <c r="I221" i="6"/>
  <c r="I336" i="6"/>
  <c r="I37" i="6"/>
  <c r="I256" i="6"/>
  <c r="I272" i="6"/>
  <c r="I349" i="6"/>
  <c r="I96" i="6"/>
  <c r="I181" i="6"/>
  <c r="I178" i="6"/>
  <c r="I337" i="6"/>
  <c r="I94" i="6"/>
  <c r="I395" i="6"/>
  <c r="I244" i="6"/>
  <c r="I270" i="6"/>
  <c r="I391" i="6"/>
  <c r="I308" i="6"/>
  <c r="I176" i="6"/>
  <c r="I66" i="6"/>
  <c r="I194" i="6"/>
  <c r="I150" i="6"/>
  <c r="I290" i="6"/>
  <c r="I22" i="6"/>
  <c r="I254" i="6"/>
  <c r="I31" i="6"/>
  <c r="I255" i="6"/>
  <c r="I319" i="6"/>
  <c r="I399" i="6"/>
  <c r="I33" i="6"/>
  <c r="I193" i="6"/>
  <c r="I182" i="6"/>
  <c r="I309" i="6"/>
  <c r="I30" i="6"/>
  <c r="I62" i="6"/>
  <c r="I283" i="6"/>
  <c r="I234" i="6"/>
  <c r="I330" i="6"/>
  <c r="I236" i="6"/>
  <c r="I163" i="6"/>
  <c r="I217" i="6"/>
  <c r="I28" i="6"/>
  <c r="I133" i="6"/>
  <c r="I36" i="6"/>
  <c r="I276" i="6"/>
  <c r="I372" i="6"/>
  <c r="I141" i="6"/>
  <c r="I284" i="6"/>
  <c r="I7" i="6"/>
  <c r="I39" i="6"/>
  <c r="I71" i="6"/>
  <c r="I103" i="6"/>
  <c r="I135" i="6"/>
  <c r="I167" i="6"/>
  <c r="I199" i="6"/>
  <c r="I231" i="6"/>
  <c r="I263" i="6"/>
  <c r="I295" i="6"/>
  <c r="I327" i="6"/>
  <c r="I24" i="6"/>
  <c r="I377" i="6"/>
  <c r="I106" i="6"/>
  <c r="I232" i="6"/>
  <c r="I65" i="6"/>
  <c r="H286" i="6"/>
  <c r="I286" i="6"/>
  <c r="I367" i="6"/>
  <c r="H126" i="6"/>
  <c r="I126" i="6"/>
  <c r="I379" i="6"/>
  <c r="I252" i="6"/>
  <c r="I206" i="6"/>
  <c r="H32" i="6"/>
  <c r="I32" i="6"/>
  <c r="I202" i="6"/>
  <c r="I360" i="6"/>
  <c r="I313" i="6"/>
  <c r="I269" i="6"/>
  <c r="I259" i="6"/>
  <c r="I354" i="6"/>
  <c r="I368" i="6"/>
  <c r="I174" i="6"/>
  <c r="I381" i="6"/>
  <c r="I61" i="6"/>
  <c r="I114" i="6"/>
  <c r="I26" i="6"/>
  <c r="I54" i="6"/>
  <c r="I230" i="6"/>
  <c r="I251" i="6"/>
  <c r="I356" i="6"/>
  <c r="I320" i="6"/>
  <c r="I14" i="6"/>
  <c r="I229" i="6"/>
  <c r="I292" i="6"/>
  <c r="I25" i="6"/>
  <c r="I312" i="6"/>
  <c r="I165" i="6"/>
  <c r="I11" i="6"/>
  <c r="I43" i="6"/>
  <c r="I75" i="6"/>
  <c r="I107" i="6"/>
  <c r="I139" i="6"/>
  <c r="I171" i="6"/>
  <c r="I203" i="6"/>
  <c r="I235" i="6"/>
  <c r="I267" i="6"/>
  <c r="I299" i="6"/>
  <c r="I331" i="6"/>
  <c r="I136" i="6"/>
  <c r="I385" i="6"/>
  <c r="I122" i="6"/>
  <c r="I81" i="6"/>
  <c r="I334" i="6"/>
  <c r="I50" i="6"/>
  <c r="I190" i="6"/>
  <c r="I78" i="6"/>
  <c r="I306" i="6"/>
  <c r="I91" i="6"/>
  <c r="I42" i="6"/>
  <c r="I159" i="6"/>
  <c r="I192" i="6"/>
  <c r="I20" i="6"/>
  <c r="I99" i="6"/>
  <c r="I242" i="6"/>
  <c r="I44" i="6"/>
  <c r="I52" i="6"/>
  <c r="I188" i="6"/>
  <c r="I317" i="6"/>
  <c r="I168" i="6"/>
  <c r="I89" i="6"/>
  <c r="I384" i="6"/>
  <c r="H189" i="6"/>
  <c r="I189" i="6"/>
  <c r="I184" i="6"/>
  <c r="I389" i="6"/>
  <c r="I93" i="6"/>
  <c r="H130" i="6"/>
  <c r="I130" i="6"/>
  <c r="I363" i="6"/>
  <c r="I70" i="6"/>
  <c r="I316" i="6"/>
  <c r="I34" i="6"/>
  <c r="I324" i="6"/>
  <c r="I348" i="6"/>
  <c r="I294" i="6"/>
  <c r="I352" i="6"/>
  <c r="I152" i="6"/>
  <c r="I77" i="6"/>
  <c r="I12" i="6"/>
  <c r="I82" i="6"/>
  <c r="I364" i="6"/>
  <c r="I35" i="6"/>
  <c r="I156" i="6"/>
  <c r="H98" i="6"/>
  <c r="I98" i="6"/>
  <c r="H347" i="6"/>
  <c r="I347" i="6"/>
  <c r="I302" i="6"/>
  <c r="H80" i="6"/>
  <c r="I80" i="6"/>
  <c r="I17" i="6"/>
  <c r="I120" i="6"/>
  <c r="I250" i="6"/>
  <c r="I15" i="6"/>
  <c r="I47" i="6"/>
  <c r="I79" i="6"/>
  <c r="I111" i="6"/>
  <c r="I143" i="6"/>
  <c r="I175" i="6"/>
  <c r="I207" i="6"/>
  <c r="I239" i="6"/>
  <c r="I271" i="6"/>
  <c r="I303" i="6"/>
  <c r="I335" i="6"/>
  <c r="I138" i="6"/>
  <c r="I266" i="6"/>
  <c r="I97" i="6"/>
  <c r="I346" i="6"/>
  <c r="H240" i="6"/>
  <c r="I240" i="6"/>
  <c r="H353" i="6"/>
  <c r="I353" i="6"/>
  <c r="I4" i="6"/>
  <c r="I298" i="6"/>
  <c r="I95" i="6"/>
  <c r="I74" i="6"/>
  <c r="I365" i="6"/>
  <c r="I261" i="6"/>
  <c r="I67" i="6"/>
  <c r="I369" i="6"/>
  <c r="I21" i="6"/>
  <c r="I164" i="6"/>
  <c r="I376" i="6"/>
  <c r="I88" i="6"/>
  <c r="I60" i="6"/>
  <c r="I310" i="6"/>
  <c r="I204" i="6"/>
  <c r="I210" i="6"/>
  <c r="I338" i="6"/>
  <c r="I392" i="6"/>
  <c r="I48" i="6"/>
  <c r="I237" i="6"/>
  <c r="I73" i="6"/>
  <c r="H326" i="6"/>
  <c r="I326" i="6"/>
  <c r="I397" i="6"/>
  <c r="I125" i="6"/>
  <c r="I146" i="6"/>
  <c r="I351" i="6"/>
  <c r="I390" i="6"/>
  <c r="H137" i="6"/>
  <c r="I137" i="6"/>
  <c r="I124" i="6"/>
  <c r="I102" i="6"/>
  <c r="I268" i="6"/>
  <c r="I109" i="6"/>
  <c r="I40" i="6"/>
  <c r="H29" i="6"/>
  <c r="I29" i="6"/>
  <c r="I359" i="6"/>
  <c r="I321" i="6"/>
  <c r="I380" i="6"/>
  <c r="H285" i="6"/>
  <c r="I285" i="6"/>
  <c r="I388" i="6"/>
  <c r="I121" i="6"/>
  <c r="I396" i="6"/>
  <c r="I144" i="6"/>
  <c r="I205" i="6"/>
  <c r="I19" i="6"/>
  <c r="I115" i="6"/>
  <c r="I179" i="6"/>
  <c r="I211" i="6"/>
  <c r="I243" i="6"/>
  <c r="I275" i="6"/>
  <c r="I307" i="6"/>
  <c r="I339" i="6"/>
  <c r="I401" i="6"/>
  <c r="I154" i="6"/>
  <c r="I281" i="6"/>
  <c r="I113" i="6"/>
  <c r="I6" i="6"/>
  <c r="I228" i="6"/>
  <c r="I116" i="6"/>
  <c r="I49" i="6"/>
  <c r="I27" i="6"/>
  <c r="I357" i="6"/>
  <c r="I245" i="6"/>
  <c r="I132" i="6"/>
  <c r="I361" i="6"/>
  <c r="I140" i="6"/>
  <c r="I262" i="6"/>
  <c r="I387" i="6"/>
  <c r="I265" i="6"/>
  <c r="I110" i="6"/>
  <c r="I291" i="6"/>
  <c r="I350" i="6"/>
  <c r="I142" i="6"/>
  <c r="I277" i="6"/>
  <c r="H224" i="6"/>
  <c r="I224" i="6"/>
  <c r="H258" i="6"/>
  <c r="I258" i="6"/>
  <c r="I64" i="6"/>
  <c r="I57" i="6"/>
  <c r="I180" i="6"/>
  <c r="I53" i="6"/>
  <c r="I58" i="6"/>
  <c r="H56" i="6"/>
  <c r="I56" i="6"/>
  <c r="I76" i="6"/>
  <c r="I332" i="6"/>
  <c r="I84" i="6"/>
  <c r="I85" i="6"/>
  <c r="I325" i="6"/>
  <c r="I218" i="6"/>
  <c r="I301" i="6"/>
  <c r="I333" i="6"/>
  <c r="I16" i="6"/>
  <c r="I51" i="6"/>
  <c r="I83" i="6"/>
  <c r="I147" i="6"/>
  <c r="I92" i="6"/>
  <c r="I264" i="6"/>
  <c r="I153" i="6"/>
  <c r="I225" i="6"/>
  <c r="I400" i="6"/>
  <c r="I200" i="6"/>
  <c r="I273" i="6"/>
  <c r="I104" i="6"/>
  <c r="I241" i="6"/>
  <c r="I105" i="6"/>
  <c r="I213" i="6"/>
  <c r="I341" i="6"/>
  <c r="I8" i="6"/>
  <c r="I149" i="6"/>
  <c r="I162" i="6"/>
  <c r="I46" i="6"/>
  <c r="I386" i="6"/>
  <c r="I378" i="6"/>
  <c r="I314" i="6"/>
  <c r="I10" i="6"/>
  <c r="I222" i="6"/>
  <c r="I18" i="6"/>
  <c r="I374" i="6"/>
  <c r="I305" i="6"/>
  <c r="H248" i="6"/>
  <c r="I248" i="6"/>
  <c r="I342" i="6"/>
  <c r="I148" i="6"/>
  <c r="I100" i="6"/>
  <c r="I328" i="6"/>
  <c r="I293" i="6"/>
  <c r="I117" i="6"/>
  <c r="I340" i="6"/>
  <c r="I329" i="6"/>
  <c r="I233" i="6"/>
  <c r="I208" i="6"/>
  <c r="I9" i="6"/>
  <c r="I160" i="6"/>
  <c r="I23" i="6"/>
  <c r="I55" i="6"/>
  <c r="I87" i="6"/>
  <c r="I119" i="6"/>
  <c r="I151" i="6"/>
  <c r="I183" i="6"/>
  <c r="I215" i="6"/>
  <c r="I247" i="6"/>
  <c r="I279" i="6"/>
  <c r="I311" i="6"/>
  <c r="I249" i="6"/>
  <c r="I345" i="6"/>
  <c r="I72" i="6"/>
  <c r="I170" i="6"/>
  <c r="I296" i="6"/>
  <c r="I383" i="6"/>
  <c r="I209" i="6"/>
  <c r="I161" i="6"/>
  <c r="I394" i="6"/>
  <c r="I355" i="6"/>
  <c r="I280" i="6"/>
  <c r="O280" i="6" s="1"/>
  <c r="H156" i="6"/>
  <c r="H229" i="6"/>
  <c r="H64" i="6"/>
  <c r="O64" i="6" s="1"/>
  <c r="H141" i="6"/>
  <c r="H7" i="6"/>
  <c r="H135" i="6"/>
  <c r="H263" i="6"/>
  <c r="H302" i="6"/>
  <c r="H312" i="6"/>
  <c r="H168" i="6"/>
  <c r="H79" i="6"/>
  <c r="H225" i="6"/>
  <c r="H100" i="6"/>
  <c r="H28" i="6"/>
  <c r="H359" i="6"/>
  <c r="H174" i="6"/>
  <c r="H236" i="6"/>
  <c r="H368" i="6"/>
  <c r="H277" i="6"/>
  <c r="H284" i="6"/>
  <c r="H71" i="6"/>
  <c r="H327" i="6"/>
  <c r="O327" i="6" s="1"/>
  <c r="H367" i="6"/>
  <c r="H206" i="6"/>
  <c r="H259" i="6"/>
  <c r="H21" i="6"/>
  <c r="O21" i="6" s="1"/>
  <c r="H167" i="6"/>
  <c r="H24" i="6"/>
  <c r="H65" i="6"/>
  <c r="H292" i="6"/>
  <c r="H381" i="6"/>
  <c r="H129" i="6"/>
  <c r="H158" i="6"/>
  <c r="H230" i="6"/>
  <c r="H103" i="6"/>
  <c r="H25" i="6"/>
  <c r="H43" i="6"/>
  <c r="H75" i="6"/>
  <c r="H171" i="6"/>
  <c r="H331" i="6"/>
  <c r="H136" i="6"/>
  <c r="H81" i="6"/>
  <c r="H334" i="6"/>
  <c r="H190" i="6"/>
  <c r="H78" i="6"/>
  <c r="H265" i="6"/>
  <c r="H199" i="6"/>
  <c r="H321" i="6"/>
  <c r="H120" i="6"/>
  <c r="H363" i="6"/>
  <c r="H70" i="6"/>
  <c r="H316" i="6"/>
  <c r="H34" i="6"/>
  <c r="H231" i="6"/>
  <c r="H106" i="6"/>
  <c r="H89" i="6"/>
  <c r="H184" i="6"/>
  <c r="H53" i="6"/>
  <c r="H207" i="6"/>
  <c r="H239" i="6"/>
  <c r="H138" i="6"/>
  <c r="H266" i="6"/>
  <c r="H97" i="6"/>
  <c r="H125" i="6"/>
  <c r="H40" i="6"/>
  <c r="H133" i="6"/>
  <c r="H88" i="6"/>
  <c r="H317" i="6"/>
  <c r="H93" i="6"/>
  <c r="H15" i="6"/>
  <c r="H333" i="6"/>
  <c r="H6" i="6"/>
  <c r="H116" i="6"/>
  <c r="H39" i="6"/>
  <c r="H232" i="6"/>
  <c r="H17" i="6"/>
  <c r="O17" i="6" s="1"/>
  <c r="H111" i="6"/>
  <c r="H241" i="6"/>
  <c r="O241" i="6" s="1"/>
  <c r="H213" i="6"/>
  <c r="H242" i="6"/>
  <c r="H44" i="6"/>
  <c r="I851" i="2"/>
  <c r="H214" i="6"/>
  <c r="H203" i="6"/>
  <c r="H306" i="6"/>
  <c r="H196" i="6"/>
  <c r="I227" i="2"/>
  <c r="H58" i="6"/>
  <c r="H338" i="6"/>
  <c r="H85" i="6"/>
  <c r="H51" i="6"/>
  <c r="H339" i="6"/>
  <c r="H113" i="6"/>
  <c r="H164" i="6"/>
  <c r="G377" i="6"/>
  <c r="H377" i="6"/>
  <c r="H172" i="6"/>
  <c r="H299" i="6"/>
  <c r="H60" i="6"/>
  <c r="H310" i="6"/>
  <c r="H47" i="6"/>
  <c r="H335" i="6"/>
  <c r="H76" i="6"/>
  <c r="H237" i="6"/>
  <c r="H243" i="6"/>
  <c r="H264" i="6"/>
  <c r="H153" i="6"/>
  <c r="H400" i="6"/>
  <c r="H200" i="6"/>
  <c r="H273" i="6"/>
  <c r="H104" i="6"/>
  <c r="H5" i="6"/>
  <c r="H105" i="6"/>
  <c r="H341" i="6"/>
  <c r="H8" i="6"/>
  <c r="H149" i="6"/>
  <c r="H162" i="6"/>
  <c r="H46" i="6"/>
  <c r="H386" i="6"/>
  <c r="H378" i="6"/>
  <c r="H314" i="6"/>
  <c r="H10" i="6"/>
  <c r="H222" i="6"/>
  <c r="H18" i="6"/>
  <c r="H374" i="6"/>
  <c r="I467" i="2"/>
  <c r="H118" i="6"/>
  <c r="H388" i="6"/>
  <c r="I995" i="2"/>
  <c r="H250" i="6"/>
  <c r="H303" i="6"/>
  <c r="H121" i="6"/>
  <c r="H390" i="6"/>
  <c r="H218" i="6"/>
  <c r="H211" i="6"/>
  <c r="H233" i="6"/>
  <c r="O233" i="6" s="1"/>
  <c r="H208" i="6"/>
  <c r="O208" i="6" s="1"/>
  <c r="H9" i="6"/>
  <c r="O9" i="6" s="1"/>
  <c r="H220" i="6"/>
  <c r="H160" i="6"/>
  <c r="H23" i="6"/>
  <c r="H55" i="6"/>
  <c r="H87" i="6"/>
  <c r="H119" i="6"/>
  <c r="H151" i="6"/>
  <c r="H183" i="6"/>
  <c r="H215" i="6"/>
  <c r="H247" i="6"/>
  <c r="H279" i="6"/>
  <c r="H311" i="6"/>
  <c r="H249" i="6"/>
  <c r="H345" i="6"/>
  <c r="H72" i="6"/>
  <c r="H170" i="6"/>
  <c r="H296" i="6"/>
  <c r="H383" i="6"/>
  <c r="H209" i="6"/>
  <c r="H161" i="6"/>
  <c r="I1572" i="2"/>
  <c r="H394" i="6"/>
  <c r="G382" i="6"/>
  <c r="H382" i="6"/>
  <c r="H355" i="6"/>
  <c r="H54" i="6"/>
  <c r="H380" i="6"/>
  <c r="H139" i="6"/>
  <c r="H197" i="6"/>
  <c r="H271" i="6"/>
  <c r="H204" i="6"/>
  <c r="H73" i="6"/>
  <c r="H205" i="6"/>
  <c r="H179" i="6"/>
  <c r="H154" i="6"/>
  <c r="I1495" i="2"/>
  <c r="H375" i="6"/>
  <c r="H340" i="6"/>
  <c r="H344" i="6"/>
  <c r="H201" i="6"/>
  <c r="H221" i="6"/>
  <c r="H336" i="6"/>
  <c r="H37" i="6"/>
  <c r="H256" i="6"/>
  <c r="H272" i="6"/>
  <c r="H228" i="6"/>
  <c r="H349" i="6"/>
  <c r="H96" i="6"/>
  <c r="H181" i="6"/>
  <c r="H178" i="6"/>
  <c r="H337" i="6"/>
  <c r="H94" i="6"/>
  <c r="H395" i="6"/>
  <c r="H244" i="6"/>
  <c r="H270" i="6"/>
  <c r="H391" i="6"/>
  <c r="H371" i="6"/>
  <c r="H276" i="6"/>
  <c r="H379" i="6"/>
  <c r="H376" i="6"/>
  <c r="H52" i="6"/>
  <c r="H267" i="6"/>
  <c r="H68" i="6"/>
  <c r="H210" i="6"/>
  <c r="H396" i="6"/>
  <c r="H144" i="6"/>
  <c r="H147" i="6"/>
  <c r="H328" i="6"/>
  <c r="H108" i="6"/>
  <c r="H145" i="6"/>
  <c r="O145" i="6" s="1"/>
  <c r="I531" i="2"/>
  <c r="H134" i="6"/>
  <c r="I787" i="2"/>
  <c r="H198" i="6"/>
  <c r="H49" i="6"/>
  <c r="H27" i="6"/>
  <c r="H59" i="6"/>
  <c r="H91" i="6"/>
  <c r="H123" i="6"/>
  <c r="H155" i="6"/>
  <c r="H187" i="6"/>
  <c r="H219" i="6"/>
  <c r="H251" i="6"/>
  <c r="H283" i="6"/>
  <c r="O283" i="6" s="1"/>
  <c r="H315" i="6"/>
  <c r="H128" i="6"/>
  <c r="H186" i="6"/>
  <c r="H13" i="6"/>
  <c r="H177" i="6"/>
  <c r="H260" i="6"/>
  <c r="H398" i="6"/>
  <c r="H294" i="6"/>
  <c r="H86" i="6"/>
  <c r="O86" i="6" s="1"/>
  <c r="H308" i="6"/>
  <c r="H36" i="6"/>
  <c r="H61" i="6"/>
  <c r="O61" i="6" s="1"/>
  <c r="H180" i="6"/>
  <c r="I1107" i="2"/>
  <c r="H278" i="6"/>
  <c r="H235" i="6"/>
  <c r="H384" i="6"/>
  <c r="H143" i="6"/>
  <c r="H397" i="6"/>
  <c r="H351" i="6"/>
  <c r="H325" i="6"/>
  <c r="H16" i="6"/>
  <c r="H275" i="6"/>
  <c r="H117" i="6"/>
  <c r="H329" i="6"/>
  <c r="O329" i="6" s="1"/>
  <c r="H348" i="6"/>
  <c r="I147" i="2"/>
  <c r="H38" i="6"/>
  <c r="O38" i="6" s="1"/>
  <c r="I659" i="2"/>
  <c r="H166" i="6"/>
  <c r="H69" i="6"/>
  <c r="H169" i="6"/>
  <c r="H357" i="6"/>
  <c r="H176" i="6"/>
  <c r="H66" i="6"/>
  <c r="H194" i="6"/>
  <c r="H150" i="6"/>
  <c r="H288" i="6"/>
  <c r="O288" i="6" s="1"/>
  <c r="H245" i="6"/>
  <c r="H290" i="6"/>
  <c r="H370" i="6"/>
  <c r="H102" i="6"/>
  <c r="G300" i="6"/>
  <c r="H300" i="6"/>
  <c r="O300" i="6" s="1"/>
  <c r="H295" i="6"/>
  <c r="H26" i="6"/>
  <c r="H11" i="6"/>
  <c r="O11" i="6" s="1"/>
  <c r="H188" i="6"/>
  <c r="H175" i="6"/>
  <c r="I1379" i="2"/>
  <c r="H346" i="6"/>
  <c r="H392" i="6"/>
  <c r="H146" i="6"/>
  <c r="H301" i="6"/>
  <c r="H83" i="6"/>
  <c r="H401" i="6"/>
  <c r="H226" i="6"/>
  <c r="H185" i="6"/>
  <c r="H352" i="6"/>
  <c r="H4" i="6"/>
  <c r="H356" i="6"/>
  <c r="I931" i="2"/>
  <c r="H234" i="6"/>
  <c r="H77" i="6"/>
  <c r="O77" i="6" s="1"/>
  <c r="H127" i="6"/>
  <c r="H255" i="6"/>
  <c r="H361" i="6"/>
  <c r="H74" i="6"/>
  <c r="H202" i="6"/>
  <c r="H330" i="6"/>
  <c r="H399" i="6"/>
  <c r="H33" i="6"/>
  <c r="H193" i="6"/>
  <c r="H182" i="6"/>
  <c r="H309" i="6"/>
  <c r="H30" i="6"/>
  <c r="H62" i="6"/>
  <c r="G289" i="6"/>
  <c r="H289" i="6"/>
  <c r="H372" i="6"/>
  <c r="G297" i="6"/>
  <c r="H297" i="6"/>
  <c r="G252" i="6"/>
  <c r="H252" i="6"/>
  <c r="O252" i="6" s="1"/>
  <c r="G304" i="6"/>
  <c r="H304" i="6"/>
  <c r="H157" i="6"/>
  <c r="H165" i="6"/>
  <c r="H107" i="6"/>
  <c r="H122" i="6"/>
  <c r="H50" i="6"/>
  <c r="H389" i="6"/>
  <c r="H324" i="6"/>
  <c r="H318" i="6"/>
  <c r="H393" i="6"/>
  <c r="I1427" i="2"/>
  <c r="H358" i="6"/>
  <c r="H332" i="6"/>
  <c r="H48" i="6"/>
  <c r="I1461" i="2"/>
  <c r="H366" i="6"/>
  <c r="O366" i="6" s="1"/>
  <c r="H84" i="6"/>
  <c r="H19" i="6"/>
  <c r="H115" i="6"/>
  <c r="H307" i="6"/>
  <c r="O307" i="6" s="1"/>
  <c r="H281" i="6"/>
  <c r="H92" i="6"/>
  <c r="H293" i="6"/>
  <c r="H212" i="6"/>
  <c r="O212" i="6" s="1"/>
  <c r="H322" i="6"/>
  <c r="G238" i="6"/>
  <c r="H238" i="6"/>
  <c r="H257" i="6"/>
  <c r="H124" i="6"/>
  <c r="O124" i="6" s="1"/>
  <c r="G253" i="6"/>
  <c r="H253" i="6"/>
  <c r="O253" i="6" s="1"/>
  <c r="H112" i="6"/>
  <c r="H132" i="6"/>
  <c r="O132" i="6" s="1"/>
  <c r="H152" i="6"/>
  <c r="H173" i="6"/>
  <c r="H246" i="6"/>
  <c r="I163" i="2"/>
  <c r="H42" i="6"/>
  <c r="I1187" i="2"/>
  <c r="H298" i="6"/>
  <c r="H254" i="6"/>
  <c r="H31" i="6"/>
  <c r="H63" i="6"/>
  <c r="H95" i="6"/>
  <c r="H159" i="6"/>
  <c r="H191" i="6"/>
  <c r="H223" i="6"/>
  <c r="H287" i="6"/>
  <c r="H319" i="6"/>
  <c r="H12" i="6"/>
  <c r="H140" i="6"/>
  <c r="O140" i="6" s="1"/>
  <c r="H268" i="6"/>
  <c r="H274" i="6"/>
  <c r="H192" i="6"/>
  <c r="H360" i="6"/>
  <c r="H101" i="6"/>
  <c r="H320" i="6"/>
  <c r="H262" i="6"/>
  <c r="H365" i="6"/>
  <c r="H82" i="6"/>
  <c r="H313" i="6"/>
  <c r="H216" i="6"/>
  <c r="H342" i="6"/>
  <c r="H387" i="6"/>
  <c r="H22" i="6"/>
  <c r="G373" i="6"/>
  <c r="H373" i="6"/>
  <c r="H57" i="6"/>
  <c r="H114" i="6"/>
  <c r="H385" i="6"/>
  <c r="O385" i="6" s="1"/>
  <c r="H45" i="6"/>
  <c r="H20" i="6"/>
  <c r="H148" i="6"/>
  <c r="H261" i="6"/>
  <c r="H364" i="6"/>
  <c r="I51" i="2"/>
  <c r="H14" i="6"/>
  <c r="I435" i="2"/>
  <c r="H110" i="6"/>
  <c r="H282" i="6"/>
  <c r="H109" i="6"/>
  <c r="H269" i="6"/>
  <c r="H3" i="6"/>
  <c r="H35" i="6"/>
  <c r="H67" i="6"/>
  <c r="O67" i="6" s="1"/>
  <c r="H99" i="6"/>
  <c r="H131" i="6"/>
  <c r="O131" i="6" s="1"/>
  <c r="H163" i="6"/>
  <c r="H195" i="6"/>
  <c r="H227" i="6"/>
  <c r="H291" i="6"/>
  <c r="H323" i="6"/>
  <c r="H369" i="6"/>
  <c r="H90" i="6"/>
  <c r="O90" i="6" s="1"/>
  <c r="H217" i="6"/>
  <c r="I1367" i="2"/>
  <c r="H343" i="6"/>
  <c r="H41" i="6"/>
  <c r="H354" i="6"/>
  <c r="H350" i="6"/>
  <c r="H362" i="6"/>
  <c r="H142" i="6"/>
  <c r="G347" i="6"/>
  <c r="G258" i="6"/>
  <c r="H2" i="6"/>
  <c r="G277" i="6"/>
  <c r="G368" i="6"/>
  <c r="G229" i="6"/>
  <c r="G327" i="6"/>
  <c r="G325" i="6"/>
  <c r="G284" i="6"/>
  <c r="G312" i="6"/>
  <c r="G231" i="6"/>
  <c r="G232" i="6"/>
  <c r="G263" i="6"/>
  <c r="G302" i="6"/>
  <c r="G333" i="6"/>
  <c r="G241" i="6"/>
  <c r="G308" i="6"/>
  <c r="G317" i="6"/>
  <c r="G363" i="6"/>
  <c r="G316" i="6"/>
  <c r="G400" i="6"/>
  <c r="G249" i="6"/>
  <c r="G240" i="6"/>
  <c r="G366" i="6"/>
  <c r="G166" i="6"/>
  <c r="G198" i="6"/>
  <c r="G341" i="6"/>
  <c r="G273" i="6"/>
  <c r="G365" i="6"/>
  <c r="G342" i="6"/>
  <c r="G265" i="6"/>
  <c r="G359" i="6"/>
  <c r="G250" i="6"/>
  <c r="G286" i="6"/>
  <c r="G367" i="6"/>
  <c r="G298" i="6"/>
  <c r="G292" i="6"/>
  <c r="G381" i="6"/>
  <c r="G230" i="6"/>
  <c r="G394" i="6"/>
  <c r="G295" i="6"/>
  <c r="G321" i="6"/>
  <c r="G331" i="6"/>
  <c r="G334" i="6"/>
  <c r="I106" i="2"/>
  <c r="G28" i="6"/>
  <c r="I154" i="2"/>
  <c r="G40" i="6"/>
  <c r="G242" i="6"/>
  <c r="G375" i="6"/>
  <c r="I618" i="2"/>
  <c r="G156" i="6"/>
  <c r="I892" i="2"/>
  <c r="G224" i="6"/>
  <c r="I526" i="2"/>
  <c r="G133" i="6"/>
  <c r="I110" i="2"/>
  <c r="G29" i="6"/>
  <c r="I1215" i="2"/>
  <c r="G305" i="6"/>
  <c r="I690" i="2"/>
  <c r="G174" i="6"/>
  <c r="I386" i="2"/>
  <c r="G98" i="6"/>
  <c r="I78" i="2"/>
  <c r="G21" i="6"/>
  <c r="I1428" i="2"/>
  <c r="G358" i="6"/>
  <c r="I1381" i="2"/>
  <c r="G346" i="6"/>
  <c r="I852" i="2"/>
  <c r="G214" i="6"/>
  <c r="I238" i="2"/>
  <c r="G61" i="6"/>
  <c r="I550" i="2"/>
  <c r="G139" i="6"/>
  <c r="I806" i="2"/>
  <c r="G203" i="6"/>
  <c r="G278" i="6"/>
  <c r="G384" i="6"/>
  <c r="I750" i="2"/>
  <c r="G189" i="6"/>
  <c r="G389" i="6"/>
  <c r="G324" i="6"/>
  <c r="G285" i="6"/>
  <c r="I206" i="2"/>
  <c r="G53" i="6"/>
  <c r="G310" i="6"/>
  <c r="G388" i="6"/>
  <c r="I218" i="2"/>
  <c r="G56" i="6"/>
  <c r="I782" i="2"/>
  <c r="G197" i="6"/>
  <c r="G318" i="6"/>
  <c r="I54" i="2"/>
  <c r="G15" i="6"/>
  <c r="I182" i="2"/>
  <c r="G47" i="6"/>
  <c r="I310" i="2"/>
  <c r="G79" i="6"/>
  <c r="I438" i="2"/>
  <c r="G111" i="6"/>
  <c r="I566" i="2"/>
  <c r="G143" i="6"/>
  <c r="I694" i="2"/>
  <c r="G175" i="6"/>
  <c r="I822" i="2"/>
  <c r="G207" i="6"/>
  <c r="G239" i="6"/>
  <c r="G271" i="6"/>
  <c r="G303" i="6"/>
  <c r="G335" i="6"/>
  <c r="G393" i="6"/>
  <c r="I546" i="2"/>
  <c r="G138" i="6"/>
  <c r="G266" i="6"/>
  <c r="I382" i="2"/>
  <c r="G97" i="6"/>
  <c r="I498" i="2"/>
  <c r="G126" i="6"/>
  <c r="I170" i="2"/>
  <c r="G44" i="6"/>
  <c r="I210" i="2"/>
  <c r="G54" i="6"/>
  <c r="I202" i="2"/>
  <c r="G52" i="6"/>
  <c r="I654" i="2"/>
  <c r="G165" i="6"/>
  <c r="I38" i="2"/>
  <c r="G11" i="6"/>
  <c r="I678" i="2"/>
  <c r="G171" i="6"/>
  <c r="I306" i="2"/>
  <c r="G78" i="6"/>
  <c r="I514" i="2"/>
  <c r="G130" i="6"/>
  <c r="I274" i="2"/>
  <c r="G70" i="6"/>
  <c r="I130" i="2"/>
  <c r="G34" i="6"/>
  <c r="I266" i="2"/>
  <c r="G68" i="6"/>
  <c r="I778" i="2"/>
  <c r="G196" i="6"/>
  <c r="I298" i="2"/>
  <c r="G76" i="6"/>
  <c r="I810" i="2"/>
  <c r="G204" i="6"/>
  <c r="G332" i="6"/>
  <c r="I478" i="2"/>
  <c r="G121" i="6"/>
  <c r="I834" i="2"/>
  <c r="G210" i="6"/>
  <c r="G338" i="6"/>
  <c r="G392" i="6"/>
  <c r="I186" i="2"/>
  <c r="G48" i="6"/>
  <c r="G237" i="6"/>
  <c r="I286" i="2"/>
  <c r="G73" i="6"/>
  <c r="G326" i="6"/>
  <c r="G397" i="6"/>
  <c r="I494" i="2"/>
  <c r="G125" i="6"/>
  <c r="I578" i="2"/>
  <c r="G146" i="6"/>
  <c r="G351" i="6"/>
  <c r="G390" i="6"/>
  <c r="G14" i="6"/>
  <c r="I406" i="2"/>
  <c r="G103" i="6"/>
  <c r="I662" i="2"/>
  <c r="G167" i="6"/>
  <c r="I418" i="2"/>
  <c r="G106" i="6"/>
  <c r="I222" i="2"/>
  <c r="G57" i="6"/>
  <c r="I1115" i="2"/>
  <c r="G280" i="6"/>
  <c r="I94" i="2"/>
  <c r="G25" i="6"/>
  <c r="I730" i="2"/>
  <c r="G184" i="6"/>
  <c r="I174" i="2"/>
  <c r="G45" i="6"/>
  <c r="I366" i="2"/>
  <c r="G93" i="6"/>
  <c r="I330" i="2"/>
  <c r="G84" i="6"/>
  <c r="I334" i="2"/>
  <c r="G85" i="6"/>
  <c r="G396" i="6"/>
  <c r="I866" i="2"/>
  <c r="G218" i="6"/>
  <c r="I570" i="2"/>
  <c r="G144" i="6"/>
  <c r="G301" i="6"/>
  <c r="I814" i="2"/>
  <c r="G205" i="6"/>
  <c r="I58" i="2"/>
  <c r="G16" i="6"/>
  <c r="I70" i="2"/>
  <c r="G19" i="6"/>
  <c r="I198" i="2"/>
  <c r="G51" i="6"/>
  <c r="I326" i="2"/>
  <c r="G83" i="6"/>
  <c r="I454" i="2"/>
  <c r="G115" i="6"/>
  <c r="I582" i="2"/>
  <c r="G147" i="6"/>
  <c r="I710" i="2"/>
  <c r="G179" i="6"/>
  <c r="I838" i="2"/>
  <c r="G211" i="6"/>
  <c r="G243" i="6"/>
  <c r="G275" i="6"/>
  <c r="G307" i="6"/>
  <c r="G339" i="6"/>
  <c r="G401" i="6"/>
  <c r="I610" i="2"/>
  <c r="G154" i="6"/>
  <c r="G281" i="6"/>
  <c r="I446" i="2"/>
  <c r="G113" i="6"/>
  <c r="I18" i="2"/>
  <c r="G6" i="6"/>
  <c r="G110" i="6"/>
  <c r="I830" i="2"/>
  <c r="G209" i="6"/>
  <c r="I638" i="2"/>
  <c r="G161" i="6"/>
  <c r="G355" i="6"/>
  <c r="I138" i="2"/>
  <c r="G36" i="6"/>
  <c r="I622" i="2"/>
  <c r="G157" i="6"/>
  <c r="I166" i="2"/>
  <c r="G43" i="6"/>
  <c r="I666" i="2"/>
  <c r="G168" i="6"/>
  <c r="I894" i="2"/>
  <c r="G225" i="6"/>
  <c r="I410" i="2"/>
  <c r="G104" i="6"/>
  <c r="I14" i="2"/>
  <c r="G5" i="6"/>
  <c r="I590" i="2"/>
  <c r="G149" i="6"/>
  <c r="G329" i="6"/>
  <c r="I874" i="2"/>
  <c r="G220" i="6"/>
  <c r="G311" i="6"/>
  <c r="I674" i="2"/>
  <c r="G170" i="6"/>
  <c r="I734" i="2"/>
  <c r="G185" i="6"/>
  <c r="I798" i="2"/>
  <c r="G201" i="6"/>
  <c r="I878" i="2"/>
  <c r="G221" i="6"/>
  <c r="G336" i="6"/>
  <c r="I142" i="2"/>
  <c r="G37" i="6"/>
  <c r="G256" i="6"/>
  <c r="G272" i="6"/>
  <c r="I542" i="2"/>
  <c r="G137" i="6"/>
  <c r="G228" i="6"/>
  <c r="G349" i="6"/>
  <c r="I378" i="2"/>
  <c r="G96" i="6"/>
  <c r="I718" i="2"/>
  <c r="G181" i="6"/>
  <c r="I706" i="2"/>
  <c r="G178" i="6"/>
  <c r="G337" i="6"/>
  <c r="I370" i="2"/>
  <c r="G94" i="6"/>
  <c r="G395" i="6"/>
  <c r="G244" i="6"/>
  <c r="G270" i="6"/>
  <c r="G391" i="6"/>
  <c r="G371" i="6"/>
  <c r="G372" i="6"/>
  <c r="I558" i="2"/>
  <c r="G141" i="6"/>
  <c r="I150" i="2"/>
  <c r="G39" i="6"/>
  <c r="I534" i="2"/>
  <c r="G135" i="6"/>
  <c r="I790" i="2"/>
  <c r="G199" i="6"/>
  <c r="I254" i="2"/>
  <c r="G65" i="6"/>
  <c r="I422" i="2"/>
  <c r="G107" i="6"/>
  <c r="G386" i="6"/>
  <c r="I882" i="2"/>
  <c r="G222" i="6"/>
  <c r="G233" i="6"/>
  <c r="G296" i="6"/>
  <c r="G248" i="6"/>
  <c r="G257" i="6"/>
  <c r="I190" i="2"/>
  <c r="G49" i="6"/>
  <c r="I102" i="2"/>
  <c r="G27" i="6"/>
  <c r="I230" i="2"/>
  <c r="G59" i="6"/>
  <c r="I358" i="2"/>
  <c r="G91" i="6"/>
  <c r="I486" i="2"/>
  <c r="G123" i="6"/>
  <c r="I614" i="2"/>
  <c r="G155" i="6"/>
  <c r="I742" i="2"/>
  <c r="G187" i="6"/>
  <c r="I870" i="2"/>
  <c r="G219" i="6"/>
  <c r="G251" i="6"/>
  <c r="G283" i="6"/>
  <c r="G315" i="6"/>
  <c r="G353" i="6"/>
  <c r="I506" i="2"/>
  <c r="G128" i="6"/>
  <c r="I738" i="2"/>
  <c r="G186" i="6"/>
  <c r="I46" i="2"/>
  <c r="G13" i="6"/>
  <c r="I702" i="2"/>
  <c r="G177" i="6"/>
  <c r="G260" i="6"/>
  <c r="G398" i="6"/>
  <c r="G294" i="6"/>
  <c r="I338" i="2"/>
  <c r="G86" i="6"/>
  <c r="I90" i="2"/>
  <c r="G24" i="6"/>
  <c r="G376" i="6"/>
  <c r="I450" i="2"/>
  <c r="G114" i="6"/>
  <c r="I511" i="2"/>
  <c r="G129" i="6"/>
  <c r="I98" i="2"/>
  <c r="G26" i="6"/>
  <c r="I626" i="2"/>
  <c r="G158" i="6"/>
  <c r="I474" i="2"/>
  <c r="G120" i="6"/>
  <c r="G267" i="6"/>
  <c r="I318" i="2"/>
  <c r="G81" i="6"/>
  <c r="G378" i="6"/>
  <c r="I462" i="2"/>
  <c r="G117" i="6"/>
  <c r="I842" i="2"/>
  <c r="G212" i="6"/>
  <c r="G247" i="6"/>
  <c r="I282" i="2"/>
  <c r="G72" i="6"/>
  <c r="G344" i="6"/>
  <c r="I458" i="2"/>
  <c r="G116" i="6"/>
  <c r="I442" i="2"/>
  <c r="G112" i="6"/>
  <c r="G352" i="6"/>
  <c r="I270" i="2"/>
  <c r="G69" i="6"/>
  <c r="I670" i="2"/>
  <c r="G169" i="6"/>
  <c r="G357" i="6"/>
  <c r="I698" i="2"/>
  <c r="G176" i="6"/>
  <c r="I258" i="2"/>
  <c r="G66" i="6"/>
  <c r="I770" i="2"/>
  <c r="G194" i="6"/>
  <c r="I594" i="2"/>
  <c r="G150" i="6"/>
  <c r="G288" i="6"/>
  <c r="G245" i="6"/>
  <c r="G290" i="6"/>
  <c r="G370" i="6"/>
  <c r="I402" i="2"/>
  <c r="G102" i="6"/>
  <c r="G22" i="6"/>
  <c r="I278" i="2"/>
  <c r="G71" i="6"/>
  <c r="G235" i="6"/>
  <c r="I194" i="2"/>
  <c r="G50" i="6"/>
  <c r="I234" i="2"/>
  <c r="G60" i="6"/>
  <c r="I362" i="2"/>
  <c r="G92" i="6"/>
  <c r="I794" i="2"/>
  <c r="G200" i="6"/>
  <c r="I178" i="2"/>
  <c r="G46" i="6"/>
  <c r="G293" i="6"/>
  <c r="I634" i="2"/>
  <c r="G160" i="6"/>
  <c r="I214" i="2"/>
  <c r="G55" i="6"/>
  <c r="I470" i="2"/>
  <c r="G119" i="6"/>
  <c r="I854" i="2"/>
  <c r="G215" i="6"/>
  <c r="G383" i="6"/>
  <c r="I426" i="2"/>
  <c r="G108" i="6"/>
  <c r="G348" i="6"/>
  <c r="G356" i="6"/>
  <c r="I302" i="2"/>
  <c r="G77" i="6"/>
  <c r="G254" i="6"/>
  <c r="I118" i="2"/>
  <c r="G31" i="6"/>
  <c r="I246" i="2"/>
  <c r="G63" i="6"/>
  <c r="I374" i="2"/>
  <c r="G95" i="6"/>
  <c r="I502" i="2"/>
  <c r="G127" i="6"/>
  <c r="I630" i="2"/>
  <c r="G159" i="6"/>
  <c r="I758" i="2"/>
  <c r="G191" i="6"/>
  <c r="I886" i="2"/>
  <c r="G223" i="6"/>
  <c r="G255" i="6"/>
  <c r="G287" i="6"/>
  <c r="G319" i="6"/>
  <c r="G361" i="6"/>
  <c r="I290" i="2"/>
  <c r="G74" i="6"/>
  <c r="I802" i="2"/>
  <c r="G202" i="6"/>
  <c r="G330" i="6"/>
  <c r="G399" i="6"/>
  <c r="I126" i="2"/>
  <c r="G33" i="6"/>
  <c r="I766" i="2"/>
  <c r="G193" i="6"/>
  <c r="I722" i="2"/>
  <c r="G182" i="6"/>
  <c r="G309" i="6"/>
  <c r="I114" i="2"/>
  <c r="G30" i="6"/>
  <c r="I242" i="2"/>
  <c r="G62" i="6"/>
  <c r="G38" i="6"/>
  <c r="G42" i="6"/>
  <c r="G276" i="6"/>
  <c r="I22" i="2"/>
  <c r="G7" i="6"/>
  <c r="G380" i="6"/>
  <c r="I294" i="2"/>
  <c r="G75" i="6"/>
  <c r="G385" i="6"/>
  <c r="I482" i="2"/>
  <c r="G122" i="6"/>
  <c r="I754" i="2"/>
  <c r="G190" i="6"/>
  <c r="G264" i="6"/>
  <c r="I606" i="2"/>
  <c r="G153" i="6"/>
  <c r="I846" i="2"/>
  <c r="G213" i="6"/>
  <c r="G314" i="6"/>
  <c r="I34" i="2"/>
  <c r="G10" i="6"/>
  <c r="I66" i="2"/>
  <c r="G18" i="6"/>
  <c r="I394" i="2"/>
  <c r="G100" i="6"/>
  <c r="G226" i="6"/>
  <c r="I1283" i="2"/>
  <c r="G322" i="6"/>
  <c r="I30" i="2"/>
  <c r="G9" i="6"/>
  <c r="G279" i="6"/>
  <c r="I574" i="2"/>
  <c r="G145" i="6"/>
  <c r="I490" i="2"/>
  <c r="G124" i="6"/>
  <c r="I10" i="2"/>
  <c r="G4" i="6"/>
  <c r="G246" i="6"/>
  <c r="I42" i="2"/>
  <c r="G12" i="6"/>
  <c r="I554" i="2"/>
  <c r="G140" i="6"/>
  <c r="G268" i="6"/>
  <c r="G274" i="6"/>
  <c r="I762" i="2"/>
  <c r="G192" i="6"/>
  <c r="G360" i="6"/>
  <c r="I398" i="2"/>
  <c r="G101" i="6"/>
  <c r="G320" i="6"/>
  <c r="G262" i="6"/>
  <c r="I322" i="2"/>
  <c r="G82" i="6"/>
  <c r="G313" i="6"/>
  <c r="I858" i="2"/>
  <c r="G216" i="6"/>
  <c r="G387" i="6"/>
  <c r="G118" i="6"/>
  <c r="G58" i="6"/>
  <c r="I650" i="2"/>
  <c r="G164" i="6"/>
  <c r="I250" i="2"/>
  <c r="G64" i="6"/>
  <c r="G379" i="6"/>
  <c r="I818" i="2"/>
  <c r="G206" i="6"/>
  <c r="I682" i="2"/>
  <c r="G172" i="6"/>
  <c r="I314" i="2"/>
  <c r="G80" i="6"/>
  <c r="I346" i="2"/>
  <c r="G88" i="6"/>
  <c r="I62" i="2"/>
  <c r="G17" i="6"/>
  <c r="I714" i="2"/>
  <c r="G180" i="6"/>
  <c r="G299" i="6"/>
  <c r="I538" i="2"/>
  <c r="G136" i="6"/>
  <c r="G306" i="6"/>
  <c r="I746" i="2"/>
  <c r="G188" i="6"/>
  <c r="I350" i="2"/>
  <c r="G89" i="6"/>
  <c r="I414" i="2"/>
  <c r="G105" i="6"/>
  <c r="I26" i="2"/>
  <c r="G8" i="6"/>
  <c r="I642" i="2"/>
  <c r="G162" i="6"/>
  <c r="G374" i="6"/>
  <c r="G328" i="6"/>
  <c r="G340" i="6"/>
  <c r="I826" i="2"/>
  <c r="G208" i="6"/>
  <c r="I86" i="2"/>
  <c r="G23" i="6"/>
  <c r="I342" i="2"/>
  <c r="G87" i="6"/>
  <c r="I598" i="2"/>
  <c r="G151" i="6"/>
  <c r="I726" i="2"/>
  <c r="G183" i="6"/>
  <c r="G345" i="6"/>
  <c r="I122" i="2"/>
  <c r="G32" i="6"/>
  <c r="I522" i="2"/>
  <c r="G132" i="6"/>
  <c r="I602" i="2"/>
  <c r="G152" i="6"/>
  <c r="I686" i="2"/>
  <c r="G173" i="6"/>
  <c r="I74" i="2"/>
  <c r="G20" i="6"/>
  <c r="I586" i="2"/>
  <c r="G148" i="6"/>
  <c r="G236" i="6"/>
  <c r="G261" i="6"/>
  <c r="G364" i="6"/>
  <c r="G282" i="6"/>
  <c r="I430" i="2"/>
  <c r="G109" i="6"/>
  <c r="G269" i="6"/>
  <c r="I6" i="2"/>
  <c r="G3" i="6"/>
  <c r="I134" i="2"/>
  <c r="G35" i="6"/>
  <c r="I262" i="2"/>
  <c r="G67" i="6"/>
  <c r="I390" i="2"/>
  <c r="G99" i="6"/>
  <c r="I518" i="2"/>
  <c r="G131" i="6"/>
  <c r="I646" i="2"/>
  <c r="G163" i="6"/>
  <c r="I774" i="2"/>
  <c r="G195" i="6"/>
  <c r="G227" i="6"/>
  <c r="G259" i="6"/>
  <c r="G291" i="6"/>
  <c r="G323" i="6"/>
  <c r="G369" i="6"/>
  <c r="I354" i="2"/>
  <c r="G90" i="6"/>
  <c r="I862" i="2"/>
  <c r="G217" i="6"/>
  <c r="I158" i="2"/>
  <c r="G41" i="6"/>
  <c r="I1411" i="2"/>
  <c r="G354" i="6"/>
  <c r="G350" i="6"/>
  <c r="G362" i="6"/>
  <c r="I562" i="2"/>
  <c r="G142" i="6"/>
  <c r="G134" i="6"/>
  <c r="G343" i="6"/>
  <c r="G234" i="6"/>
  <c r="G2" i="6"/>
  <c r="I2" i="2"/>
  <c r="B147" i="5"/>
  <c r="G147" i="5" s="1"/>
  <c r="L371" i="6" s="1"/>
  <c r="B84" i="5"/>
  <c r="G84" i="5" s="1"/>
  <c r="L308" i="6" s="1"/>
  <c r="B134" i="5"/>
  <c r="G134" i="5" s="1"/>
  <c r="L358" i="6" s="1"/>
  <c r="B56" i="5"/>
  <c r="G56" i="5" s="1"/>
  <c r="L280" i="6" s="1"/>
  <c r="I1370" i="2"/>
  <c r="B120" i="5"/>
  <c r="G120" i="5" s="1"/>
  <c r="L344" i="6" s="1"/>
  <c r="I1338" i="2"/>
  <c r="B112" i="5"/>
  <c r="G112" i="5" s="1"/>
  <c r="L336" i="6" s="1"/>
  <c r="I1018" i="2"/>
  <c r="B32" i="5"/>
  <c r="G32" i="5" s="1"/>
  <c r="L256" i="6" s="1"/>
  <c r="I1390" i="2"/>
  <c r="B125" i="5"/>
  <c r="G125" i="5" s="1"/>
  <c r="L349" i="6" s="1"/>
  <c r="I1342" i="2"/>
  <c r="B113" i="5"/>
  <c r="G113" i="5" s="1"/>
  <c r="L337" i="6" s="1"/>
  <c r="I1574" i="2"/>
  <c r="B171" i="5"/>
  <c r="G171" i="5" s="1"/>
  <c r="L395" i="6" s="1"/>
  <c r="I970" i="2"/>
  <c r="B20" i="5"/>
  <c r="G20" i="5" s="1"/>
  <c r="L244" i="6" s="1"/>
  <c r="I1074" i="2"/>
  <c r="B46" i="5"/>
  <c r="G46" i="5" s="1"/>
  <c r="L270" i="6" s="1"/>
  <c r="I1558" i="2"/>
  <c r="B167" i="5"/>
  <c r="G167" i="5" s="1"/>
  <c r="L391" i="6" s="1"/>
  <c r="I1386" i="2"/>
  <c r="B124" i="5"/>
  <c r="G124" i="5" s="1"/>
  <c r="L348" i="6" s="1"/>
  <c r="I986" i="2"/>
  <c r="B24" i="5"/>
  <c r="G24" i="5" s="1"/>
  <c r="L248" i="6" s="1"/>
  <c r="I1022" i="2"/>
  <c r="B33" i="5"/>
  <c r="G33" i="5" s="1"/>
  <c r="L257" i="6" s="1"/>
  <c r="I998" i="2"/>
  <c r="B27" i="5"/>
  <c r="G27" i="5" s="1"/>
  <c r="L251" i="6" s="1"/>
  <c r="I1126" i="2"/>
  <c r="B59" i="5"/>
  <c r="G59" i="5" s="1"/>
  <c r="L283" i="6" s="1"/>
  <c r="I1254" i="2"/>
  <c r="B91" i="5"/>
  <c r="G91" i="5" s="1"/>
  <c r="L315" i="6" s="1"/>
  <c r="I1406" i="2"/>
  <c r="B129" i="5"/>
  <c r="G129" i="5" s="1"/>
  <c r="L353" i="6" s="1"/>
  <c r="I1034" i="2"/>
  <c r="B36" i="5"/>
  <c r="G36" i="5" s="1"/>
  <c r="L260" i="6" s="1"/>
  <c r="I1586" i="2"/>
  <c r="B174" i="5"/>
  <c r="G174" i="5" s="1"/>
  <c r="L398" i="6" s="1"/>
  <c r="I1170" i="2"/>
  <c r="B70" i="5"/>
  <c r="G70" i="5" s="1"/>
  <c r="L294" i="6" s="1"/>
  <c r="I1006" i="2"/>
  <c r="B29" i="5"/>
  <c r="G29" i="5" s="1"/>
  <c r="L253" i="6" s="1"/>
  <c r="I1402" i="2"/>
  <c r="B128" i="5"/>
  <c r="G128" i="5" s="1"/>
  <c r="L352" i="6" s="1"/>
  <c r="I1422" i="2"/>
  <c r="B133" i="5"/>
  <c r="G133" i="5" s="1"/>
  <c r="L357" i="6" s="1"/>
  <c r="I1146" i="2"/>
  <c r="B64" i="5"/>
  <c r="G64" i="5" s="1"/>
  <c r="L288" i="6" s="1"/>
  <c r="I974" i="2"/>
  <c r="B21" i="5"/>
  <c r="G21" i="5" s="1"/>
  <c r="L245" i="6" s="1"/>
  <c r="I1154" i="2"/>
  <c r="B66" i="5"/>
  <c r="G66" i="5" s="1"/>
  <c r="L290" i="6" s="1"/>
  <c r="I1474" i="2"/>
  <c r="B146" i="5"/>
  <c r="G146" i="5" s="1"/>
  <c r="L370" i="6" s="1"/>
  <c r="B54" i="5"/>
  <c r="G54" i="5" s="1"/>
  <c r="L278" i="6" s="1"/>
  <c r="I906" i="2"/>
  <c r="B4" i="5"/>
  <c r="G4" i="5" s="1"/>
  <c r="L228" i="6" s="1"/>
  <c r="I978" i="2"/>
  <c r="B22" i="5"/>
  <c r="G22" i="5" s="1"/>
  <c r="L246" i="6" s="1"/>
  <c r="I1010" i="2"/>
  <c r="B30" i="5"/>
  <c r="G30" i="5" s="1"/>
  <c r="L254" i="6" s="1"/>
  <c r="I1314" i="2"/>
  <c r="B106" i="5"/>
  <c r="G106" i="5" s="1"/>
  <c r="L330" i="6" s="1"/>
  <c r="I1230" i="2"/>
  <c r="B85" i="5"/>
  <c r="G85" i="5" s="1"/>
  <c r="L309" i="6" s="1"/>
  <c r="I1066" i="2"/>
  <c r="B44" i="5"/>
  <c r="G44" i="5" s="1"/>
  <c r="L268" i="6" s="1"/>
  <c r="I1090" i="2"/>
  <c r="B50" i="5"/>
  <c r="G50" i="5" s="1"/>
  <c r="L274" i="6" s="1"/>
  <c r="I1434" i="2"/>
  <c r="B136" i="5"/>
  <c r="G136" i="5" s="1"/>
  <c r="L360" i="6" s="1"/>
  <c r="I1274" i="2"/>
  <c r="B96" i="5"/>
  <c r="G96" i="5" s="1"/>
  <c r="L320" i="6" s="1"/>
  <c r="I1042" i="2"/>
  <c r="B38" i="5"/>
  <c r="G38" i="5" s="1"/>
  <c r="L262" i="6" s="1"/>
  <c r="I1454" i="2"/>
  <c r="B141" i="5"/>
  <c r="G141" i="5" s="1"/>
  <c r="L365" i="6" s="1"/>
  <c r="I1246" i="2"/>
  <c r="B89" i="5"/>
  <c r="G89" i="5" s="1"/>
  <c r="L313" i="6" s="1"/>
  <c r="I1362" i="2"/>
  <c r="B118" i="5"/>
  <c r="G118" i="5" s="1"/>
  <c r="L342" i="6" s="1"/>
  <c r="I1542" i="2"/>
  <c r="B163" i="5"/>
  <c r="G163" i="5" s="1"/>
  <c r="L387" i="6" s="1"/>
  <c r="B119" i="5"/>
  <c r="G119" i="5" s="1"/>
  <c r="L343" i="6" s="1"/>
  <c r="I938" i="2"/>
  <c r="B12" i="5"/>
  <c r="G12" i="5" s="1"/>
  <c r="L236" i="6" s="1"/>
  <c r="I1054" i="2"/>
  <c r="B41" i="5"/>
  <c r="G41" i="5" s="1"/>
  <c r="L265" i="6" s="1"/>
  <c r="I1038" i="2"/>
  <c r="B37" i="5"/>
  <c r="G37" i="5" s="1"/>
  <c r="L261" i="6" s="1"/>
  <c r="I1450" i="2"/>
  <c r="B140" i="5"/>
  <c r="G140" i="5" s="1"/>
  <c r="L364" i="6" s="1"/>
  <c r="I1122" i="2"/>
  <c r="B58" i="5"/>
  <c r="G58" i="5" s="1"/>
  <c r="L282" i="6" s="1"/>
  <c r="I1070" i="2"/>
  <c r="B45" i="5"/>
  <c r="G45" i="5" s="1"/>
  <c r="L269" i="6" s="1"/>
  <c r="I902" i="2"/>
  <c r="B3" i="5"/>
  <c r="G3" i="5" s="1"/>
  <c r="L227" i="6" s="1"/>
  <c r="I1030" i="2"/>
  <c r="B35" i="5"/>
  <c r="G35" i="5" s="1"/>
  <c r="L259" i="6" s="1"/>
  <c r="I1158" i="2"/>
  <c r="B67" i="5"/>
  <c r="G67" i="5" s="1"/>
  <c r="L291" i="6" s="1"/>
  <c r="I1286" i="2"/>
  <c r="B99" i="5"/>
  <c r="G99" i="5" s="1"/>
  <c r="L323" i="6" s="1"/>
  <c r="I1470" i="2"/>
  <c r="B145" i="5"/>
  <c r="G145" i="5" s="1"/>
  <c r="L369" i="6" s="1"/>
  <c r="I1394" i="2"/>
  <c r="B126" i="5"/>
  <c r="G126" i="5" s="1"/>
  <c r="L350" i="6" s="1"/>
  <c r="I1442" i="2"/>
  <c r="B138" i="5"/>
  <c r="G138" i="5" s="1"/>
  <c r="L362" i="6" s="1"/>
  <c r="B151" i="5"/>
  <c r="G151" i="5" s="1"/>
  <c r="L375" i="6" s="1"/>
  <c r="I1026" i="2"/>
  <c r="B34" i="5"/>
  <c r="G34" i="5" s="1"/>
  <c r="L258" i="6" s="1"/>
  <c r="I918" i="2"/>
  <c r="B7" i="5"/>
  <c r="G7" i="5" s="1"/>
  <c r="L231" i="6" s="1"/>
  <c r="I1202" i="2"/>
  <c r="B78" i="5"/>
  <c r="G78" i="5" s="1"/>
  <c r="L302" i="6" s="1"/>
  <c r="I1498" i="2"/>
  <c r="B152" i="5"/>
  <c r="G152" i="5" s="1"/>
  <c r="L376" i="6" s="1"/>
  <c r="I1162" i="2"/>
  <c r="B68" i="5"/>
  <c r="G68" i="5" s="1"/>
  <c r="L292" i="6" s="1"/>
  <c r="I1518" i="2"/>
  <c r="B157" i="5"/>
  <c r="G157" i="5" s="1"/>
  <c r="L381" i="6" s="1"/>
  <c r="I914" i="2"/>
  <c r="B6" i="5"/>
  <c r="G6" i="5" s="1"/>
  <c r="L230" i="6" s="1"/>
  <c r="B26" i="5"/>
  <c r="G26" i="5" s="1"/>
  <c r="L250" i="6" s="1"/>
  <c r="I1486" i="2"/>
  <c r="B149" i="5"/>
  <c r="G149" i="5" s="1"/>
  <c r="L373" i="6" s="1"/>
  <c r="I1502" i="2"/>
  <c r="B153" i="5"/>
  <c r="G153" i="5" s="1"/>
  <c r="L377" i="6" s="1"/>
  <c r="I922" i="2"/>
  <c r="B8" i="5"/>
  <c r="G8" i="5" s="1"/>
  <c r="L232" i="6" s="1"/>
  <c r="I1514" i="2"/>
  <c r="B156" i="5"/>
  <c r="G156" i="5" s="1"/>
  <c r="L380" i="6" s="1"/>
  <c r="I1242" i="2"/>
  <c r="B88" i="5"/>
  <c r="G88" i="5" s="1"/>
  <c r="L312" i="6" s="1"/>
  <c r="I934" i="2"/>
  <c r="B11" i="5"/>
  <c r="G11" i="5" s="1"/>
  <c r="L235" i="6" s="1"/>
  <c r="I1062" i="2"/>
  <c r="B43" i="5"/>
  <c r="G43" i="5" s="1"/>
  <c r="L267" i="6" s="1"/>
  <c r="I1190" i="2"/>
  <c r="B75" i="5"/>
  <c r="G75" i="5" s="1"/>
  <c r="L299" i="6" s="1"/>
  <c r="I1318" i="2"/>
  <c r="B107" i="5"/>
  <c r="G107" i="5" s="1"/>
  <c r="L331" i="6" s="1"/>
  <c r="I1534" i="2"/>
  <c r="B161" i="5"/>
  <c r="G161" i="5" s="1"/>
  <c r="L385" i="6" s="1"/>
  <c r="I1330" i="2"/>
  <c r="B110" i="5"/>
  <c r="G110" i="5" s="1"/>
  <c r="L334" i="6" s="1"/>
  <c r="I1218" i="2"/>
  <c r="B82" i="5"/>
  <c r="G82" i="5" s="1"/>
  <c r="L306" i="6" s="1"/>
  <c r="B74" i="5"/>
  <c r="G74" i="5" s="1"/>
  <c r="L298" i="6" s="1"/>
  <c r="I1466" i="2"/>
  <c r="B144" i="5"/>
  <c r="G144" i="5" s="1"/>
  <c r="L368" i="6" s="1"/>
  <c r="I1182" i="2"/>
  <c r="B73" i="5"/>
  <c r="G73" i="5" s="1"/>
  <c r="L297" i="6" s="1"/>
  <c r="I1510" i="2"/>
  <c r="B155" i="5"/>
  <c r="G155" i="5" s="1"/>
  <c r="L379" i="6" s="1"/>
  <c r="I1530" i="2"/>
  <c r="B160" i="5"/>
  <c r="G160" i="5" s="1"/>
  <c r="L384" i="6" s="1"/>
  <c r="I1550" i="2"/>
  <c r="B165" i="5"/>
  <c r="G165" i="5" s="1"/>
  <c r="L389" i="6" s="1"/>
  <c r="I1447" i="2"/>
  <c r="B139" i="5"/>
  <c r="G139" i="5" s="1"/>
  <c r="L363" i="6" s="1"/>
  <c r="I1258" i="2"/>
  <c r="B92" i="5"/>
  <c r="G92" i="5" s="1"/>
  <c r="L316" i="6" s="1"/>
  <c r="I1290" i="2"/>
  <c r="B100" i="5"/>
  <c r="G100" i="5" s="1"/>
  <c r="L324" i="6" s="1"/>
  <c r="B122" i="5"/>
  <c r="G122" i="5" s="1"/>
  <c r="L346" i="6" s="1"/>
  <c r="I1418" i="2"/>
  <c r="B132" i="5"/>
  <c r="G132" i="5" s="1"/>
  <c r="L356" i="6" s="1"/>
  <c r="I1270" i="2"/>
  <c r="B95" i="5"/>
  <c r="G95" i="5" s="1"/>
  <c r="L319" i="6" s="1"/>
  <c r="I1150" i="2"/>
  <c r="B65" i="5"/>
  <c r="G65" i="5" s="1"/>
  <c r="L289" i="6" s="1"/>
  <c r="I1383" i="2"/>
  <c r="B123" i="5"/>
  <c r="G123" i="5" s="1"/>
  <c r="L347" i="6" s="1"/>
  <c r="I962" i="2"/>
  <c r="B18" i="5"/>
  <c r="G18" i="5" s="1"/>
  <c r="L242" i="6" s="1"/>
  <c r="I1130" i="2"/>
  <c r="B60" i="5"/>
  <c r="G60" i="5" s="1"/>
  <c r="L284" i="6" s="1"/>
  <c r="I1174" i="2"/>
  <c r="B71" i="5"/>
  <c r="G71" i="5" s="1"/>
  <c r="L295" i="6" s="1"/>
  <c r="I1462" i="2"/>
  <c r="B143" i="5"/>
  <c r="G143" i="5" s="1"/>
  <c r="L367" i="6" s="1"/>
  <c r="I1134" i="2"/>
  <c r="B61" i="5"/>
  <c r="G61" i="5" s="1"/>
  <c r="L285" i="6" s="1"/>
  <c r="I1234" i="2"/>
  <c r="B86" i="5"/>
  <c r="G86" i="5" s="1"/>
  <c r="L310" i="6" s="1"/>
  <c r="I1546" i="2"/>
  <c r="B164" i="5"/>
  <c r="G164" i="5" s="1"/>
  <c r="L388" i="6" s="1"/>
  <c r="I1266" i="2"/>
  <c r="B94" i="5"/>
  <c r="G94" i="5" s="1"/>
  <c r="L318" i="6" s="1"/>
  <c r="I950" i="2"/>
  <c r="B15" i="5"/>
  <c r="G15" i="5" s="1"/>
  <c r="L239" i="6" s="1"/>
  <c r="I1078" i="2"/>
  <c r="B47" i="5"/>
  <c r="G47" i="5" s="1"/>
  <c r="L271" i="6" s="1"/>
  <c r="I1206" i="2"/>
  <c r="B79" i="5"/>
  <c r="G79" i="5" s="1"/>
  <c r="L303" i="6" s="1"/>
  <c r="I1334" i="2"/>
  <c r="B111" i="5"/>
  <c r="G111" i="5" s="1"/>
  <c r="L335" i="6" s="1"/>
  <c r="I1566" i="2"/>
  <c r="B169" i="5"/>
  <c r="G169" i="5" s="1"/>
  <c r="L393" i="6" s="1"/>
  <c r="I1058" i="2"/>
  <c r="B42" i="5"/>
  <c r="G42" i="5" s="1"/>
  <c r="L266" i="6" s="1"/>
  <c r="B170" i="5"/>
  <c r="G170" i="5" s="1"/>
  <c r="L394" i="6" s="1"/>
  <c r="I1014" i="2"/>
  <c r="B31" i="5"/>
  <c r="G31" i="5" s="1"/>
  <c r="L255" i="6" s="1"/>
  <c r="I1438" i="2"/>
  <c r="B137" i="5"/>
  <c r="G137" i="5" s="1"/>
  <c r="L361" i="6" s="1"/>
  <c r="I1430" i="2"/>
  <c r="B135" i="5"/>
  <c r="G135" i="5" s="1"/>
  <c r="L359" i="6" s="1"/>
  <c r="I1098" i="2"/>
  <c r="B52" i="5"/>
  <c r="G52" i="5" s="1"/>
  <c r="L276" i="6" s="1"/>
  <c r="I1138" i="2"/>
  <c r="B62" i="5"/>
  <c r="G62" i="5" s="1"/>
  <c r="L286" i="6" s="1"/>
  <c r="I1210" i="2"/>
  <c r="B80" i="5"/>
  <c r="G80" i="5" s="1"/>
  <c r="L304" i="6" s="1"/>
  <c r="I1322" i="2"/>
  <c r="B108" i="5"/>
  <c r="G108" i="5" s="1"/>
  <c r="L332" i="6" s="1"/>
  <c r="I1346" i="2"/>
  <c r="B114" i="5"/>
  <c r="G114" i="5" s="1"/>
  <c r="L338" i="6" s="1"/>
  <c r="I1562" i="2"/>
  <c r="B168" i="5"/>
  <c r="G168" i="5" s="1"/>
  <c r="L392" i="6" s="1"/>
  <c r="I942" i="2"/>
  <c r="B13" i="5"/>
  <c r="G13" i="5" s="1"/>
  <c r="L237" i="6" s="1"/>
  <c r="I1298" i="2"/>
  <c r="B102" i="5"/>
  <c r="G102" i="5" s="1"/>
  <c r="L326" i="6" s="1"/>
  <c r="I1582" i="2"/>
  <c r="B173" i="5"/>
  <c r="G173" i="5" s="1"/>
  <c r="L397" i="6" s="1"/>
  <c r="I1398" i="2"/>
  <c r="B127" i="5"/>
  <c r="G127" i="5" s="1"/>
  <c r="L351" i="6" s="1"/>
  <c r="I1554" i="2"/>
  <c r="B166" i="5"/>
  <c r="G166" i="5" s="1"/>
  <c r="L390" i="6" s="1"/>
  <c r="B142" i="5"/>
  <c r="G142" i="5" s="1"/>
  <c r="L366" i="6" s="1"/>
  <c r="I1591" i="2"/>
  <c r="B175" i="5"/>
  <c r="G175" i="5" s="1"/>
  <c r="L399" i="6" s="1"/>
  <c r="I910" i="2"/>
  <c r="B5" i="5"/>
  <c r="G5" i="5" s="1"/>
  <c r="L229" i="6" s="1"/>
  <c r="I1102" i="2"/>
  <c r="B53" i="5"/>
  <c r="G53" i="5" s="1"/>
  <c r="L277" i="6" s="1"/>
  <c r="B10" i="5"/>
  <c r="G10" i="5" s="1"/>
  <c r="L234" i="6" s="1"/>
  <c r="I1278" i="2"/>
  <c r="B97" i="5"/>
  <c r="G97" i="5" s="1"/>
  <c r="L321" i="6" s="1"/>
  <c r="I1294" i="2"/>
  <c r="B101" i="5"/>
  <c r="G101" i="5" s="1"/>
  <c r="L325" i="6" s="1"/>
  <c r="I1578" i="2"/>
  <c r="B172" i="5"/>
  <c r="G172" i="5" s="1"/>
  <c r="L396" i="6" s="1"/>
  <c r="I1198" i="2"/>
  <c r="B77" i="5"/>
  <c r="G77" i="5" s="1"/>
  <c r="L301" i="6" s="1"/>
  <c r="I1326" i="2"/>
  <c r="B109" i="5"/>
  <c r="G109" i="5" s="1"/>
  <c r="L333" i="6" s="1"/>
  <c r="I966" i="2"/>
  <c r="B19" i="5"/>
  <c r="G19" i="5" s="1"/>
  <c r="L243" i="6" s="1"/>
  <c r="I1094" i="2"/>
  <c r="B51" i="5"/>
  <c r="G51" i="5" s="1"/>
  <c r="L275" i="6" s="1"/>
  <c r="I1222" i="2"/>
  <c r="B83" i="5"/>
  <c r="G83" i="5" s="1"/>
  <c r="L307" i="6" s="1"/>
  <c r="I1350" i="2"/>
  <c r="B115" i="5"/>
  <c r="G115" i="5" s="1"/>
  <c r="L339" i="6" s="1"/>
  <c r="I1598" i="2"/>
  <c r="B177" i="5"/>
  <c r="G177" i="5" s="1"/>
  <c r="L401" i="6" s="1"/>
  <c r="I1118" i="2"/>
  <c r="B57" i="5"/>
  <c r="G57" i="5" s="1"/>
  <c r="L281" i="6" s="1"/>
  <c r="B81" i="5"/>
  <c r="G81" i="5" s="1"/>
  <c r="L305" i="6" s="1"/>
  <c r="I946" i="2"/>
  <c r="B14" i="5"/>
  <c r="G14" i="5" s="1"/>
  <c r="L238" i="6" s="1"/>
  <c r="I1142" i="2"/>
  <c r="B63" i="5"/>
  <c r="G63" i="5" s="1"/>
  <c r="L287" i="6" s="1"/>
  <c r="I1482" i="2"/>
  <c r="B148" i="5"/>
  <c r="G148" i="5" s="1"/>
  <c r="L372" i="6" s="1"/>
  <c r="I1302" i="2"/>
  <c r="B103" i="5"/>
  <c r="G103" i="5" s="1"/>
  <c r="L327" i="6" s="1"/>
  <c r="I1050" i="2"/>
  <c r="B40" i="5"/>
  <c r="G40" i="5" s="1"/>
  <c r="L264" i="6" s="1"/>
  <c r="I1594" i="2"/>
  <c r="B176" i="5"/>
  <c r="G176" i="5" s="1"/>
  <c r="L400" i="6" s="1"/>
  <c r="I1086" i="2"/>
  <c r="B49" i="5"/>
  <c r="G49" i="5" s="1"/>
  <c r="L273" i="6" s="1"/>
  <c r="I958" i="2"/>
  <c r="B17" i="5"/>
  <c r="G17" i="5" s="1"/>
  <c r="L241" i="6" s="1"/>
  <c r="I1358" i="2"/>
  <c r="B117" i="5"/>
  <c r="G117" i="5" s="1"/>
  <c r="L341" i="6" s="1"/>
  <c r="I1538" i="2"/>
  <c r="B162" i="5"/>
  <c r="G162" i="5" s="1"/>
  <c r="L386" i="6" s="1"/>
  <c r="I1506" i="2"/>
  <c r="B154" i="5"/>
  <c r="G154" i="5" s="1"/>
  <c r="L378" i="6" s="1"/>
  <c r="I1250" i="2"/>
  <c r="B90" i="5"/>
  <c r="G90" i="5" s="1"/>
  <c r="L314" i="6" s="1"/>
  <c r="I1490" i="2"/>
  <c r="B150" i="5"/>
  <c r="G150" i="5" s="1"/>
  <c r="L374" i="6" s="1"/>
  <c r="B98" i="5"/>
  <c r="G98" i="5" s="1"/>
  <c r="L322" i="6" s="1"/>
  <c r="I954" i="2"/>
  <c r="B16" i="5"/>
  <c r="G16" i="5" s="1"/>
  <c r="L240" i="6" s="1"/>
  <c r="I1082" i="2"/>
  <c r="B48" i="5"/>
  <c r="G48" i="5" s="1"/>
  <c r="L272" i="6" s="1"/>
  <c r="I1194" i="2"/>
  <c r="B76" i="5"/>
  <c r="G76" i="5" s="1"/>
  <c r="L300" i="6" s="1"/>
  <c r="I1046" i="2"/>
  <c r="B39" i="5"/>
  <c r="G39" i="5" s="1"/>
  <c r="L263" i="6" s="1"/>
  <c r="I1002" i="2"/>
  <c r="B28" i="5"/>
  <c r="G28" i="5" s="1"/>
  <c r="L252" i="6" s="1"/>
  <c r="I1262" i="2"/>
  <c r="B93" i="5"/>
  <c r="G93" i="5" s="1"/>
  <c r="L317" i="6" s="1"/>
  <c r="I1306" i="2"/>
  <c r="B104" i="5"/>
  <c r="G104" i="5" s="1"/>
  <c r="L328" i="6" s="1"/>
  <c r="I1166" i="2"/>
  <c r="B69" i="5"/>
  <c r="G69" i="5" s="1"/>
  <c r="L293" i="6" s="1"/>
  <c r="I1354" i="2"/>
  <c r="B116" i="5"/>
  <c r="G116" i="5" s="1"/>
  <c r="L340" i="6" s="1"/>
  <c r="I1310" i="2"/>
  <c r="B105" i="5"/>
  <c r="G105" i="5" s="1"/>
  <c r="L329" i="6" s="1"/>
  <c r="I926" i="2"/>
  <c r="B9" i="5"/>
  <c r="G9" i="5" s="1"/>
  <c r="L233" i="6" s="1"/>
  <c r="I982" i="2"/>
  <c r="B23" i="5"/>
  <c r="G23" i="5" s="1"/>
  <c r="L247" i="6" s="1"/>
  <c r="I1110" i="2"/>
  <c r="B55" i="5"/>
  <c r="G55" i="5" s="1"/>
  <c r="L279" i="6" s="1"/>
  <c r="I1238" i="2"/>
  <c r="B87" i="5"/>
  <c r="G87" i="5" s="1"/>
  <c r="L311" i="6" s="1"/>
  <c r="I990" i="2"/>
  <c r="B25" i="5"/>
  <c r="G25" i="5" s="1"/>
  <c r="L249" i="6" s="1"/>
  <c r="I1374" i="2"/>
  <c r="B121" i="5"/>
  <c r="G121" i="5" s="1"/>
  <c r="L345" i="6" s="1"/>
  <c r="I1178" i="2"/>
  <c r="B72" i="5"/>
  <c r="G72" i="5" s="1"/>
  <c r="L296" i="6" s="1"/>
  <c r="I1527" i="2"/>
  <c r="B159" i="5"/>
  <c r="G159" i="5" s="1"/>
  <c r="L383" i="6" s="1"/>
  <c r="I1524" i="2"/>
  <c r="B158" i="5"/>
  <c r="G158" i="5" s="1"/>
  <c r="L382" i="6" s="1"/>
  <c r="B131" i="5"/>
  <c r="G131" i="5" s="1"/>
  <c r="L355" i="6" s="1"/>
  <c r="B130" i="5"/>
  <c r="G130" i="5" s="1"/>
  <c r="L354" i="6" s="1"/>
  <c r="I899" i="2"/>
  <c r="B2" i="5"/>
  <c r="G2" i="5" s="1"/>
  <c r="L226" i="6" s="1"/>
  <c r="O256" i="6" l="1"/>
  <c r="O219" i="6"/>
  <c r="O389" i="6"/>
  <c r="O91" i="6"/>
  <c r="O102" i="6"/>
  <c r="O197" i="6"/>
  <c r="O336" i="6"/>
  <c r="O216" i="6"/>
  <c r="O66" i="6"/>
  <c r="O205" i="6"/>
  <c r="O204" i="6"/>
  <c r="O114" i="6"/>
  <c r="O107" i="6"/>
  <c r="O135" i="6"/>
  <c r="O194" i="6"/>
  <c r="O103" i="6"/>
  <c r="O15" i="6"/>
  <c r="O75" i="6"/>
  <c r="O116" i="6"/>
  <c r="O218" i="6"/>
  <c r="O139" i="6"/>
  <c r="O4" i="6"/>
  <c r="O342" i="6"/>
  <c r="O27" i="6"/>
  <c r="O19" i="6"/>
  <c r="O379" i="6"/>
  <c r="O155" i="6"/>
  <c r="O310" i="6"/>
  <c r="O355" i="6"/>
  <c r="O274" i="6"/>
  <c r="O228" i="6"/>
  <c r="O62" i="6"/>
  <c r="O396" i="6"/>
  <c r="O3" i="6"/>
  <c r="O196" i="6"/>
  <c r="O152" i="6"/>
  <c r="O221" i="6"/>
  <c r="O176" i="6"/>
  <c r="O334" i="6"/>
  <c r="O30" i="6"/>
  <c r="O85" i="6"/>
  <c r="O39" i="6"/>
  <c r="O168" i="6"/>
  <c r="O43" i="6"/>
  <c r="O71" i="6"/>
  <c r="O325" i="6"/>
  <c r="O60" i="6"/>
  <c r="O277" i="6"/>
  <c r="O142" i="6"/>
  <c r="O50" i="6"/>
  <c r="O309" i="6"/>
  <c r="O352" i="6"/>
  <c r="O123" i="6"/>
  <c r="O185" i="6"/>
  <c r="O308" i="6"/>
  <c r="O6" i="6"/>
  <c r="O89" i="6"/>
  <c r="O350" i="6"/>
  <c r="O246" i="6"/>
  <c r="O165" i="6"/>
  <c r="O294" i="6"/>
  <c r="O376" i="6"/>
  <c r="O157" i="6"/>
  <c r="O390" i="6"/>
  <c r="O7" i="6"/>
  <c r="O121" i="6"/>
  <c r="O282" i="6"/>
  <c r="O223" i="6"/>
  <c r="O201" i="6"/>
  <c r="O84" i="6"/>
  <c r="O351" i="6"/>
  <c r="O391" i="6"/>
  <c r="O191" i="6"/>
  <c r="O238" i="6"/>
  <c r="O187" i="6"/>
  <c r="O167" i="6"/>
  <c r="O79" i="6"/>
  <c r="O210" i="6"/>
  <c r="O68" i="6"/>
  <c r="O184" i="6"/>
  <c r="O330" i="6"/>
  <c r="O112" i="6"/>
  <c r="O150" i="6"/>
  <c r="O128" i="6"/>
  <c r="O82" i="6"/>
  <c r="O26" i="6"/>
  <c r="O73" i="6"/>
  <c r="O53" i="6"/>
  <c r="O41" i="6"/>
  <c r="O12" i="6"/>
  <c r="O37" i="6"/>
  <c r="O306" i="6"/>
  <c r="O301" i="6"/>
  <c r="O198" i="6"/>
  <c r="O323" i="6"/>
  <c r="O315" i="6"/>
  <c r="O375" i="6"/>
  <c r="O234" i="6"/>
  <c r="O368" i="6"/>
  <c r="O42" i="6"/>
  <c r="O338" i="6"/>
  <c r="O268" i="6"/>
  <c r="O272" i="6"/>
  <c r="O171" i="6"/>
  <c r="O215" i="6"/>
  <c r="O8" i="6"/>
  <c r="O273" i="6"/>
  <c r="O119" i="6"/>
  <c r="O78" i="6"/>
  <c r="O144" i="6"/>
  <c r="O88" i="6"/>
  <c r="O346" i="6"/>
  <c r="O120" i="6"/>
  <c r="O158" i="6"/>
  <c r="O174" i="6"/>
  <c r="O104" i="6"/>
  <c r="O161" i="6"/>
  <c r="O55" i="6"/>
  <c r="O170" i="6"/>
  <c r="O10" i="6"/>
  <c r="O83" i="6"/>
  <c r="O183" i="6"/>
  <c r="O341" i="6"/>
  <c r="O148" i="6"/>
  <c r="O45" i="6"/>
  <c r="O293" i="6"/>
  <c r="O96" i="6"/>
  <c r="O35" i="6"/>
  <c r="O367" i="6"/>
  <c r="O250" i="6"/>
  <c r="O384" i="6"/>
  <c r="O381" i="6"/>
  <c r="O190" i="6"/>
  <c r="O349" i="6"/>
  <c r="O245" i="6"/>
  <c r="O49" i="6"/>
  <c r="O279" i="6"/>
  <c r="O162" i="6"/>
  <c r="O47" i="6"/>
  <c r="O93" i="6"/>
  <c r="O213" i="6"/>
  <c r="O81" i="6"/>
  <c r="O285" i="6"/>
  <c r="O80" i="6"/>
  <c r="O99" i="6"/>
  <c r="O192" i="6"/>
  <c r="O92" i="6"/>
  <c r="O312" i="6"/>
  <c r="O57" i="6"/>
  <c r="O226" i="6"/>
  <c r="O370" i="6"/>
  <c r="O249" i="6"/>
  <c r="O211" i="6"/>
  <c r="O386" i="6"/>
  <c r="O333" i="6"/>
  <c r="O263" i="6"/>
  <c r="O354" i="6"/>
  <c r="O275" i="6"/>
  <c r="O398" i="6"/>
  <c r="O29" i="6"/>
  <c r="O98" i="6"/>
  <c r="O202" i="6"/>
  <c r="O146" i="6"/>
  <c r="O299" i="6"/>
  <c r="O133" i="6"/>
  <c r="O363" i="6"/>
  <c r="O151" i="6"/>
  <c r="O105" i="6"/>
  <c r="O248" i="6"/>
  <c r="O137" i="6"/>
  <c r="O240" i="6"/>
  <c r="O286" i="6"/>
  <c r="O362" i="6"/>
  <c r="O281" i="6"/>
  <c r="O122" i="6"/>
  <c r="O182" i="6"/>
  <c r="O348" i="6"/>
  <c r="O267" i="6"/>
  <c r="O271" i="6"/>
  <c r="O345" i="6"/>
  <c r="O378" i="6"/>
  <c r="O237" i="6"/>
  <c r="O58" i="6"/>
  <c r="O331" i="6"/>
  <c r="O206" i="6"/>
  <c r="O302" i="6"/>
  <c r="O56" i="6"/>
  <c r="O193" i="6"/>
  <c r="O59" i="6"/>
  <c r="O52" i="6"/>
  <c r="O76" i="6"/>
  <c r="O106" i="6"/>
  <c r="O269" i="6"/>
  <c r="O380" i="6"/>
  <c r="O34" i="6"/>
  <c r="O109" i="6"/>
  <c r="O22" i="6"/>
  <c r="O304" i="6"/>
  <c r="O16" i="6"/>
  <c r="O54" i="6"/>
  <c r="O247" i="6"/>
  <c r="O149" i="6"/>
  <c r="O203" i="6"/>
  <c r="O317" i="6"/>
  <c r="O284" i="6"/>
  <c r="O270" i="6"/>
  <c r="O332" i="6"/>
  <c r="O255" i="6"/>
  <c r="O340" i="6"/>
  <c r="O394" i="6"/>
  <c r="O388" i="6"/>
  <c r="O353" i="6"/>
  <c r="O257" i="6"/>
  <c r="O127" i="6"/>
  <c r="O108" i="6"/>
  <c r="O87" i="6"/>
  <c r="O97" i="6"/>
  <c r="O291" i="6"/>
  <c r="O365" i="6"/>
  <c r="O164" i="6"/>
  <c r="O266" i="6"/>
  <c r="O227" i="6"/>
  <c r="O209" i="6"/>
  <c r="O23" i="6"/>
  <c r="O374" i="6"/>
  <c r="O200" i="6"/>
  <c r="O113" i="6"/>
  <c r="O65" i="6"/>
  <c r="O320" i="6"/>
  <c r="O178" i="6"/>
  <c r="O383" i="6"/>
  <c r="O160" i="6"/>
  <c r="O18" i="6"/>
  <c r="O239" i="6"/>
  <c r="O360" i="6"/>
  <c r="O264" i="6"/>
  <c r="O36" i="6"/>
  <c r="O72" i="6"/>
  <c r="O314" i="6"/>
  <c r="O243" i="6"/>
  <c r="O136" i="6"/>
  <c r="O259" i="6"/>
  <c r="O326" i="6"/>
  <c r="O347" i="6"/>
  <c r="O373" i="6"/>
  <c r="O173" i="6"/>
  <c r="O115" i="6"/>
  <c r="O33" i="6"/>
  <c r="O401" i="6"/>
  <c r="O290" i="6"/>
  <c r="O117" i="6"/>
  <c r="O311" i="6"/>
  <c r="O46" i="6"/>
  <c r="O335" i="6"/>
  <c r="O231" i="6"/>
  <c r="O305" i="6"/>
  <c r="O399" i="6"/>
  <c r="O343" i="6"/>
  <c r="O319" i="6"/>
  <c r="O260" i="6"/>
  <c r="O276" i="6"/>
  <c r="O316" i="6"/>
  <c r="O25" i="6"/>
  <c r="O141" i="6"/>
  <c r="O130" i="6"/>
  <c r="O32" i="6"/>
  <c r="O387" i="6"/>
  <c r="O287" i="6"/>
  <c r="O177" i="6"/>
  <c r="O371" i="6"/>
  <c r="O303" i="6"/>
  <c r="O214" i="6"/>
  <c r="O70" i="6"/>
  <c r="O217" i="6"/>
  <c r="O110" i="6"/>
  <c r="O74" i="6"/>
  <c r="O392" i="6"/>
  <c r="O13" i="6"/>
  <c r="O134" i="6"/>
  <c r="O382" i="6"/>
  <c r="O230" i="6"/>
  <c r="O229" i="6"/>
  <c r="O48" i="6"/>
  <c r="O361" i="6"/>
  <c r="O397" i="6"/>
  <c r="O186" i="6"/>
  <c r="O344" i="6"/>
  <c r="O172" i="6"/>
  <c r="O44" i="6"/>
  <c r="O40" i="6"/>
  <c r="O236" i="6"/>
  <c r="O156" i="6"/>
  <c r="O258" i="6"/>
  <c r="O369" i="6"/>
  <c r="O14" i="6"/>
  <c r="O313" i="6"/>
  <c r="O159" i="6"/>
  <c r="O297" i="6"/>
  <c r="O143" i="6"/>
  <c r="O244" i="6"/>
  <c r="O5" i="6"/>
  <c r="O377" i="6"/>
  <c r="O242" i="6"/>
  <c r="O125" i="6"/>
  <c r="O321" i="6"/>
  <c r="O129" i="6"/>
  <c r="O95" i="6"/>
  <c r="O358" i="6"/>
  <c r="O175" i="6"/>
  <c r="O357" i="6"/>
  <c r="O395" i="6"/>
  <c r="O118" i="6"/>
  <c r="O199" i="6"/>
  <c r="O359" i="6"/>
  <c r="O224" i="6"/>
  <c r="O189" i="6"/>
  <c r="O126" i="6"/>
  <c r="O364" i="6"/>
  <c r="O63" i="6"/>
  <c r="O372" i="6"/>
  <c r="O188" i="6"/>
  <c r="O169" i="6"/>
  <c r="O235" i="6"/>
  <c r="O328" i="6"/>
  <c r="O94" i="6"/>
  <c r="O265" i="6"/>
  <c r="O292" i="6"/>
  <c r="O28" i="6"/>
  <c r="O261" i="6"/>
  <c r="O262" i="6"/>
  <c r="O31" i="6"/>
  <c r="O393" i="6"/>
  <c r="O289" i="6"/>
  <c r="O69" i="6"/>
  <c r="O278" i="6"/>
  <c r="O251" i="6"/>
  <c r="O147" i="6"/>
  <c r="O337" i="6"/>
  <c r="O154" i="6"/>
  <c r="O111" i="6"/>
  <c r="O138" i="6"/>
  <c r="O100" i="6"/>
  <c r="O195" i="6"/>
  <c r="O254" i="6"/>
  <c r="O322" i="6"/>
  <c r="O318" i="6"/>
  <c r="O166" i="6"/>
  <c r="O179" i="6"/>
  <c r="O400" i="6"/>
  <c r="O339" i="6"/>
  <c r="O24" i="6"/>
  <c r="O225" i="6"/>
  <c r="O163" i="6"/>
  <c r="O20" i="6"/>
  <c r="O101" i="6"/>
  <c r="O298" i="6"/>
  <c r="O324" i="6"/>
  <c r="O356" i="6"/>
  <c r="O295" i="6"/>
  <c r="O180" i="6"/>
  <c r="O181" i="6"/>
  <c r="O296" i="6"/>
  <c r="O220" i="6"/>
  <c r="O222" i="6"/>
  <c r="O153" i="6"/>
  <c r="O51" i="6"/>
  <c r="O232" i="6"/>
  <c r="O207" i="6"/>
  <c r="O2" i="6"/>
  <c r="P177" i="6"/>
  <c r="Q177" i="6" s="1"/>
  <c r="P129" i="6"/>
  <c r="Q129" i="6" s="1"/>
  <c r="P145" i="6"/>
  <c r="Q145" i="6" s="1"/>
  <c r="P16" i="6"/>
  <c r="Q16" i="6" s="1"/>
  <c r="P128" i="6"/>
  <c r="Q128" i="6" s="1"/>
  <c r="P32" i="6"/>
  <c r="Q32" i="6" s="1"/>
  <c r="P162" i="6"/>
  <c r="Q162" i="6" s="1"/>
  <c r="P37" i="6"/>
  <c r="Q37" i="6" s="1"/>
  <c r="P130" i="6"/>
  <c r="Q130" i="6" s="1"/>
  <c r="P71" i="6"/>
  <c r="Q71" i="6" s="1"/>
  <c r="P221" i="6"/>
  <c r="Q221" i="6" s="1"/>
  <c r="P90" i="6"/>
  <c r="Q90" i="6" s="1"/>
  <c r="P173" i="6"/>
  <c r="Q173" i="6" s="1"/>
  <c r="P117" i="6"/>
  <c r="Q117" i="6" s="1"/>
  <c r="P27" i="6"/>
  <c r="Q27" i="6" s="1"/>
  <c r="P156" i="6"/>
  <c r="Q156" i="6" s="1"/>
  <c r="P64" i="6"/>
  <c r="Q64" i="6" s="1"/>
  <c r="P93" i="6"/>
  <c r="Q93" i="6" s="1"/>
  <c r="P215" i="6"/>
  <c r="Q215" i="6" s="1"/>
  <c r="P149" i="6"/>
  <c r="Q149" i="6" s="1"/>
  <c r="P217" i="6"/>
  <c r="Q217" i="6" s="1"/>
  <c r="P20" i="6"/>
  <c r="Q20" i="6" s="1"/>
  <c r="P42" i="6"/>
  <c r="Q42" i="6" s="1"/>
  <c r="P212" i="6"/>
  <c r="Q212" i="6" s="1"/>
  <c r="P146" i="6"/>
  <c r="Q146" i="6" s="1"/>
  <c r="P67" i="6"/>
  <c r="Q67" i="6" s="1"/>
  <c r="P101" i="6"/>
  <c r="Q101" i="6" s="1"/>
  <c r="P74" i="6"/>
  <c r="Q74" i="6" s="1"/>
  <c r="P25" i="6"/>
  <c r="Q25" i="6" s="1"/>
  <c r="P206" i="6"/>
  <c r="Q206" i="6" s="1"/>
  <c r="P114" i="6"/>
  <c r="Q114" i="6" s="1"/>
  <c r="P59" i="6"/>
  <c r="Q59" i="6" s="1"/>
  <c r="P171" i="6"/>
  <c r="Q171" i="6" s="1"/>
  <c r="P141" i="6"/>
  <c r="Q141" i="6" s="1"/>
  <c r="P106" i="6"/>
  <c r="Q106" i="6" s="1"/>
  <c r="P112" i="6"/>
  <c r="Q112" i="6" s="1"/>
  <c r="P203" i="6"/>
  <c r="Q203" i="6" s="1"/>
  <c r="P41" i="6"/>
  <c r="Q41" i="6" s="1"/>
  <c r="P143" i="6"/>
  <c r="Q143" i="6" s="1"/>
  <c r="P110" i="6"/>
  <c r="Q110" i="6" s="1"/>
  <c r="P125" i="6"/>
  <c r="Q125" i="6" s="1"/>
  <c r="P204" i="6"/>
  <c r="Q204" i="6" s="1"/>
  <c r="P208" i="6"/>
  <c r="Q208" i="6" s="1"/>
  <c r="P136" i="6"/>
  <c r="Q136" i="6" s="1"/>
  <c r="P22" i="6"/>
  <c r="Q22" i="6" s="1"/>
  <c r="P192" i="6"/>
  <c r="Q192" i="6" s="1"/>
  <c r="P188" i="6"/>
  <c r="Q188" i="6" s="1"/>
  <c r="P176" i="6"/>
  <c r="Q176" i="6" s="1"/>
  <c r="P179" i="6"/>
  <c r="Q179" i="6" s="1"/>
  <c r="P109" i="6"/>
  <c r="Q109" i="6" s="1"/>
  <c r="P336" i="6"/>
  <c r="Q336" i="6" s="1"/>
  <c r="P209" i="6"/>
  <c r="Q209" i="6" s="1"/>
  <c r="P78" i="6"/>
  <c r="Q78" i="6" s="1"/>
  <c r="P111" i="6"/>
  <c r="Q111" i="6" s="1"/>
  <c r="P23" i="6"/>
  <c r="Q23" i="6" s="1"/>
  <c r="P337" i="6"/>
  <c r="Q337" i="6" s="1"/>
  <c r="P35" i="6"/>
  <c r="Q35" i="6" s="1"/>
  <c r="P86" i="6"/>
  <c r="Q86" i="6" s="1"/>
  <c r="P57" i="6"/>
  <c r="Q57" i="6" s="1"/>
  <c r="P205" i="6"/>
  <c r="Q205" i="6" s="1"/>
  <c r="P184" i="6"/>
  <c r="Q184" i="6" s="1"/>
  <c r="P199" i="6"/>
  <c r="Q199" i="6" s="1"/>
  <c r="P104" i="6"/>
  <c r="Q104" i="6" s="1"/>
  <c r="P76" i="6"/>
  <c r="Q76" i="6" s="1"/>
  <c r="P193" i="6"/>
  <c r="Q193" i="6" s="1"/>
  <c r="P92" i="6"/>
  <c r="Q92" i="6" s="1"/>
  <c r="P33" i="6"/>
  <c r="Q33" i="6" s="1"/>
  <c r="P36" i="6"/>
  <c r="Q36" i="6" s="1"/>
  <c r="P56" i="6"/>
  <c r="Q56" i="6" s="1"/>
  <c r="P29" i="6"/>
  <c r="Q29" i="6" s="1"/>
  <c r="P7" i="6"/>
  <c r="Q7" i="6" s="1"/>
  <c r="P72" i="6"/>
  <c r="Q72" i="6" s="1"/>
  <c r="P148" i="6"/>
  <c r="Q148" i="6" s="1"/>
  <c r="P89" i="6"/>
  <c r="Q89" i="6" s="1"/>
  <c r="P50" i="6"/>
  <c r="Q50" i="6" s="1"/>
  <c r="P91" i="6"/>
  <c r="Q91" i="6" s="1"/>
  <c r="P161" i="6"/>
  <c r="Q161" i="6" s="1"/>
  <c r="P214" i="6"/>
  <c r="Q214" i="6" s="1"/>
  <c r="P133" i="6"/>
  <c r="Q133" i="6" s="1"/>
  <c r="P99" i="6"/>
  <c r="Q99" i="6" s="1"/>
  <c r="P262" i="6"/>
  <c r="Q262" i="6" s="1"/>
  <c r="P202" i="6"/>
  <c r="Q202" i="6" s="1"/>
  <c r="P65" i="6"/>
  <c r="Q65" i="6" s="1"/>
  <c r="P211" i="6"/>
  <c r="Q211" i="6" s="1"/>
  <c r="P121" i="6"/>
  <c r="Q121" i="6" s="1"/>
  <c r="K131" i="6"/>
  <c r="P131" i="6"/>
  <c r="Q131" i="6" s="1"/>
  <c r="K236" i="6"/>
  <c r="P236" i="6"/>
  <c r="Q236" i="6" s="1"/>
  <c r="K151" i="6"/>
  <c r="P151" i="6"/>
  <c r="Q151" i="6" s="1"/>
  <c r="K82" i="6"/>
  <c r="P82" i="6"/>
  <c r="Q82" i="6" s="1"/>
  <c r="K4" i="6"/>
  <c r="P4" i="6"/>
  <c r="Q4" i="6" s="1"/>
  <c r="K10" i="6"/>
  <c r="P10" i="6"/>
  <c r="Q10" i="6" s="1"/>
  <c r="P399" i="6"/>
  <c r="Q399" i="6" s="1"/>
  <c r="K127" i="6"/>
  <c r="P127" i="6"/>
  <c r="Q127" i="6" s="1"/>
  <c r="P107" i="6"/>
  <c r="Q107" i="6" s="1"/>
  <c r="K244" i="6"/>
  <c r="P244" i="6"/>
  <c r="Q244" i="6" s="1"/>
  <c r="P256" i="6"/>
  <c r="Q256" i="6" s="1"/>
  <c r="P355" i="6"/>
  <c r="Q355" i="6" s="1"/>
  <c r="P275" i="6"/>
  <c r="Q275" i="6" s="1"/>
  <c r="K45" i="6"/>
  <c r="P45" i="6"/>
  <c r="Q45" i="6" s="1"/>
  <c r="P14" i="6"/>
  <c r="Q14" i="6" s="1"/>
  <c r="K210" i="6"/>
  <c r="P210" i="6"/>
  <c r="Q210" i="6" s="1"/>
  <c r="K388" i="6"/>
  <c r="P388" i="6"/>
  <c r="Q388" i="6" s="1"/>
  <c r="K295" i="6"/>
  <c r="P295" i="6"/>
  <c r="Q295" i="6" s="1"/>
  <c r="K166" i="6"/>
  <c r="P166" i="6"/>
  <c r="Q166" i="6" s="1"/>
  <c r="P284" i="6"/>
  <c r="Q284" i="6" s="1"/>
  <c r="K172" i="6"/>
  <c r="P172" i="6"/>
  <c r="Q172" i="6" s="1"/>
  <c r="P330" i="6"/>
  <c r="Q330" i="6" s="1"/>
  <c r="K66" i="6"/>
  <c r="P66" i="6"/>
  <c r="Q66" i="6" s="1"/>
  <c r="K186" i="6"/>
  <c r="P186" i="6"/>
  <c r="Q186" i="6" s="1"/>
  <c r="K395" i="6"/>
  <c r="P395" i="6"/>
  <c r="Q395" i="6" s="1"/>
  <c r="P243" i="6"/>
  <c r="Q243" i="6" s="1"/>
  <c r="P390" i="6"/>
  <c r="Q390" i="6" s="1"/>
  <c r="K126" i="6"/>
  <c r="P126" i="6"/>
  <c r="Q126" i="6" s="1"/>
  <c r="P310" i="6"/>
  <c r="Q310" i="6" s="1"/>
  <c r="P394" i="6"/>
  <c r="Q394" i="6" s="1"/>
  <c r="P366" i="6"/>
  <c r="Q366" i="6" s="1"/>
  <c r="P325" i="6"/>
  <c r="Q325" i="6" s="1"/>
  <c r="P253" i="6"/>
  <c r="Q253" i="6" s="1"/>
  <c r="P252" i="6"/>
  <c r="Q252" i="6" s="1"/>
  <c r="P382" i="6"/>
  <c r="Q382" i="6" s="1"/>
  <c r="K87" i="6"/>
  <c r="P87" i="6"/>
  <c r="Q87" i="6" s="1"/>
  <c r="K124" i="6"/>
  <c r="P124" i="6"/>
  <c r="Q124" i="6" s="1"/>
  <c r="P314" i="6"/>
  <c r="Q314" i="6" s="1"/>
  <c r="P276" i="6"/>
  <c r="Q276" i="6" s="1"/>
  <c r="K95" i="6"/>
  <c r="P95" i="6"/>
  <c r="Q95" i="6" s="1"/>
  <c r="K119" i="6"/>
  <c r="P119" i="6"/>
  <c r="Q119" i="6" s="1"/>
  <c r="P247" i="6"/>
  <c r="Q247" i="6" s="1"/>
  <c r="K94" i="6"/>
  <c r="P94" i="6"/>
  <c r="Q94" i="6" s="1"/>
  <c r="K5" i="6"/>
  <c r="P5" i="6"/>
  <c r="Q5" i="6" s="1"/>
  <c r="P351" i="6"/>
  <c r="Q351" i="6" s="1"/>
  <c r="K53" i="6"/>
  <c r="P53" i="6"/>
  <c r="Q53" i="6" s="1"/>
  <c r="P230" i="6"/>
  <c r="Q230" i="6" s="1"/>
  <c r="K240" i="6"/>
  <c r="P240" i="6"/>
  <c r="Q240" i="6" s="1"/>
  <c r="P327" i="6"/>
  <c r="Q327" i="6" s="1"/>
  <c r="P320" i="6"/>
  <c r="Q320" i="6" s="1"/>
  <c r="K213" i="6"/>
  <c r="P213" i="6"/>
  <c r="Q213" i="6" s="1"/>
  <c r="P235" i="6"/>
  <c r="Q235" i="6" s="1"/>
  <c r="K97" i="6"/>
  <c r="P97" i="6"/>
  <c r="Q97" i="6" s="1"/>
  <c r="P346" i="6"/>
  <c r="Q346" i="6" s="1"/>
  <c r="K224" i="6"/>
  <c r="P224" i="6"/>
  <c r="Q224" i="6" s="1"/>
  <c r="K381" i="6"/>
  <c r="P381" i="6"/>
  <c r="Q381" i="6" s="1"/>
  <c r="P249" i="6"/>
  <c r="Q249" i="6" s="1"/>
  <c r="P229" i="6"/>
  <c r="Q229" i="6" s="1"/>
  <c r="P297" i="6"/>
  <c r="Q297" i="6" s="1"/>
  <c r="P377" i="6"/>
  <c r="Q377" i="6" s="1"/>
  <c r="K38" i="6"/>
  <c r="P38" i="6"/>
  <c r="Q38" i="6" s="1"/>
  <c r="K63" i="6"/>
  <c r="P63" i="6"/>
  <c r="Q63" i="6" s="1"/>
  <c r="K55" i="6"/>
  <c r="P55" i="6"/>
  <c r="Q55" i="6" s="1"/>
  <c r="P301" i="6"/>
  <c r="Q301" i="6" s="1"/>
  <c r="P332" i="6"/>
  <c r="Q332" i="6" s="1"/>
  <c r="K285" i="6"/>
  <c r="P285" i="6"/>
  <c r="Q285" i="6" s="1"/>
  <c r="K292" i="6"/>
  <c r="P292" i="6"/>
  <c r="Q292" i="6" s="1"/>
  <c r="P400" i="6"/>
  <c r="Q400" i="6" s="1"/>
  <c r="P368" i="6"/>
  <c r="Q368" i="6" s="1"/>
  <c r="P306" i="6"/>
  <c r="Q306" i="6" s="1"/>
  <c r="P379" i="6"/>
  <c r="Q379" i="6" s="1"/>
  <c r="K153" i="6"/>
  <c r="P153" i="6"/>
  <c r="Q153" i="6" s="1"/>
  <c r="K62" i="6"/>
  <c r="P62" i="6"/>
  <c r="Q62" i="6" s="1"/>
  <c r="K357" i="6"/>
  <c r="P357" i="6"/>
  <c r="Q357" i="6" s="1"/>
  <c r="P376" i="6"/>
  <c r="Q376" i="6" s="1"/>
  <c r="P353" i="6"/>
  <c r="Q353" i="6" s="1"/>
  <c r="K178" i="6"/>
  <c r="P178" i="6"/>
  <c r="Q178" i="6" s="1"/>
  <c r="K144" i="6"/>
  <c r="P144" i="6"/>
  <c r="Q144" i="6" s="1"/>
  <c r="P266" i="6"/>
  <c r="Q266" i="6" s="1"/>
  <c r="K79" i="6"/>
  <c r="P79" i="6"/>
  <c r="Q79" i="6" s="1"/>
  <c r="P324" i="6"/>
  <c r="Q324" i="6" s="1"/>
  <c r="P358" i="6"/>
  <c r="Q358" i="6" s="1"/>
  <c r="P298" i="6"/>
  <c r="Q298" i="6" s="1"/>
  <c r="P316" i="6"/>
  <c r="Q316" i="6" s="1"/>
  <c r="P277" i="6"/>
  <c r="Q277" i="6" s="1"/>
  <c r="P238" i="6"/>
  <c r="Q238" i="6" s="1"/>
  <c r="K360" i="6"/>
  <c r="P360" i="6"/>
  <c r="Q360" i="6" s="1"/>
  <c r="P279" i="6"/>
  <c r="Q279" i="6" s="1"/>
  <c r="P361" i="6"/>
  <c r="Q361" i="6" s="1"/>
  <c r="P31" i="6"/>
  <c r="Q31" i="6" s="1"/>
  <c r="K160" i="6"/>
  <c r="P160" i="6"/>
  <c r="Q160" i="6" s="1"/>
  <c r="P169" i="6"/>
  <c r="Q169" i="6" s="1"/>
  <c r="K24" i="6"/>
  <c r="P24" i="6"/>
  <c r="Q24" i="6" s="1"/>
  <c r="P315" i="6"/>
  <c r="Q315" i="6" s="1"/>
  <c r="P135" i="6"/>
  <c r="Q135" i="6" s="1"/>
  <c r="P201" i="6"/>
  <c r="Q201" i="6" s="1"/>
  <c r="K225" i="6"/>
  <c r="P225" i="6"/>
  <c r="Q225" i="6" s="1"/>
  <c r="P6" i="6"/>
  <c r="Q6" i="6" s="1"/>
  <c r="P147" i="6"/>
  <c r="Q147" i="6" s="1"/>
  <c r="K280" i="6"/>
  <c r="P280" i="6"/>
  <c r="Q280" i="6" s="1"/>
  <c r="P138" i="6"/>
  <c r="Q138" i="6" s="1"/>
  <c r="P389" i="6"/>
  <c r="Q389" i="6" s="1"/>
  <c r="P367" i="6"/>
  <c r="Q367" i="6" s="1"/>
  <c r="P363" i="6"/>
  <c r="Q363" i="6" s="1"/>
  <c r="P289" i="6"/>
  <c r="Q289" i="6" s="1"/>
  <c r="P369" i="6"/>
  <c r="Q369" i="6" s="1"/>
  <c r="P152" i="6"/>
  <c r="Q152" i="6" s="1"/>
  <c r="K9" i="6"/>
  <c r="P9" i="6"/>
  <c r="Q9" i="6" s="1"/>
  <c r="K264" i="6"/>
  <c r="P264" i="6"/>
  <c r="Q264" i="6" s="1"/>
  <c r="K30" i="6"/>
  <c r="P30" i="6"/>
  <c r="Q30" i="6" s="1"/>
  <c r="P319" i="6"/>
  <c r="Q319" i="6" s="1"/>
  <c r="P102" i="6"/>
  <c r="Q102" i="6" s="1"/>
  <c r="P378" i="6"/>
  <c r="Q378" i="6" s="1"/>
  <c r="P283" i="6"/>
  <c r="Q283" i="6" s="1"/>
  <c r="P49" i="6"/>
  <c r="Q49" i="6" s="1"/>
  <c r="K181" i="6"/>
  <c r="P181" i="6"/>
  <c r="Q181" i="6" s="1"/>
  <c r="P218" i="6"/>
  <c r="Q218" i="6" s="1"/>
  <c r="P397" i="6"/>
  <c r="Q397" i="6" s="1"/>
  <c r="P11" i="6"/>
  <c r="Q11" i="6" s="1"/>
  <c r="P47" i="6"/>
  <c r="Q47" i="6" s="1"/>
  <c r="P189" i="6"/>
  <c r="Q189" i="6" s="1"/>
  <c r="K21" i="6"/>
  <c r="P21" i="6"/>
  <c r="Q21" i="6" s="1"/>
  <c r="P375" i="6"/>
  <c r="Q375" i="6" s="1"/>
  <c r="P286" i="6"/>
  <c r="Q286" i="6" s="1"/>
  <c r="P317" i="6"/>
  <c r="Q317" i="6" s="1"/>
  <c r="P258" i="6"/>
  <c r="Q258" i="6" s="1"/>
  <c r="P234" i="6"/>
  <c r="Q234" i="6" s="1"/>
  <c r="P323" i="6"/>
  <c r="Q323" i="6" s="1"/>
  <c r="P3" i="6"/>
  <c r="Q3" i="6" s="1"/>
  <c r="P340" i="6"/>
  <c r="Q340" i="6" s="1"/>
  <c r="P299" i="6"/>
  <c r="Q299" i="6" s="1"/>
  <c r="P164" i="6"/>
  <c r="Q164" i="6" s="1"/>
  <c r="P190" i="6"/>
  <c r="Q190" i="6" s="1"/>
  <c r="P287" i="6"/>
  <c r="Q287" i="6" s="1"/>
  <c r="P254" i="6"/>
  <c r="Q254" i="6" s="1"/>
  <c r="K293" i="6"/>
  <c r="P293" i="6"/>
  <c r="Q293" i="6" s="1"/>
  <c r="P69" i="6"/>
  <c r="Q69" i="6" s="1"/>
  <c r="K81" i="6"/>
  <c r="P81" i="6"/>
  <c r="Q81" i="6" s="1"/>
  <c r="P251" i="6"/>
  <c r="Q251" i="6" s="1"/>
  <c r="K39" i="6"/>
  <c r="P39" i="6"/>
  <c r="Q39" i="6" s="1"/>
  <c r="P185" i="6"/>
  <c r="Q185" i="6" s="1"/>
  <c r="K168" i="6"/>
  <c r="P168" i="6"/>
  <c r="Q168" i="6" s="1"/>
  <c r="P113" i="6"/>
  <c r="Q113" i="6" s="1"/>
  <c r="P115" i="6"/>
  <c r="Q115" i="6" s="1"/>
  <c r="P326" i="6"/>
  <c r="Q326" i="6" s="1"/>
  <c r="P393" i="6"/>
  <c r="Q393" i="6" s="1"/>
  <c r="P242" i="6"/>
  <c r="Q242" i="6" s="1"/>
  <c r="P250" i="6"/>
  <c r="Q250" i="6" s="1"/>
  <c r="P308" i="6"/>
  <c r="Q308" i="6" s="1"/>
  <c r="P347" i="6"/>
  <c r="Q347" i="6" s="1"/>
  <c r="P343" i="6"/>
  <c r="Q343" i="6" s="1"/>
  <c r="P291" i="6"/>
  <c r="Q291" i="6" s="1"/>
  <c r="P132" i="6"/>
  <c r="Q132" i="6" s="1"/>
  <c r="P328" i="6"/>
  <c r="Q328" i="6" s="1"/>
  <c r="P180" i="6"/>
  <c r="Q180" i="6" s="1"/>
  <c r="P274" i="6"/>
  <c r="Q274" i="6" s="1"/>
  <c r="P322" i="6"/>
  <c r="Q322" i="6" s="1"/>
  <c r="K309" i="6"/>
  <c r="P309" i="6"/>
  <c r="Q309" i="6" s="1"/>
  <c r="P255" i="6"/>
  <c r="Q255" i="6" s="1"/>
  <c r="P77" i="6"/>
  <c r="Q77" i="6" s="1"/>
  <c r="K46" i="6"/>
  <c r="P46" i="6"/>
  <c r="Q46" i="6" s="1"/>
  <c r="P370" i="6"/>
  <c r="Q370" i="6" s="1"/>
  <c r="P219" i="6"/>
  <c r="Q219" i="6" s="1"/>
  <c r="P257" i="6"/>
  <c r="Q257" i="6" s="1"/>
  <c r="K96" i="6"/>
  <c r="P96" i="6"/>
  <c r="Q96" i="6" s="1"/>
  <c r="P396" i="6"/>
  <c r="Q396" i="6" s="1"/>
  <c r="K73" i="6"/>
  <c r="P73" i="6"/>
  <c r="Q73" i="6" s="1"/>
  <c r="K196" i="6"/>
  <c r="P196" i="6"/>
  <c r="Q196" i="6" s="1"/>
  <c r="K165" i="6"/>
  <c r="P165" i="6"/>
  <c r="Q165" i="6" s="1"/>
  <c r="K335" i="6"/>
  <c r="P335" i="6"/>
  <c r="Q335" i="6" s="1"/>
  <c r="K15" i="6"/>
  <c r="P15" i="6"/>
  <c r="Q15" i="6" s="1"/>
  <c r="P384" i="6"/>
  <c r="Q384" i="6" s="1"/>
  <c r="P98" i="6"/>
  <c r="Q98" i="6" s="1"/>
  <c r="P40" i="6"/>
  <c r="Q40" i="6" s="1"/>
  <c r="P359" i="6"/>
  <c r="Q359" i="6" s="1"/>
  <c r="P241" i="6"/>
  <c r="Q241" i="6" s="1"/>
  <c r="P300" i="6"/>
  <c r="Q300" i="6" s="1"/>
  <c r="P134" i="6"/>
  <c r="Q134" i="6" s="1"/>
  <c r="P259" i="6"/>
  <c r="Q259" i="6" s="1"/>
  <c r="P269" i="6"/>
  <c r="Q269" i="6" s="1"/>
  <c r="P374" i="6"/>
  <c r="Q374" i="6" s="1"/>
  <c r="K58" i="6"/>
  <c r="P58" i="6"/>
  <c r="Q58" i="6" s="1"/>
  <c r="P268" i="6"/>
  <c r="Q268" i="6" s="1"/>
  <c r="K122" i="6"/>
  <c r="P122" i="6"/>
  <c r="Q122" i="6" s="1"/>
  <c r="K182" i="6"/>
  <c r="P182" i="6"/>
  <c r="Q182" i="6" s="1"/>
  <c r="P223" i="6"/>
  <c r="Q223" i="6" s="1"/>
  <c r="K290" i="6"/>
  <c r="P290" i="6"/>
  <c r="Q290" i="6" s="1"/>
  <c r="P352" i="6"/>
  <c r="Q352" i="6" s="1"/>
  <c r="K267" i="6"/>
  <c r="P267" i="6"/>
  <c r="Q267" i="6" s="1"/>
  <c r="K294" i="6"/>
  <c r="P294" i="6"/>
  <c r="Q294" i="6" s="1"/>
  <c r="P248" i="6"/>
  <c r="Q248" i="6" s="1"/>
  <c r="K170" i="6"/>
  <c r="P170" i="6"/>
  <c r="Q170" i="6" s="1"/>
  <c r="P43" i="6"/>
  <c r="Q43" i="6" s="1"/>
  <c r="K281" i="6"/>
  <c r="P281" i="6"/>
  <c r="Q281" i="6" s="1"/>
  <c r="P83" i="6"/>
  <c r="Q83" i="6" s="1"/>
  <c r="K85" i="6"/>
  <c r="P85" i="6"/>
  <c r="Q85" i="6" s="1"/>
  <c r="P303" i="6"/>
  <c r="Q303" i="6" s="1"/>
  <c r="P278" i="6"/>
  <c r="Q278" i="6" s="1"/>
  <c r="P265" i="6"/>
  <c r="Q265" i="6" s="1"/>
  <c r="P333" i="6"/>
  <c r="Q333" i="6" s="1"/>
  <c r="P142" i="6"/>
  <c r="Q142" i="6" s="1"/>
  <c r="P227" i="6"/>
  <c r="Q227" i="6" s="1"/>
  <c r="P17" i="6"/>
  <c r="Q17" i="6" s="1"/>
  <c r="P118" i="6"/>
  <c r="Q118" i="6" s="1"/>
  <c r="K140" i="6"/>
  <c r="P140" i="6"/>
  <c r="Q140" i="6" s="1"/>
  <c r="K226" i="6"/>
  <c r="P226" i="6"/>
  <c r="Q226" i="6" s="1"/>
  <c r="P356" i="6"/>
  <c r="Q356" i="6" s="1"/>
  <c r="P200" i="6"/>
  <c r="Q200" i="6" s="1"/>
  <c r="P245" i="6"/>
  <c r="Q245" i="6" s="1"/>
  <c r="P120" i="6"/>
  <c r="Q120" i="6" s="1"/>
  <c r="P398" i="6"/>
  <c r="Q398" i="6" s="1"/>
  <c r="P187" i="6"/>
  <c r="Q187" i="6" s="1"/>
  <c r="K296" i="6"/>
  <c r="P296" i="6"/>
  <c r="Q296" i="6" s="1"/>
  <c r="P349" i="6"/>
  <c r="Q349" i="6" s="1"/>
  <c r="P154" i="6"/>
  <c r="Q154" i="6" s="1"/>
  <c r="P237" i="6"/>
  <c r="Q237" i="6" s="1"/>
  <c r="P68" i="6"/>
  <c r="Q68" i="6" s="1"/>
  <c r="K52" i="6"/>
  <c r="P52" i="6"/>
  <c r="Q52" i="6" s="1"/>
  <c r="P271" i="6"/>
  <c r="Q271" i="6" s="1"/>
  <c r="P318" i="6"/>
  <c r="Q318" i="6" s="1"/>
  <c r="P174" i="6"/>
  <c r="Q174" i="6" s="1"/>
  <c r="P28" i="6"/>
  <c r="Q28" i="6" s="1"/>
  <c r="P342" i="6"/>
  <c r="Q342" i="6" s="1"/>
  <c r="P302" i="6"/>
  <c r="Q302" i="6" s="1"/>
  <c r="P195" i="6"/>
  <c r="Q195" i="6" s="1"/>
  <c r="P387" i="6"/>
  <c r="Q387" i="6" s="1"/>
  <c r="P100" i="6"/>
  <c r="Q100" i="6" s="1"/>
  <c r="P385" i="6"/>
  <c r="Q385" i="6" s="1"/>
  <c r="P191" i="6"/>
  <c r="Q191" i="6" s="1"/>
  <c r="P348" i="6"/>
  <c r="Q348" i="6" s="1"/>
  <c r="P288" i="6"/>
  <c r="Q288" i="6" s="1"/>
  <c r="P260" i="6"/>
  <c r="Q260" i="6" s="1"/>
  <c r="P233" i="6"/>
  <c r="Q233" i="6" s="1"/>
  <c r="P372" i="6"/>
  <c r="Q372" i="6" s="1"/>
  <c r="P228" i="6"/>
  <c r="Q228" i="6" s="1"/>
  <c r="K311" i="6"/>
  <c r="P311" i="6"/>
  <c r="Q311" i="6" s="1"/>
  <c r="P157" i="6"/>
  <c r="Q157" i="6" s="1"/>
  <c r="P51" i="6"/>
  <c r="Q51" i="6" s="1"/>
  <c r="P84" i="6"/>
  <c r="Q84" i="6" s="1"/>
  <c r="P167" i="6"/>
  <c r="Q167" i="6" s="1"/>
  <c r="P48" i="6"/>
  <c r="Q48" i="6" s="1"/>
  <c r="P239" i="6"/>
  <c r="Q239" i="6" s="1"/>
  <c r="P197" i="6"/>
  <c r="Q197" i="6" s="1"/>
  <c r="P365" i="6"/>
  <c r="Q365" i="6" s="1"/>
  <c r="P263" i="6"/>
  <c r="Q263" i="6" s="1"/>
  <c r="P362" i="6"/>
  <c r="Q362" i="6" s="1"/>
  <c r="P282" i="6"/>
  <c r="Q282" i="6" s="1"/>
  <c r="P345" i="6"/>
  <c r="Q345" i="6" s="1"/>
  <c r="P8" i="6"/>
  <c r="Q8" i="6" s="1"/>
  <c r="P88" i="6"/>
  <c r="Q88" i="6" s="1"/>
  <c r="P216" i="6"/>
  <c r="Q216" i="6" s="1"/>
  <c r="K12" i="6"/>
  <c r="P12" i="6"/>
  <c r="Q12" i="6" s="1"/>
  <c r="P75" i="6"/>
  <c r="Q75" i="6" s="1"/>
  <c r="P108" i="6"/>
  <c r="Q108" i="6" s="1"/>
  <c r="P150" i="6"/>
  <c r="Q150" i="6" s="1"/>
  <c r="P116" i="6"/>
  <c r="Q116" i="6" s="1"/>
  <c r="P158" i="6"/>
  <c r="Q158" i="6" s="1"/>
  <c r="K155" i="6"/>
  <c r="P155" i="6"/>
  <c r="Q155" i="6" s="1"/>
  <c r="K222" i="6"/>
  <c r="P222" i="6"/>
  <c r="Q222" i="6" s="1"/>
  <c r="P371" i="6"/>
  <c r="Q371" i="6" s="1"/>
  <c r="P137" i="6"/>
  <c r="Q137" i="6" s="1"/>
  <c r="K220" i="6"/>
  <c r="P220" i="6"/>
  <c r="Q220" i="6" s="1"/>
  <c r="P401" i="6"/>
  <c r="Q401" i="6" s="1"/>
  <c r="K34" i="6"/>
  <c r="P34" i="6"/>
  <c r="Q34" i="6" s="1"/>
  <c r="K54" i="6"/>
  <c r="P54" i="6"/>
  <c r="Q54" i="6" s="1"/>
  <c r="K207" i="6"/>
  <c r="P207" i="6"/>
  <c r="Q207" i="6" s="1"/>
  <c r="P139" i="6"/>
  <c r="Q139" i="6" s="1"/>
  <c r="P305" i="6"/>
  <c r="Q305" i="6" s="1"/>
  <c r="K334" i="6"/>
  <c r="P334" i="6"/>
  <c r="Q334" i="6" s="1"/>
  <c r="P273" i="6"/>
  <c r="Q273" i="6" s="1"/>
  <c r="K232" i="6"/>
  <c r="P232" i="6"/>
  <c r="Q232" i="6" s="1"/>
  <c r="P373" i="6"/>
  <c r="Q373" i="6" s="1"/>
  <c r="P350" i="6"/>
  <c r="Q350" i="6" s="1"/>
  <c r="P163" i="6"/>
  <c r="Q163" i="6" s="1"/>
  <c r="P364" i="6"/>
  <c r="Q364" i="6" s="1"/>
  <c r="P183" i="6"/>
  <c r="Q183" i="6" s="1"/>
  <c r="P18" i="6"/>
  <c r="Q18" i="6" s="1"/>
  <c r="P159" i="6"/>
  <c r="Q159" i="6" s="1"/>
  <c r="P391" i="6"/>
  <c r="Q391" i="6" s="1"/>
  <c r="P339" i="6"/>
  <c r="Q339" i="6" s="1"/>
  <c r="P19" i="6"/>
  <c r="Q19" i="6" s="1"/>
  <c r="P103" i="6"/>
  <c r="Q103" i="6" s="1"/>
  <c r="P392" i="6"/>
  <c r="Q392" i="6" s="1"/>
  <c r="P331" i="6"/>
  <c r="Q331" i="6" s="1"/>
  <c r="P341" i="6"/>
  <c r="Q341" i="6" s="1"/>
  <c r="P231" i="6"/>
  <c r="Q231" i="6" s="1"/>
  <c r="P354" i="6"/>
  <c r="Q354" i="6" s="1"/>
  <c r="K261" i="6"/>
  <c r="P261" i="6"/>
  <c r="Q261" i="6" s="1"/>
  <c r="K105" i="6"/>
  <c r="P105" i="6"/>
  <c r="Q105" i="6" s="1"/>
  <c r="K80" i="6"/>
  <c r="P80" i="6"/>
  <c r="Q80" i="6" s="1"/>
  <c r="K313" i="6"/>
  <c r="P313" i="6"/>
  <c r="Q313" i="6" s="1"/>
  <c r="P246" i="6"/>
  <c r="Q246" i="6" s="1"/>
  <c r="P380" i="6"/>
  <c r="Q380" i="6" s="1"/>
  <c r="K383" i="6"/>
  <c r="P383" i="6"/>
  <c r="Q383" i="6" s="1"/>
  <c r="K60" i="6"/>
  <c r="P60" i="6"/>
  <c r="Q60" i="6" s="1"/>
  <c r="K194" i="6"/>
  <c r="P194" i="6"/>
  <c r="Q194" i="6" s="1"/>
  <c r="K344" i="6"/>
  <c r="P344" i="6"/>
  <c r="Q344" i="6" s="1"/>
  <c r="K26" i="6"/>
  <c r="P26" i="6"/>
  <c r="Q26" i="6" s="1"/>
  <c r="K13" i="6"/>
  <c r="P13" i="6"/>
  <c r="Q13" i="6" s="1"/>
  <c r="P123" i="6"/>
  <c r="Q123" i="6" s="1"/>
  <c r="P386" i="6"/>
  <c r="Q386" i="6" s="1"/>
  <c r="K270" i="6"/>
  <c r="P270" i="6"/>
  <c r="Q270" i="6" s="1"/>
  <c r="P272" i="6"/>
  <c r="Q272" i="6" s="1"/>
  <c r="P329" i="6"/>
  <c r="Q329" i="6" s="1"/>
  <c r="P307" i="6"/>
  <c r="Q307" i="6" s="1"/>
  <c r="P338" i="6"/>
  <c r="Q338" i="6" s="1"/>
  <c r="K70" i="6"/>
  <c r="P70" i="6"/>
  <c r="Q70" i="6" s="1"/>
  <c r="K44" i="6"/>
  <c r="P44" i="6"/>
  <c r="Q44" i="6" s="1"/>
  <c r="K175" i="6"/>
  <c r="P175" i="6"/>
  <c r="Q175" i="6" s="1"/>
  <c r="K61" i="6"/>
  <c r="P61" i="6"/>
  <c r="Q61" i="6" s="1"/>
  <c r="K321" i="6"/>
  <c r="P321" i="6"/>
  <c r="Q321" i="6" s="1"/>
  <c r="P198" i="6"/>
  <c r="Q198" i="6" s="1"/>
  <c r="P312" i="6"/>
  <c r="Q312" i="6" s="1"/>
  <c r="P304" i="6"/>
  <c r="Q304" i="6" s="1"/>
  <c r="P2" i="6"/>
  <c r="Q2" i="6" s="1"/>
  <c r="K189" i="6"/>
  <c r="K286" i="6"/>
  <c r="K257" i="6"/>
  <c r="K384" i="6"/>
  <c r="K40" i="6"/>
  <c r="K359" i="6"/>
  <c r="K118" i="6"/>
  <c r="K120" i="6"/>
  <c r="K282" i="6"/>
  <c r="K8" i="6"/>
  <c r="K88" i="6"/>
  <c r="K216" i="6"/>
  <c r="K108" i="6"/>
  <c r="K150" i="6"/>
  <c r="K158" i="6"/>
  <c r="K177" i="6"/>
  <c r="K371" i="6"/>
  <c r="K137" i="6"/>
  <c r="K273" i="6"/>
  <c r="K364" i="6"/>
  <c r="K183" i="6"/>
  <c r="K18" i="6"/>
  <c r="K391" i="6"/>
  <c r="K339" i="6"/>
  <c r="K341" i="6"/>
  <c r="K159" i="6"/>
  <c r="K389" i="6"/>
  <c r="K274" i="6"/>
  <c r="K191" i="6"/>
  <c r="K103" i="6"/>
  <c r="K262" i="6"/>
  <c r="K65" i="6"/>
  <c r="K205" i="6"/>
  <c r="K23" i="6"/>
  <c r="K101" i="6"/>
  <c r="K337" i="6"/>
  <c r="K179" i="6"/>
  <c r="K400" i="6"/>
  <c r="K31" i="6"/>
  <c r="K147" i="6"/>
  <c r="K138" i="6"/>
  <c r="K2" i="6"/>
  <c r="K11" i="6"/>
  <c r="K234" i="6"/>
  <c r="K190" i="6"/>
  <c r="K254" i="6"/>
  <c r="K69" i="6"/>
  <c r="K251" i="6"/>
  <c r="K113" i="6"/>
  <c r="K180" i="6"/>
  <c r="K322" i="6"/>
  <c r="K219" i="6"/>
  <c r="K396" i="6"/>
  <c r="K374" i="6"/>
  <c r="K278" i="6"/>
  <c r="K227" i="6"/>
  <c r="K17" i="6"/>
  <c r="K356" i="6"/>
  <c r="K200" i="6"/>
  <c r="K187" i="6"/>
  <c r="K154" i="6"/>
  <c r="K318" i="6"/>
  <c r="K100" i="6"/>
  <c r="K167" i="6"/>
  <c r="K148" i="6"/>
  <c r="K129" i="6"/>
  <c r="K161" i="6"/>
  <c r="K394" i="6"/>
  <c r="K20" i="6"/>
  <c r="K320" i="6"/>
  <c r="K209" i="6"/>
  <c r="K78" i="6"/>
  <c r="K111" i="6"/>
  <c r="K266" i="6"/>
  <c r="K169" i="6"/>
  <c r="K283" i="6"/>
  <c r="K164" i="6"/>
  <c r="K343" i="6"/>
  <c r="K291" i="6"/>
  <c r="K132" i="6"/>
  <c r="K328" i="6"/>
  <c r="K255" i="6"/>
  <c r="K77" i="6"/>
  <c r="K241" i="6"/>
  <c r="K134" i="6"/>
  <c r="K223" i="6"/>
  <c r="K248" i="6"/>
  <c r="K141" i="6"/>
  <c r="K303" i="6"/>
  <c r="K265" i="6"/>
  <c r="K109" i="6"/>
  <c r="K32" i="6"/>
  <c r="K162" i="6"/>
  <c r="K245" i="6"/>
  <c r="K112" i="6"/>
  <c r="K398" i="6"/>
  <c r="K203" i="6"/>
  <c r="K174" i="6"/>
  <c r="K28" i="6"/>
  <c r="K342" i="6"/>
  <c r="K387" i="6"/>
  <c r="K288" i="6"/>
  <c r="K260" i="6"/>
  <c r="K372" i="6"/>
  <c r="K51" i="6"/>
  <c r="K84" i="6"/>
  <c r="K239" i="6"/>
  <c r="K365" i="6"/>
  <c r="K195" i="6"/>
  <c r="K157" i="6"/>
  <c r="K48" i="6"/>
  <c r="K163" i="6"/>
  <c r="K392" i="6"/>
  <c r="K212" i="6"/>
  <c r="K324" i="6"/>
  <c r="K298" i="6"/>
  <c r="K370" i="6"/>
  <c r="K98" i="6"/>
  <c r="K300" i="6"/>
  <c r="K269" i="6"/>
  <c r="K268" i="6"/>
  <c r="K43" i="6"/>
  <c r="K83" i="6"/>
  <c r="K106" i="6"/>
  <c r="K333" i="6"/>
  <c r="K145" i="6"/>
  <c r="K199" i="6"/>
  <c r="K104" i="6"/>
  <c r="K332" i="6"/>
  <c r="K125" i="6"/>
  <c r="K358" i="6"/>
  <c r="K156" i="6"/>
  <c r="K361" i="6"/>
  <c r="K315" i="6"/>
  <c r="K90" i="6"/>
  <c r="K353" i="6"/>
  <c r="K369" i="6"/>
  <c r="K397" i="6"/>
  <c r="K375" i="6"/>
  <c r="K258" i="6"/>
  <c r="K323" i="6"/>
  <c r="K340" i="6"/>
  <c r="K393" i="6"/>
  <c r="K242" i="6"/>
  <c r="K14" i="6"/>
  <c r="K143" i="6"/>
  <c r="K188" i="6"/>
  <c r="K235" i="6"/>
  <c r="K176" i="6"/>
  <c r="K128" i="6"/>
  <c r="K346" i="6"/>
  <c r="K297" i="6"/>
  <c r="K377" i="6"/>
  <c r="K238" i="6"/>
  <c r="K362" i="6"/>
  <c r="K305" i="6"/>
  <c r="K19" i="6"/>
  <c r="K386" i="6"/>
  <c r="K72" i="6"/>
  <c r="K41" i="6"/>
  <c r="K89" i="6"/>
  <c r="K330" i="6"/>
  <c r="K50" i="6"/>
  <c r="K91" i="6"/>
  <c r="K37" i="6"/>
  <c r="K243" i="6"/>
  <c r="K390" i="6"/>
  <c r="K130" i="6"/>
  <c r="K310" i="6"/>
  <c r="K214" i="6"/>
  <c r="K133" i="6"/>
  <c r="K366" i="6"/>
  <c r="K325" i="6"/>
  <c r="K253" i="6"/>
  <c r="K252" i="6"/>
  <c r="K382" i="6"/>
  <c r="K142" i="6"/>
  <c r="K233" i="6"/>
  <c r="K56" i="6"/>
  <c r="K380" i="6"/>
  <c r="K399" i="6"/>
  <c r="K16" i="6"/>
  <c r="K99" i="6"/>
  <c r="K314" i="6"/>
  <c r="K276" i="6"/>
  <c r="K202" i="6"/>
  <c r="K247" i="6"/>
  <c r="K211" i="6"/>
  <c r="K184" i="6"/>
  <c r="K351" i="6"/>
  <c r="K121" i="6"/>
  <c r="K230" i="6"/>
  <c r="K327" i="6"/>
  <c r="K237" i="6"/>
  <c r="K92" i="6"/>
  <c r="K354" i="6"/>
  <c r="K307" i="6"/>
  <c r="K256" i="6"/>
  <c r="K217" i="6"/>
  <c r="K206" i="6"/>
  <c r="K42" i="6"/>
  <c r="K114" i="6"/>
  <c r="K59" i="6"/>
  <c r="K336" i="6"/>
  <c r="K146" i="6"/>
  <c r="K249" i="6"/>
  <c r="K229" i="6"/>
  <c r="K68" i="6"/>
  <c r="K302" i="6"/>
  <c r="K373" i="6"/>
  <c r="K338" i="6"/>
  <c r="K312" i="6"/>
  <c r="K7" i="6"/>
  <c r="K275" i="6"/>
  <c r="K284" i="6"/>
  <c r="K67" i="6"/>
  <c r="K74" i="6"/>
  <c r="K71" i="6"/>
  <c r="K221" i="6"/>
  <c r="K301" i="6"/>
  <c r="K25" i="6"/>
  <c r="K368" i="6"/>
  <c r="K348" i="6"/>
  <c r="K263" i="6"/>
  <c r="K93" i="6"/>
  <c r="K246" i="6"/>
  <c r="K123" i="6"/>
  <c r="K107" i="6"/>
  <c r="K173" i="6"/>
  <c r="K306" i="6"/>
  <c r="K379" i="6"/>
  <c r="K117" i="6"/>
  <c r="K376" i="6"/>
  <c r="K27" i="6"/>
  <c r="K110" i="6"/>
  <c r="K204" i="6"/>
  <c r="K171" i="6"/>
  <c r="K316" i="6"/>
  <c r="K277" i="6"/>
  <c r="K259" i="6"/>
  <c r="K271" i="6"/>
  <c r="K193" i="6"/>
  <c r="K228" i="6"/>
  <c r="K197" i="6"/>
  <c r="K345" i="6"/>
  <c r="K116" i="6"/>
  <c r="K401" i="6"/>
  <c r="K36" i="6"/>
  <c r="K198" i="6"/>
  <c r="K355" i="6"/>
  <c r="K35" i="6"/>
  <c r="K208" i="6"/>
  <c r="K136" i="6"/>
  <c r="K64" i="6"/>
  <c r="K279" i="6"/>
  <c r="K22" i="6"/>
  <c r="K135" i="6"/>
  <c r="K201" i="6"/>
  <c r="K6" i="6"/>
  <c r="K367" i="6"/>
  <c r="K363" i="6"/>
  <c r="K289" i="6"/>
  <c r="K352" i="6"/>
  <c r="K349" i="6"/>
  <c r="K385" i="6"/>
  <c r="K350" i="6"/>
  <c r="K231" i="6"/>
  <c r="K272" i="6"/>
  <c r="K304" i="6"/>
  <c r="K215" i="6"/>
  <c r="K149" i="6"/>
  <c r="K152" i="6"/>
  <c r="K192" i="6"/>
  <c r="K319" i="6"/>
  <c r="K102" i="6"/>
  <c r="K378" i="6"/>
  <c r="K49" i="6"/>
  <c r="K218" i="6"/>
  <c r="K76" i="6"/>
  <c r="K47" i="6"/>
  <c r="K317" i="6"/>
  <c r="K75" i="6"/>
  <c r="K139" i="6"/>
  <c r="K33" i="6"/>
  <c r="K331" i="6"/>
  <c r="K329" i="6"/>
  <c r="K29" i="6"/>
  <c r="K3" i="6"/>
  <c r="K299" i="6"/>
  <c r="K287" i="6"/>
  <c r="K86" i="6"/>
  <c r="K185" i="6"/>
  <c r="K115" i="6"/>
  <c r="K57" i="6"/>
  <c r="K326" i="6"/>
  <c r="K250" i="6"/>
  <c r="K308" i="6"/>
  <c r="K347" i="6"/>
  <c r="R13" i="6" l="1"/>
  <c r="R112" i="6"/>
  <c r="R217" i="6"/>
  <c r="R384" i="6"/>
  <c r="R250" i="6"/>
  <c r="R76" i="6"/>
  <c r="R204" i="6"/>
  <c r="R67" i="6"/>
  <c r="R183" i="6"/>
  <c r="R34" i="6"/>
  <c r="R12" i="6"/>
  <c r="R157" i="6"/>
  <c r="R28" i="6"/>
  <c r="R200" i="6"/>
  <c r="R83" i="6"/>
  <c r="R15" i="6"/>
  <c r="R46" i="6"/>
  <c r="R242" i="6"/>
  <c r="R254" i="6"/>
  <c r="R47" i="6"/>
  <c r="R315" i="6"/>
  <c r="R324" i="6"/>
  <c r="R379" i="6"/>
  <c r="R377" i="6"/>
  <c r="R240" i="6"/>
  <c r="R314" i="6"/>
  <c r="R395" i="6"/>
  <c r="R210" i="6"/>
  <c r="R4" i="6"/>
  <c r="R133" i="6"/>
  <c r="R104" i="6"/>
  <c r="R162" i="6"/>
  <c r="R125" i="6"/>
  <c r="R111" i="6"/>
  <c r="R358" i="6"/>
  <c r="R79" i="6"/>
  <c r="R163" i="6"/>
  <c r="R401" i="6"/>
  <c r="R216" i="6"/>
  <c r="R318" i="6"/>
  <c r="R226" i="6"/>
  <c r="R335" i="6"/>
  <c r="R77" i="6"/>
  <c r="R326" i="6"/>
  <c r="R190" i="6"/>
  <c r="R397" i="6"/>
  <c r="R369" i="6"/>
  <c r="R368" i="6"/>
  <c r="R229" i="6"/>
  <c r="R230" i="6"/>
  <c r="R186" i="6"/>
  <c r="R14" i="6"/>
  <c r="R82" i="6"/>
  <c r="R161" i="6"/>
  <c r="R184" i="6"/>
  <c r="R109" i="6"/>
  <c r="R27" i="6"/>
  <c r="R146" i="6"/>
  <c r="R342" i="6"/>
  <c r="R175" i="6"/>
  <c r="R122" i="6"/>
  <c r="R393" i="6"/>
  <c r="R11" i="6"/>
  <c r="R152" i="6"/>
  <c r="R306" i="6"/>
  <c r="R44" i="6"/>
  <c r="R344" i="6"/>
  <c r="R261" i="6"/>
  <c r="R350" i="6"/>
  <c r="R220" i="6"/>
  <c r="R88" i="6"/>
  <c r="R228" i="6"/>
  <c r="R271" i="6"/>
  <c r="R43" i="6"/>
  <c r="R268" i="6"/>
  <c r="R255" i="6"/>
  <c r="R115" i="6"/>
  <c r="R164" i="6"/>
  <c r="R218" i="6"/>
  <c r="R289" i="6"/>
  <c r="R169" i="6"/>
  <c r="R266" i="6"/>
  <c r="R400" i="6"/>
  <c r="R249" i="6"/>
  <c r="R53" i="6"/>
  <c r="R87" i="6"/>
  <c r="R45" i="6"/>
  <c r="R91" i="6"/>
  <c r="R205" i="6"/>
  <c r="R106" i="6"/>
  <c r="R117" i="6"/>
  <c r="R209" i="6"/>
  <c r="R189" i="6"/>
  <c r="R199" i="6"/>
  <c r="R373" i="6"/>
  <c r="R8" i="6"/>
  <c r="R372" i="6"/>
  <c r="R52" i="6"/>
  <c r="R140" i="6"/>
  <c r="R170" i="6"/>
  <c r="R58" i="6"/>
  <c r="R165" i="6"/>
  <c r="R309" i="6"/>
  <c r="R113" i="6"/>
  <c r="R299" i="6"/>
  <c r="R181" i="6"/>
  <c r="R363" i="6"/>
  <c r="R160" i="6"/>
  <c r="R144" i="6"/>
  <c r="R292" i="6"/>
  <c r="R381" i="6"/>
  <c r="R66" i="6"/>
  <c r="R151" i="6"/>
  <c r="R50" i="6"/>
  <c r="R143" i="6"/>
  <c r="R141" i="6"/>
  <c r="R173" i="6"/>
  <c r="R336" i="6"/>
  <c r="R9" i="6"/>
  <c r="R110" i="6"/>
  <c r="R70" i="6"/>
  <c r="R194" i="6"/>
  <c r="R354" i="6"/>
  <c r="R232" i="6"/>
  <c r="R137" i="6"/>
  <c r="R345" i="6"/>
  <c r="R233" i="6"/>
  <c r="R168" i="6"/>
  <c r="R340" i="6"/>
  <c r="R367" i="6"/>
  <c r="R351" i="6"/>
  <c r="R382" i="6"/>
  <c r="R275" i="6"/>
  <c r="R89" i="6"/>
  <c r="R130" i="6"/>
  <c r="R57" i="6"/>
  <c r="R90" i="6"/>
  <c r="R59" i="6"/>
  <c r="R78" i="6"/>
  <c r="R231" i="6"/>
  <c r="R371" i="6"/>
  <c r="R282" i="6"/>
  <c r="R260" i="6"/>
  <c r="R68" i="6"/>
  <c r="R118" i="6"/>
  <c r="R248" i="6"/>
  <c r="R374" i="6"/>
  <c r="R196" i="6"/>
  <c r="R322" i="6"/>
  <c r="R3" i="6"/>
  <c r="R49" i="6"/>
  <c r="R389" i="6"/>
  <c r="R31" i="6"/>
  <c r="R178" i="6"/>
  <c r="R285" i="6"/>
  <c r="R224" i="6"/>
  <c r="R5" i="6"/>
  <c r="R252" i="6"/>
  <c r="R330" i="6"/>
  <c r="R355" i="6"/>
  <c r="R236" i="6"/>
  <c r="R148" i="6"/>
  <c r="R37" i="6"/>
  <c r="R86" i="6"/>
  <c r="R25" i="6"/>
  <c r="R128" i="6"/>
  <c r="R80" i="6"/>
  <c r="R370" i="6"/>
  <c r="R214" i="6"/>
  <c r="R338" i="6"/>
  <c r="R60" i="6"/>
  <c r="R341" i="6"/>
  <c r="R273" i="6"/>
  <c r="R222" i="6"/>
  <c r="R362" i="6"/>
  <c r="R288" i="6"/>
  <c r="R237" i="6"/>
  <c r="R17" i="6"/>
  <c r="R294" i="6"/>
  <c r="R269" i="6"/>
  <c r="R274" i="6"/>
  <c r="R185" i="6"/>
  <c r="R323" i="6"/>
  <c r="R283" i="6"/>
  <c r="R138" i="6"/>
  <c r="R361" i="6"/>
  <c r="R253" i="6"/>
  <c r="R172" i="6"/>
  <c r="R256" i="6"/>
  <c r="R72" i="6"/>
  <c r="R129" i="6"/>
  <c r="R192" i="6"/>
  <c r="R179" i="6"/>
  <c r="R114" i="6"/>
  <c r="R51" i="6"/>
  <c r="R99" i="6"/>
  <c r="R356" i="6"/>
  <c r="R297" i="6"/>
  <c r="R307" i="6"/>
  <c r="R331" i="6"/>
  <c r="R334" i="6"/>
  <c r="R263" i="6"/>
  <c r="R348" i="6"/>
  <c r="R154" i="6"/>
  <c r="R227" i="6"/>
  <c r="R259" i="6"/>
  <c r="R73" i="6"/>
  <c r="R180" i="6"/>
  <c r="R39" i="6"/>
  <c r="R234" i="6"/>
  <c r="R378" i="6"/>
  <c r="R280" i="6"/>
  <c r="R279" i="6"/>
  <c r="R353" i="6"/>
  <c r="R332" i="6"/>
  <c r="R346" i="6"/>
  <c r="R94" i="6"/>
  <c r="R325" i="6"/>
  <c r="R244" i="6"/>
  <c r="R131" i="6"/>
  <c r="R7" i="6"/>
  <c r="R41" i="6"/>
  <c r="R22" i="6"/>
  <c r="R221" i="6"/>
  <c r="R212" i="6"/>
  <c r="R75" i="6"/>
  <c r="R276" i="6"/>
  <c r="R26" i="6"/>
  <c r="R124" i="6"/>
  <c r="R329" i="6"/>
  <c r="R383" i="6"/>
  <c r="R392" i="6"/>
  <c r="R155" i="6"/>
  <c r="R365" i="6"/>
  <c r="R191" i="6"/>
  <c r="R349" i="6"/>
  <c r="R142" i="6"/>
  <c r="R267" i="6"/>
  <c r="R134" i="6"/>
  <c r="R328" i="6"/>
  <c r="R258" i="6"/>
  <c r="R102" i="6"/>
  <c r="R360" i="6"/>
  <c r="R376" i="6"/>
  <c r="R301" i="6"/>
  <c r="R97" i="6"/>
  <c r="R366" i="6"/>
  <c r="R284" i="6"/>
  <c r="R29" i="6"/>
  <c r="R16" i="6"/>
  <c r="R64" i="6"/>
  <c r="R337" i="6"/>
  <c r="R176" i="6"/>
  <c r="R18" i="6"/>
  <c r="R364" i="6"/>
  <c r="R281" i="6"/>
  <c r="R287" i="6"/>
  <c r="R24" i="6"/>
  <c r="R304" i="6"/>
  <c r="R272" i="6"/>
  <c r="R103" i="6"/>
  <c r="R305" i="6"/>
  <c r="R197" i="6"/>
  <c r="R385" i="6"/>
  <c r="R296" i="6"/>
  <c r="R333" i="6"/>
  <c r="R300" i="6"/>
  <c r="R396" i="6"/>
  <c r="R132" i="6"/>
  <c r="R251" i="6"/>
  <c r="R317" i="6"/>
  <c r="R319" i="6"/>
  <c r="R147" i="6"/>
  <c r="R357" i="6"/>
  <c r="R55" i="6"/>
  <c r="R247" i="6"/>
  <c r="R394" i="6"/>
  <c r="R166" i="6"/>
  <c r="R107" i="6"/>
  <c r="R121" i="6"/>
  <c r="R56" i="6"/>
  <c r="R149" i="6"/>
  <c r="R136" i="6"/>
  <c r="R71" i="6"/>
  <c r="R42" i="6"/>
  <c r="R135" i="6"/>
  <c r="R312" i="6"/>
  <c r="R270" i="6"/>
  <c r="R380" i="6"/>
  <c r="R19" i="6"/>
  <c r="R139" i="6"/>
  <c r="R158" i="6"/>
  <c r="R239" i="6"/>
  <c r="R100" i="6"/>
  <c r="R265" i="6"/>
  <c r="R352" i="6"/>
  <c r="R241" i="6"/>
  <c r="R96" i="6"/>
  <c r="R291" i="6"/>
  <c r="R81" i="6"/>
  <c r="R286" i="6"/>
  <c r="R30" i="6"/>
  <c r="R6" i="6"/>
  <c r="R238" i="6"/>
  <c r="R235" i="6"/>
  <c r="R119" i="6"/>
  <c r="R310" i="6"/>
  <c r="R127" i="6"/>
  <c r="R211" i="6"/>
  <c r="R36" i="6"/>
  <c r="R215" i="6"/>
  <c r="R208" i="6"/>
  <c r="R74" i="6"/>
  <c r="R206" i="6"/>
  <c r="R61" i="6"/>
  <c r="R182" i="6"/>
  <c r="R105" i="6"/>
  <c r="R198" i="6"/>
  <c r="R246" i="6"/>
  <c r="R339" i="6"/>
  <c r="R207" i="6"/>
  <c r="R116" i="6"/>
  <c r="R48" i="6"/>
  <c r="R387" i="6"/>
  <c r="R187" i="6"/>
  <c r="R278" i="6"/>
  <c r="R290" i="6"/>
  <c r="R359" i="6"/>
  <c r="R343" i="6"/>
  <c r="R375" i="6"/>
  <c r="R225" i="6"/>
  <c r="R277" i="6"/>
  <c r="R62" i="6"/>
  <c r="R63" i="6"/>
  <c r="R213" i="6"/>
  <c r="R126" i="6"/>
  <c r="R295" i="6"/>
  <c r="R65" i="6"/>
  <c r="R33" i="6"/>
  <c r="R93" i="6"/>
  <c r="R35" i="6"/>
  <c r="R145" i="6"/>
  <c r="R188" i="6"/>
  <c r="R245" i="6"/>
  <c r="R327" i="6"/>
  <c r="R311" i="6"/>
  <c r="R32" i="6"/>
  <c r="R321" i="6"/>
  <c r="R386" i="6"/>
  <c r="R313" i="6"/>
  <c r="R391" i="6"/>
  <c r="R150" i="6"/>
  <c r="R167" i="6"/>
  <c r="R195" i="6"/>
  <c r="R398" i="6"/>
  <c r="R303" i="6"/>
  <c r="R40" i="6"/>
  <c r="R257" i="6"/>
  <c r="R347" i="6"/>
  <c r="R69" i="6"/>
  <c r="R21" i="6"/>
  <c r="R264" i="6"/>
  <c r="R316" i="6"/>
  <c r="R95" i="6"/>
  <c r="R399" i="6"/>
  <c r="R202" i="6"/>
  <c r="R92" i="6"/>
  <c r="R177" i="6"/>
  <c r="R156" i="6"/>
  <c r="R101" i="6"/>
  <c r="R20" i="6"/>
  <c r="R243" i="6"/>
  <c r="R174" i="6"/>
  <c r="R123" i="6"/>
  <c r="R159" i="6"/>
  <c r="R54" i="6"/>
  <c r="R108" i="6"/>
  <c r="R84" i="6"/>
  <c r="R302" i="6"/>
  <c r="R120" i="6"/>
  <c r="R85" i="6"/>
  <c r="R223" i="6"/>
  <c r="R98" i="6"/>
  <c r="R219" i="6"/>
  <c r="R308" i="6"/>
  <c r="R293" i="6"/>
  <c r="R201" i="6"/>
  <c r="R298" i="6"/>
  <c r="R153" i="6"/>
  <c r="R38" i="6"/>
  <c r="R320" i="6"/>
  <c r="R390" i="6"/>
  <c r="R388" i="6"/>
  <c r="R10" i="6"/>
  <c r="R262" i="6"/>
  <c r="R193" i="6"/>
  <c r="R203" i="6"/>
  <c r="R171" i="6"/>
  <c r="R23" i="6"/>
  <c r="R2" i="6"/>
  <c r="E11" i="7" l="1"/>
  <c r="G11" i="7"/>
  <c r="G20" i="7"/>
  <c r="E12" i="7"/>
  <c r="E13" i="7"/>
  <c r="E14" i="7"/>
  <c r="E18" i="7"/>
  <c r="E15" i="7"/>
  <c r="E17" i="7"/>
  <c r="E16" i="7"/>
  <c r="E19" i="7"/>
  <c r="E20" i="7"/>
  <c r="G19" i="7"/>
  <c r="F19" i="7"/>
  <c r="F20" i="7"/>
  <c r="D19" i="7"/>
  <c r="D20" i="7"/>
  <c r="C19" i="7"/>
  <c r="C20" i="7"/>
  <c r="B19" i="7"/>
  <c r="B20" i="7"/>
  <c r="G12" i="7"/>
  <c r="G13" i="7"/>
  <c r="G14" i="7"/>
  <c r="G15" i="7"/>
  <c r="G16" i="7"/>
  <c r="G17" i="7"/>
  <c r="G18" i="7"/>
  <c r="F12" i="7"/>
  <c r="F13" i="7"/>
  <c r="F14" i="7"/>
  <c r="F15" i="7"/>
  <c r="F16" i="7"/>
  <c r="F17" i="7"/>
  <c r="F18" i="7"/>
  <c r="F11" i="7"/>
  <c r="D11" i="7"/>
  <c r="D12" i="7"/>
  <c r="D13" i="7"/>
  <c r="D14" i="7"/>
  <c r="D15" i="7"/>
  <c r="D16" i="7"/>
  <c r="D17" i="7"/>
  <c r="D18" i="7"/>
  <c r="C11" i="7"/>
  <c r="C12" i="7"/>
  <c r="C13" i="7"/>
  <c r="C14" i="7"/>
  <c r="C15" i="7"/>
  <c r="C16" i="7"/>
  <c r="C17" i="7"/>
  <c r="C18" i="7"/>
  <c r="B11" i="7"/>
  <c r="B12" i="7"/>
  <c r="B13" i="7"/>
  <c r="B14" i="7"/>
  <c r="B15" i="7"/>
  <c r="B16" i="7"/>
  <c r="B17" i="7"/>
  <c r="B18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<sst xmlns="http://schemas.openxmlformats.org/spreadsheetml/2006/main" count="2345" uniqueCount="495">
  <si>
    <t xml:space="preserve"> Vendor_ID</t>
  </si>
  <si>
    <t>Vendor_Name</t>
  </si>
  <si>
    <t>Vendor_Category</t>
  </si>
  <si>
    <t>Region</t>
  </si>
  <si>
    <t>Annual_Spend</t>
  </si>
  <si>
    <t>Contract_Start_Date</t>
  </si>
  <si>
    <t>Primary_Contact_Email</t>
  </si>
  <si>
    <t>VND-001</t>
  </si>
  <si>
    <t>VND-002</t>
  </si>
  <si>
    <t>VND-003</t>
  </si>
  <si>
    <t>VND-004</t>
  </si>
  <si>
    <t>VND-005</t>
  </si>
  <si>
    <t>VND-006</t>
  </si>
  <si>
    <t>VND-007</t>
  </si>
  <si>
    <t>VND-008</t>
  </si>
  <si>
    <t>VND-009</t>
  </si>
  <si>
    <t>VND-010</t>
  </si>
  <si>
    <t>VND-011</t>
  </si>
  <si>
    <t>VND-012</t>
  </si>
  <si>
    <t>VND-013</t>
  </si>
  <si>
    <t>VND-014</t>
  </si>
  <si>
    <t>VND-015</t>
  </si>
  <si>
    <t>VND-016</t>
  </si>
  <si>
    <t>VND-017</t>
  </si>
  <si>
    <t>VND-018</t>
  </si>
  <si>
    <t>VND-019</t>
  </si>
  <si>
    <t>VND-020</t>
  </si>
  <si>
    <t>VND-021</t>
  </si>
  <si>
    <t>VND-022</t>
  </si>
  <si>
    <t>VND-023</t>
  </si>
  <si>
    <t>VND-024</t>
  </si>
  <si>
    <t>VND-025</t>
  </si>
  <si>
    <t>VND-026</t>
  </si>
  <si>
    <t>VND-027</t>
  </si>
  <si>
    <t>VND-028</t>
  </si>
  <si>
    <t>VND-029</t>
  </si>
  <si>
    <t>VND-030</t>
  </si>
  <si>
    <t>VND-031</t>
  </si>
  <si>
    <t>VND-032</t>
  </si>
  <si>
    <t>VND-033</t>
  </si>
  <si>
    <t>VND-034</t>
  </si>
  <si>
    <t>VND-035</t>
  </si>
  <si>
    <t>VND-036</t>
  </si>
  <si>
    <t>VND-037</t>
  </si>
  <si>
    <t>VND-038</t>
  </si>
  <si>
    <t>VND-039</t>
  </si>
  <si>
    <t>VND-040</t>
  </si>
  <si>
    <t>VND-041</t>
  </si>
  <si>
    <t>VND-042</t>
  </si>
  <si>
    <t>VND-043</t>
  </si>
  <si>
    <t>VND-044</t>
  </si>
  <si>
    <t>VND-045</t>
  </si>
  <si>
    <t>VND-046</t>
  </si>
  <si>
    <t>VND-047</t>
  </si>
  <si>
    <t>VND-048</t>
  </si>
  <si>
    <t>VND-049</t>
  </si>
  <si>
    <t>VND-050</t>
  </si>
  <si>
    <t>VND-051</t>
  </si>
  <si>
    <t>VND-052</t>
  </si>
  <si>
    <t>VND-053</t>
  </si>
  <si>
    <t>VND-054</t>
  </si>
  <si>
    <t>VND-055</t>
  </si>
  <si>
    <t>VND-056</t>
  </si>
  <si>
    <t>VND-057</t>
  </si>
  <si>
    <t>VND-058</t>
  </si>
  <si>
    <t>VND-059</t>
  </si>
  <si>
    <t>VND-060</t>
  </si>
  <si>
    <t>VND-061</t>
  </si>
  <si>
    <t>VND-062</t>
  </si>
  <si>
    <t>VND-063</t>
  </si>
  <si>
    <t>VND-064</t>
  </si>
  <si>
    <t>VND-065</t>
  </si>
  <si>
    <t>VND-066</t>
  </si>
  <si>
    <t>VND-067</t>
  </si>
  <si>
    <t>VND-068</t>
  </si>
  <si>
    <t>VND-069</t>
  </si>
  <si>
    <t>VND-070</t>
  </si>
  <si>
    <t>VND-071</t>
  </si>
  <si>
    <t>VND-072</t>
  </si>
  <si>
    <t>VND-073</t>
  </si>
  <si>
    <t>VND-074</t>
  </si>
  <si>
    <t>VND-075</t>
  </si>
  <si>
    <t>VND-076</t>
  </si>
  <si>
    <t>VND-077</t>
  </si>
  <si>
    <t>VND-078</t>
  </si>
  <si>
    <t>VND-079</t>
  </si>
  <si>
    <t>VND-080</t>
  </si>
  <si>
    <t>VND-081</t>
  </si>
  <si>
    <t>VND-082</t>
  </si>
  <si>
    <t>VND-083</t>
  </si>
  <si>
    <t>VND-084</t>
  </si>
  <si>
    <t>VND-085</t>
  </si>
  <si>
    <t>VND-086</t>
  </si>
  <si>
    <t>VND-087</t>
  </si>
  <si>
    <t>VND-088</t>
  </si>
  <si>
    <t>VND-089</t>
  </si>
  <si>
    <t>VND-090</t>
  </si>
  <si>
    <t>VND-091</t>
  </si>
  <si>
    <t>VND-092</t>
  </si>
  <si>
    <t>VND-093</t>
  </si>
  <si>
    <t>VND-094</t>
  </si>
  <si>
    <t>VND-095</t>
  </si>
  <si>
    <t>VND-096</t>
  </si>
  <si>
    <t>VND-097</t>
  </si>
  <si>
    <t>VND-098</t>
  </si>
  <si>
    <t>VND-099</t>
  </si>
  <si>
    <t>VND-100</t>
  </si>
  <si>
    <t>VND-101</t>
  </si>
  <si>
    <t>VND-102</t>
  </si>
  <si>
    <t>VND-103</t>
  </si>
  <si>
    <t>VND-104</t>
  </si>
  <si>
    <t>VND-105</t>
  </si>
  <si>
    <t>VND-106</t>
  </si>
  <si>
    <t>VND-107</t>
  </si>
  <si>
    <t>VND-108</t>
  </si>
  <si>
    <t>VND-109</t>
  </si>
  <si>
    <t>VND-110</t>
  </si>
  <si>
    <t>VND-111</t>
  </si>
  <si>
    <t>VND-112</t>
  </si>
  <si>
    <t>VND-113</t>
  </si>
  <si>
    <t>VND-114</t>
  </si>
  <si>
    <t>VND-115</t>
  </si>
  <si>
    <t>VND-116</t>
  </si>
  <si>
    <t>VND-117</t>
  </si>
  <si>
    <t>VND-118</t>
  </si>
  <si>
    <t>VND-119</t>
  </si>
  <si>
    <t>VND-120</t>
  </si>
  <si>
    <t>VND-121</t>
  </si>
  <si>
    <t>VND-122</t>
  </si>
  <si>
    <t>VND-123</t>
  </si>
  <si>
    <t>VND-124</t>
  </si>
  <si>
    <t>VND-125</t>
  </si>
  <si>
    <t>VND-126</t>
  </si>
  <si>
    <t>VND-127</t>
  </si>
  <si>
    <t>VND-128</t>
  </si>
  <si>
    <t>VND-129</t>
  </si>
  <si>
    <t>VND-130</t>
  </si>
  <si>
    <t>VND-131</t>
  </si>
  <si>
    <t>VND-132</t>
  </si>
  <si>
    <t>VND-133</t>
  </si>
  <si>
    <t>VND-134</t>
  </si>
  <si>
    <t>VND-135</t>
  </si>
  <si>
    <t>VND-136</t>
  </si>
  <si>
    <t>VND-137</t>
  </si>
  <si>
    <t>VND-138</t>
  </si>
  <si>
    <t>VND-139</t>
  </si>
  <si>
    <t>VND-140</t>
  </si>
  <si>
    <t>VND-141</t>
  </si>
  <si>
    <t>VND-142</t>
  </si>
  <si>
    <t>VND-143</t>
  </si>
  <si>
    <t>VND-144</t>
  </si>
  <si>
    <t>VND-145</t>
  </si>
  <si>
    <t>VND-146</t>
  </si>
  <si>
    <t>VND-147</t>
  </si>
  <si>
    <t>VND-148</t>
  </si>
  <si>
    <t>VND-149</t>
  </si>
  <si>
    <t>VND-150</t>
  </si>
  <si>
    <t>VND-151</t>
  </si>
  <si>
    <t>VND-152</t>
  </si>
  <si>
    <t>VND-153</t>
  </si>
  <si>
    <t>VND-154</t>
  </si>
  <si>
    <t>VND-155</t>
  </si>
  <si>
    <t>VND-156</t>
  </si>
  <si>
    <t>VND-157</t>
  </si>
  <si>
    <t>VND-158</t>
  </si>
  <si>
    <t>VND-159</t>
  </si>
  <si>
    <t>VND-160</t>
  </si>
  <si>
    <t>VND-161</t>
  </si>
  <si>
    <t>VND-162</t>
  </si>
  <si>
    <t>VND-163</t>
  </si>
  <si>
    <t>VND-164</t>
  </si>
  <si>
    <t>VND-165</t>
  </si>
  <si>
    <t>VND-166</t>
  </si>
  <si>
    <t>VND-167</t>
  </si>
  <si>
    <t>VND-168</t>
  </si>
  <si>
    <t>VND-169</t>
  </si>
  <si>
    <t>VND-170</t>
  </si>
  <si>
    <t>VND-171</t>
  </si>
  <si>
    <t>VND-172</t>
  </si>
  <si>
    <t>VND-173</t>
  </si>
  <si>
    <t>VND-174</t>
  </si>
  <si>
    <t>VND-175</t>
  </si>
  <si>
    <t>VND-176</t>
  </si>
  <si>
    <t>VND-177</t>
  </si>
  <si>
    <t>VND-178</t>
  </si>
  <si>
    <t>VND-179</t>
  </si>
  <si>
    <t>VND-180</t>
  </si>
  <si>
    <t>VND-181</t>
  </si>
  <si>
    <t>VND-182</t>
  </si>
  <si>
    <t>VND-183</t>
  </si>
  <si>
    <t>VND-184</t>
  </si>
  <si>
    <t>VND-185</t>
  </si>
  <si>
    <t>VND-186</t>
  </si>
  <si>
    <t>VND-187</t>
  </si>
  <si>
    <t>VND-188</t>
  </si>
  <si>
    <t>VND-189</t>
  </si>
  <si>
    <t>VND-190</t>
  </si>
  <si>
    <t>VND-191</t>
  </si>
  <si>
    <t>VND-192</t>
  </si>
  <si>
    <t>VND-193</t>
  </si>
  <si>
    <t>VND-194</t>
  </si>
  <si>
    <t>VND-195</t>
  </si>
  <si>
    <t>VND-196</t>
  </si>
  <si>
    <t>VND-197</t>
  </si>
  <si>
    <t>VND-198</t>
  </si>
  <si>
    <t>VND-199</t>
  </si>
  <si>
    <t>VND-200</t>
  </si>
  <si>
    <t>VND-201</t>
  </si>
  <si>
    <t>VND-202</t>
  </si>
  <si>
    <t>VND-203</t>
  </si>
  <si>
    <t>VND-204</t>
  </si>
  <si>
    <t>VND-205</t>
  </si>
  <si>
    <t>VND-206</t>
  </si>
  <si>
    <t>VND-207</t>
  </si>
  <si>
    <t>VND-208</t>
  </si>
  <si>
    <t>VND-209</t>
  </si>
  <si>
    <t>VND-210</t>
  </si>
  <si>
    <t>VND-211</t>
  </si>
  <si>
    <t>VND-212</t>
  </si>
  <si>
    <t>VND-213</t>
  </si>
  <si>
    <t>VND-214</t>
  </si>
  <si>
    <t>VND-215</t>
  </si>
  <si>
    <t>VND-216</t>
  </si>
  <si>
    <t>VND-217</t>
  </si>
  <si>
    <t>VND-218</t>
  </si>
  <si>
    <t>VND-219</t>
  </si>
  <si>
    <t>VND-220</t>
  </si>
  <si>
    <t>VND-221</t>
  </si>
  <si>
    <t>VND-222</t>
  </si>
  <si>
    <t>VND-223</t>
  </si>
  <si>
    <t>VND-224</t>
  </si>
  <si>
    <t>VND-225</t>
  </si>
  <si>
    <t>VND-226</t>
  </si>
  <si>
    <t>VND-227</t>
  </si>
  <si>
    <t>VND-228</t>
  </si>
  <si>
    <t>VND-229</t>
  </si>
  <si>
    <t>VND-230</t>
  </si>
  <si>
    <t>VND-231</t>
  </si>
  <si>
    <t>VND-232</t>
  </si>
  <si>
    <t>VND-233</t>
  </si>
  <si>
    <t>VND-234</t>
  </si>
  <si>
    <t>VND-235</t>
  </si>
  <si>
    <t>VND-236</t>
  </si>
  <si>
    <t>VND-237</t>
  </si>
  <si>
    <t>VND-238</t>
  </si>
  <si>
    <t>VND-239</t>
  </si>
  <si>
    <t>VND-240</t>
  </si>
  <si>
    <t>VND-241</t>
  </si>
  <si>
    <t>VND-242</t>
  </si>
  <si>
    <t>VND-243</t>
  </si>
  <si>
    <t>VND-244</t>
  </si>
  <si>
    <t>VND-245</t>
  </si>
  <si>
    <t>VND-246</t>
  </si>
  <si>
    <t>VND-247</t>
  </si>
  <si>
    <t>VND-248</t>
  </si>
  <si>
    <t>VND-249</t>
  </si>
  <si>
    <t>VND-250</t>
  </si>
  <si>
    <t>VND-251</t>
  </si>
  <si>
    <t>VND-252</t>
  </si>
  <si>
    <t>VND-253</t>
  </si>
  <si>
    <t>VND-254</t>
  </si>
  <si>
    <t>VND-255</t>
  </si>
  <si>
    <t>VND-256</t>
  </si>
  <si>
    <t>VND-257</t>
  </si>
  <si>
    <t>VND-258</t>
  </si>
  <si>
    <t>VND-259</t>
  </si>
  <si>
    <t>VND-260</t>
  </si>
  <si>
    <t>VND-261</t>
  </si>
  <si>
    <t>VND-262</t>
  </si>
  <si>
    <t>VND-263</t>
  </si>
  <si>
    <t>VND-264</t>
  </si>
  <si>
    <t>VND-265</t>
  </si>
  <si>
    <t>VND-266</t>
  </si>
  <si>
    <t>VND-267</t>
  </si>
  <si>
    <t>VND-268</t>
  </si>
  <si>
    <t>VND-269</t>
  </si>
  <si>
    <t>VND-270</t>
  </si>
  <si>
    <t>VND-271</t>
  </si>
  <si>
    <t>VND-272</t>
  </si>
  <si>
    <t>VND-273</t>
  </si>
  <si>
    <t>VND-274</t>
  </si>
  <si>
    <t>VND-275</t>
  </si>
  <si>
    <t>VND-276</t>
  </si>
  <si>
    <t>VND-277</t>
  </si>
  <si>
    <t>VND-278</t>
  </si>
  <si>
    <t>VND-279</t>
  </si>
  <si>
    <t>VND-280</t>
  </si>
  <si>
    <t>VND-281</t>
  </si>
  <si>
    <t>VND-282</t>
  </si>
  <si>
    <t>VND-283</t>
  </si>
  <si>
    <t>VND-284</t>
  </si>
  <si>
    <t>VND-285</t>
  </si>
  <si>
    <t>VND-286</t>
  </si>
  <si>
    <t>VND-287</t>
  </si>
  <si>
    <t>VND-288</t>
  </si>
  <si>
    <t>VND-289</t>
  </si>
  <si>
    <t>VND-290</t>
  </si>
  <si>
    <t>VND-291</t>
  </si>
  <si>
    <t>VND-292</t>
  </si>
  <si>
    <t>VND-293</t>
  </si>
  <si>
    <t>VND-294</t>
  </si>
  <si>
    <t>VND-295</t>
  </si>
  <si>
    <t>VND-296</t>
  </si>
  <si>
    <t>VND-297</t>
  </si>
  <si>
    <t>VND-298</t>
  </si>
  <si>
    <t>VND-299</t>
  </si>
  <si>
    <t>VND-300</t>
  </si>
  <si>
    <t>Waste Services</t>
  </si>
  <si>
    <t>Rail Services</t>
  </si>
  <si>
    <t>Marine Services</t>
  </si>
  <si>
    <t>Chemical Supply</t>
  </si>
  <si>
    <t>Equipment Maintenance</t>
  </si>
  <si>
    <t>Document_Type</t>
  </si>
  <si>
    <t>Required</t>
  </si>
  <si>
    <t xml:space="preserve"> Submitted</t>
  </si>
  <si>
    <t>Last_Submission_Date</t>
  </si>
  <si>
    <t>Expiry_Date</t>
  </si>
  <si>
    <t>Days_To_Expiry</t>
  </si>
  <si>
    <t>Document_Status</t>
  </si>
  <si>
    <t xml:space="preserve"> Contract_End_Date</t>
  </si>
  <si>
    <t>VND-301</t>
  </si>
  <si>
    <t>VND-302</t>
  </si>
  <si>
    <t>VND-303</t>
  </si>
  <si>
    <t>VND-304</t>
  </si>
  <si>
    <t>VND-305</t>
  </si>
  <si>
    <t>VND-306</t>
  </si>
  <si>
    <t>VND-307</t>
  </si>
  <si>
    <t>VND-308</t>
  </si>
  <si>
    <t>VND-309</t>
  </si>
  <si>
    <t>VND-310</t>
  </si>
  <si>
    <t>VND-311</t>
  </si>
  <si>
    <t>VND-312</t>
  </si>
  <si>
    <t>VND-313</t>
  </si>
  <si>
    <t>VND-314</t>
  </si>
  <si>
    <t>VND-315</t>
  </si>
  <si>
    <t>VND-316</t>
  </si>
  <si>
    <t>VND-317</t>
  </si>
  <si>
    <t>VND-318</t>
  </si>
  <si>
    <t>VND-319</t>
  </si>
  <si>
    <t>VND-320</t>
  </si>
  <si>
    <t>VND-321</t>
  </si>
  <si>
    <t>VND-322</t>
  </si>
  <si>
    <t>VND-323</t>
  </si>
  <si>
    <t>VND-324</t>
  </si>
  <si>
    <t>VND-325</t>
  </si>
  <si>
    <t>VND-326</t>
  </si>
  <si>
    <t>VND-327</t>
  </si>
  <si>
    <t>VND-328</t>
  </si>
  <si>
    <t>VND-329</t>
  </si>
  <si>
    <t>VND-330</t>
  </si>
  <si>
    <t>VND-331</t>
  </si>
  <si>
    <t>VND-332</t>
  </si>
  <si>
    <t>VND-333</t>
  </si>
  <si>
    <t>VND-334</t>
  </si>
  <si>
    <t>VND-335</t>
  </si>
  <si>
    <t>VND-336</t>
  </si>
  <si>
    <t>VND-337</t>
  </si>
  <si>
    <t>VND-338</t>
  </si>
  <si>
    <t>VND-339</t>
  </si>
  <si>
    <t>VND-340</t>
  </si>
  <si>
    <t>VND-341</t>
  </si>
  <si>
    <t>VND-342</t>
  </si>
  <si>
    <t>VND-343</t>
  </si>
  <si>
    <t>VND-344</t>
  </si>
  <si>
    <t>VND-345</t>
  </si>
  <si>
    <t>VND-346</t>
  </si>
  <si>
    <t>VND-347</t>
  </si>
  <si>
    <t>VND-348</t>
  </si>
  <si>
    <t>VND-349</t>
  </si>
  <si>
    <t>VND-350</t>
  </si>
  <si>
    <t>VND-351</t>
  </si>
  <si>
    <t>VND-352</t>
  </si>
  <si>
    <t>VND-353</t>
  </si>
  <si>
    <t>VND-354</t>
  </si>
  <si>
    <t>VND-355</t>
  </si>
  <si>
    <t>VND-356</t>
  </si>
  <si>
    <t>VND-357</t>
  </si>
  <si>
    <t>VND-358</t>
  </si>
  <si>
    <t>VND-359</t>
  </si>
  <si>
    <t>VND-360</t>
  </si>
  <si>
    <t>VND-361</t>
  </si>
  <si>
    <t>VND-362</t>
  </si>
  <si>
    <t>VND-363</t>
  </si>
  <si>
    <t>VND-364</t>
  </si>
  <si>
    <t>VND-365</t>
  </si>
  <si>
    <t>VND-366</t>
  </si>
  <si>
    <t>VND-367</t>
  </si>
  <si>
    <t>VND-368</t>
  </si>
  <si>
    <t>VND-369</t>
  </si>
  <si>
    <t>VND-370</t>
  </si>
  <si>
    <t>VND-371</t>
  </si>
  <si>
    <t>VND-372</t>
  </si>
  <si>
    <t>VND-373</t>
  </si>
  <si>
    <t>VND-374</t>
  </si>
  <si>
    <t>VND-375</t>
  </si>
  <si>
    <t>VND-376</t>
  </si>
  <si>
    <t>VND-377</t>
  </si>
  <si>
    <t>VND-378</t>
  </si>
  <si>
    <t>VND-379</t>
  </si>
  <si>
    <t>VND-380</t>
  </si>
  <si>
    <t>VND-381</t>
  </si>
  <si>
    <t>VND-382</t>
  </si>
  <si>
    <t>VND-383</t>
  </si>
  <si>
    <t>VND-384</t>
  </si>
  <si>
    <t>VND-385</t>
  </si>
  <si>
    <t>VND-386</t>
  </si>
  <si>
    <t>VND-387</t>
  </si>
  <si>
    <t>VND-388</t>
  </si>
  <si>
    <t>VND-389</t>
  </si>
  <si>
    <t>VND-390</t>
  </si>
  <si>
    <t>VND-391</t>
  </si>
  <si>
    <t>VND-392</t>
  </si>
  <si>
    <t>VND-393</t>
  </si>
  <si>
    <t>VND-394</t>
  </si>
  <si>
    <t>VND-395</t>
  </si>
  <si>
    <t>VND-396</t>
  </si>
  <si>
    <t>VND-397</t>
  </si>
  <si>
    <t>VND-398</t>
  </si>
  <si>
    <t>VND-399</t>
  </si>
  <si>
    <t>VND-400</t>
  </si>
  <si>
    <t>Incident_Type</t>
  </si>
  <si>
    <t>Severity_Level</t>
  </si>
  <si>
    <t>Incident_Date</t>
  </si>
  <si>
    <t>Resolved</t>
  </si>
  <si>
    <t xml:space="preserve"> Issue_Type</t>
  </si>
  <si>
    <t>Contact_Date</t>
  </si>
  <si>
    <t>Contact_Method</t>
  </si>
  <si>
    <t>Follow_Up_Date</t>
  </si>
  <si>
    <t>Response_Status</t>
  </si>
  <si>
    <t xml:space="preserve"> Escalation_Flag</t>
  </si>
  <si>
    <t>EPA Notice</t>
  </si>
  <si>
    <t>Safety Violation</t>
  </si>
  <si>
    <t>Permit Delay</t>
  </si>
  <si>
    <t>Spill/Release</t>
  </si>
  <si>
    <t>Medium</t>
  </si>
  <si>
    <t>Low</t>
  </si>
  <si>
    <t>High</t>
  </si>
  <si>
    <t>Yes</t>
  </si>
  <si>
    <t>No</t>
  </si>
  <si>
    <t>Outreach_Flag</t>
  </si>
  <si>
    <t>OutReach_Flag</t>
  </si>
  <si>
    <t>Documents</t>
  </si>
  <si>
    <t>Email</t>
  </si>
  <si>
    <t>Source</t>
  </si>
  <si>
    <t>Pending</t>
  </si>
  <si>
    <t>Responded</t>
  </si>
  <si>
    <t>Escalated</t>
  </si>
  <si>
    <t xml:space="preserve">
</t>
  </si>
  <si>
    <t>ESG_Category</t>
  </si>
  <si>
    <t>Follow_Up_Stage</t>
  </si>
  <si>
    <t>Vendor_ID</t>
  </si>
  <si>
    <t>Missing_Docs</t>
  </si>
  <si>
    <t>Expired_Docs</t>
  </si>
  <si>
    <t>ExpiringSoon_Docs</t>
  </si>
  <si>
    <t>Total_Required_Docs</t>
  </si>
  <si>
    <t>Doc_Completeness_Pct</t>
  </si>
  <si>
    <t>Unresolved_High_Incidents</t>
  </si>
  <si>
    <t>Compliance_Classification</t>
  </si>
  <si>
    <t>Risk_Score</t>
  </si>
  <si>
    <t>Spend_Weighted_Risk</t>
  </si>
  <si>
    <t>Priority_Rank</t>
  </si>
  <si>
    <t>Escalation_Count</t>
  </si>
  <si>
    <t>Open_FollowUps</t>
  </si>
  <si>
    <t>Attention Required</t>
  </si>
  <si>
    <t>High Attention Required</t>
  </si>
  <si>
    <t>Total Spend Exposure of High Attention Vendors</t>
  </si>
  <si>
    <t>Total Spend Exposure of Non-Compliant Vendors</t>
  </si>
  <si>
    <t>Rank</t>
  </si>
  <si>
    <t>Vendor Name</t>
  </si>
  <si>
    <t>Annual Spend</t>
  </si>
  <si>
    <t>Tier</t>
  </si>
  <si>
    <t>Risk Score</t>
  </si>
  <si>
    <t>Spend-Weighted Risk</t>
  </si>
  <si>
    <t>Row Labels</t>
  </si>
  <si>
    <t>Grand Total</t>
  </si>
  <si>
    <t>Count of Vendor_ID</t>
  </si>
  <si>
    <t>Sum of Annual_Spend</t>
  </si>
  <si>
    <t>East</t>
  </si>
  <si>
    <t>North</t>
  </si>
  <si>
    <t>South</t>
  </si>
  <si>
    <t>West</t>
  </si>
  <si>
    <t>Column Labels</t>
  </si>
  <si>
    <t>Environmental</t>
  </si>
  <si>
    <t>Safety</t>
  </si>
  <si>
    <t>Active</t>
  </si>
  <si>
    <t>Expired</t>
  </si>
  <si>
    <t>Expiring Soon</t>
  </si>
  <si>
    <t>Missing</t>
  </si>
  <si>
    <t>Count of  Vendor_ID</t>
  </si>
  <si>
    <t>Vendor Distribution by Compliance Tier</t>
  </si>
  <si>
    <t>Spend Exposure by Compliance Tier</t>
  </si>
  <si>
    <t>Risk Concentration by Region</t>
  </si>
  <si>
    <t>Risk Concentration by Vendor Category</t>
  </si>
  <si>
    <t>ESG Category Risk Exposure</t>
  </si>
  <si>
    <t>Incident Severity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</si>
</sst>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8" formatCode="&quot;$&quot;#,##0.00"/>
  </numFmts>
  <fonts count="10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vertical="center"/>
    </xf>
    <xf numFmtId="0" fontId="6" fillId="3" borderId="0" xfId="0" applyFont="1" applyFill="1" applyAlignment="1">
      <alignment vertical="center" wrapText="1"/>
    </xf>
    <xf numFmtId="0" fontId="5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4" borderId="0" xfId="0" applyFill="1"/>
    <xf numFmtId="0" fontId="7" fillId="0" borderId="0" xfId="0" applyFont="1"/>
    <xf numFmtId="0" fontId="7" fillId="4" borderId="0" xfId="0" applyFont="1" applyFill="1"/>
    <xf numFmtId="0" fontId="0" fillId="0" borderId="0" xfId="0" pivotButton="1"/>
    <xf numFmtId="0" fontId="0" fillId="0" borderId="0" xfId="0" applyNumberFormat="1"/>
    <xf numFmtId="168" fontId="0" fillId="0" borderId="0" xfId="0" applyNumberFormat="1"/>
    <xf numFmtId="0" fontId="8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9" fontId="4" fillId="4" borderId="0" xfId="1" applyFont="1" applyFill="1" applyAlignment="1">
      <alignment horizontal="center"/>
    </xf>
    <xf numFmtId="0" fontId="8" fillId="4" borderId="0" xfId="0" applyFont="1" applyFill="1" applyAlignment="1">
      <alignment vertical="center"/>
    </xf>
    <xf numFmtId="0" fontId="8" fillId="4" borderId="0" xfId="0" applyFont="1" applyFill="1"/>
    <xf numFmtId="6" fontId="4" fillId="4" borderId="0" xfId="0" applyNumberFormat="1" applyFont="1" applyFill="1" applyAlignment="1">
      <alignment horizontal="center" vertical="center"/>
    </xf>
    <xf numFmtId="168" fontId="0" fillId="0" borderId="0" xfId="0" applyNumberFormat="1" applyAlignment="1">
      <alignment horizontal="left"/>
    </xf>
    <xf numFmtId="0" fontId="9" fillId="0" borderId="0" xfId="0" applyFont="1"/>
  </cellXfs>
  <cellStyles count="2">
    <cellStyle name="Normal" xfId="0" builtinId="0"/>
    <cellStyle name="Percent" xfId="1" builtinId="5"/>
  </cellStyles>
  <dxfs count="10">
    <dxf>
      <fill>
        <patternFill>
          <bgColor theme="5" tint="0.39994506668294322"/>
        </patternFill>
      </fill>
    </dxf>
    <dxf>
      <fill>
        <patternFill patternType="solid"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numFmt numFmtId="168" formatCode="&quot;$&quot;#,##0.00"/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excel sheet.xlsx]Pivot_Charts!PivotTable1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Vendor Distribution by Compliance Tier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Pivot_Charts!$B$3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strRef>
              <c:f>Pivot_Charts!$A$4:$A$6</c:f>
              <c:strCache>
                <c:ptCount val="2"/>
                <c:pt idx="0">
                  <c:v>Attention Required</c:v>
                </c:pt>
                <c:pt idx="1">
                  <c:v>High Attention Required</c:v>
                </c:pt>
              </c:strCache>
            </c:strRef>
          </c:cat>
          <c:val>
            <c:numRef>
              <c:f>Pivot_Charts!$B$4:$B$6</c:f>
              <c:numCache>
                <c:formatCode>General</c:formatCode>
                <c:ptCount val="2"/>
                <c:pt idx="0">
                  <c:v>300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8-4207-9DEF-B44235BBE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5628784"/>
        <c:axId val="1625631184"/>
      </c:barChart>
      <c:catAx>
        <c:axId val="162562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631184"/>
        <c:crosses val="autoZero"/>
        <c:auto val="1"/>
        <c:lblAlgn val="ctr"/>
        <c:lblOffset val="100"/>
        <c:noMultiLvlLbl val="0"/>
      </c:catAx>
      <c:valAx>
        <c:axId val="162563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62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excel sheet.xlsx]Pivot_Charts!PivotTable2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Spend Exposure by Compliance Tier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Pivot_Charts!$B$9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Pivot_Charts!$A$10:$A$12</c:f>
              <c:strCache>
                <c:ptCount val="2"/>
                <c:pt idx="0">
                  <c:v>Attention Required</c:v>
                </c:pt>
                <c:pt idx="1">
                  <c:v>High Attention Required</c:v>
                </c:pt>
              </c:strCache>
            </c:strRef>
          </c:cat>
          <c:val>
            <c:numRef>
              <c:f>Pivot_Charts!$B$10:$B$12</c:f>
              <c:numCache>
                <c:formatCode>"$"#,##0.00</c:formatCode>
                <c:ptCount val="2"/>
                <c:pt idx="0">
                  <c:v>309914166</c:v>
                </c:pt>
                <c:pt idx="1">
                  <c:v>138769806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1D-467C-9D48-B46F0303B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7706544"/>
        <c:axId val="1657702224"/>
      </c:barChart>
      <c:catAx>
        <c:axId val="165770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702224"/>
        <c:crosses val="autoZero"/>
        <c:auto val="1"/>
        <c:lblAlgn val="ctr"/>
        <c:lblOffset val="100"/>
        <c:noMultiLvlLbl val="0"/>
      </c:catAx>
      <c:valAx>
        <c:axId val="165770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70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Vendors by Spend-Weighted Risk</a:t>
            </a:r>
            <a:endParaRPr lang="en-US"/>
          </a:p>
        </c:rich>
      </c:tx>
      <c:layout>
        <c:manualLayout>
          <c:xMode val="edge"/>
          <c:yMode val="edge"/>
          <c:x val="0.19444194162697773"/>
          <c:y val="6.4814778209336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Executive_Summary!$G$10</c:f>
              <c:strCache>
                <c:ptCount val="1"/>
                <c:pt idx="0">
                  <c:v>Spend-Weighted Risk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Executive_Summary!$B$11:$B$20</c:f>
              <c:strCache>
                <c:ptCount val="10"/>
                <c:pt idx="0">
                  <c:v>Vendor_293</c:v>
                </c:pt>
                <c:pt idx="1">
                  <c:v>Vendor_292</c:v>
                </c:pt>
                <c:pt idx="2">
                  <c:v>Vendor_291</c:v>
                </c:pt>
                <c:pt idx="3">
                  <c:v>Vendor_398</c:v>
                </c:pt>
                <c:pt idx="4">
                  <c:v>Vendor_290</c:v>
                </c:pt>
                <c:pt idx="5">
                  <c:v>Vendor_400</c:v>
                </c:pt>
                <c:pt idx="6">
                  <c:v>Vendor_399</c:v>
                </c:pt>
                <c:pt idx="7">
                  <c:v>Vendor_397</c:v>
                </c:pt>
                <c:pt idx="8">
                  <c:v>Vendor_294</c:v>
                </c:pt>
                <c:pt idx="9">
                  <c:v>Vendor_262</c:v>
                </c:pt>
              </c:strCache>
            </c:strRef>
          </c:cat>
          <c:val>
            <c:numRef>
              <c:f>Executive_Summary!$G$11:$G$20</c:f>
              <c:numCache>
                <c:formatCode>"$"#,##0.00</c:formatCode>
                <c:ptCount val="10"/>
                <c:pt idx="0">
                  <c:v>6933528</c:v>
                </c:pt>
                <c:pt idx="1">
                  <c:v>6488991.5999999996</c:v>
                </c:pt>
                <c:pt idx="2">
                  <c:v>6140901.1999999993</c:v>
                </c:pt>
                <c:pt idx="3">
                  <c:v>6100326</c:v>
                </c:pt>
                <c:pt idx="4">
                  <c:v>5497493.3999999994</c:v>
                </c:pt>
                <c:pt idx="5">
                  <c:v>5310403.2</c:v>
                </c:pt>
                <c:pt idx="6">
                  <c:v>5191680.6000000006</c:v>
                </c:pt>
                <c:pt idx="7">
                  <c:v>4909543.2</c:v>
                </c:pt>
                <c:pt idx="8">
                  <c:v>4587724.3999999994</c:v>
                </c:pt>
                <c:pt idx="9">
                  <c:v>2675068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8-4E04-8168-46C37FD06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4067760"/>
        <c:axId val="1094080720"/>
      </c:barChart>
      <c:catAx>
        <c:axId val="109406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80720"/>
        <c:crosses val="autoZero"/>
        <c:auto val="1"/>
        <c:lblAlgn val="ctr"/>
        <c:lblOffset val="100"/>
        <c:noMultiLvlLbl val="0"/>
      </c:catAx>
      <c:valAx>
        <c:axId val="109408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6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7471</xdr:rowOff>
    </xdr:from>
    <xdr:to>
      <xdr:col>5</xdr:col>
      <xdr:colOff>1187450</xdr:colOff>
      <xdr:row>3</xdr:row>
      <xdr:rowOff>147171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CBC0882-95C5-1E8F-18E9-76A0EF77E4ED}"/>
            </a:ext>
          </a:extLst>
        </xdr:cNvPr>
        <xdr:cNvSpPr/>
      </xdr:nvSpPr>
      <xdr:spPr>
        <a:xfrm>
          <a:off x="0" y="7471"/>
          <a:ext cx="8516097" cy="699994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6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Vendor ESG Risk &amp; Compliance Dashboard</a:t>
          </a:r>
        </a:p>
      </xdr:txBody>
    </xdr:sp>
    <xdr:clientData/>
  </xdr:twoCellAnchor>
  <xdr:twoCellAnchor>
    <xdr:from>
      <xdr:col>0</xdr:col>
      <xdr:colOff>31750</xdr:colOff>
      <xdr:row>20</xdr:row>
      <xdr:rowOff>177800</xdr:rowOff>
    </xdr:from>
    <xdr:to>
      <xdr:col>3</xdr:col>
      <xdr:colOff>95250</xdr:colOff>
      <xdr:row>35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B3E7C1-5A1B-49B5-82C0-CA4BC765BE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101600</xdr:colOff>
      <xdr:row>20</xdr:row>
      <xdr:rowOff>171450</xdr:rowOff>
    </xdr:from>
    <xdr:to>
      <xdr:col>6</xdr:col>
      <xdr:colOff>546100</xdr:colOff>
      <xdr:row>35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039608-2632-439D-ADF7-6D07ED4DF2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27454</xdr:colOff>
      <xdr:row>35</xdr:row>
      <xdr:rowOff>159871</xdr:rowOff>
    </xdr:from>
    <xdr:to>
      <xdr:col>3</xdr:col>
      <xdr:colOff>112059</xdr:colOff>
      <xdr:row>50</xdr:row>
      <xdr:rowOff>140820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0AADBA-1224-87D3-528B-086AEDCD0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22412</xdr:colOff>
      <xdr:row>3</xdr:row>
      <xdr:rowOff>149410</xdr:rowOff>
    </xdr:from>
    <xdr:to>
      <xdr:col>1</xdr:col>
      <xdr:colOff>459890</xdr:colOff>
      <xdr:row>6</xdr:row>
      <xdr:rowOff>320636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E3324E2-44DA-9488-DA86-182231E6DB77}"/>
            </a:ext>
          </a:extLst>
        </xdr:cNvPr>
        <xdr:cNvSpPr/>
      </xdr:nvSpPr>
      <xdr:spPr>
        <a:xfrm>
          <a:off x="22412" y="709704"/>
          <a:ext cx="173736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fontAlgn="b"/>
          <a:r>
            <a:rPr lang="en-US" sz="1400" b="1" i="0" u="none" strike="noStrike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Vendors </a:t>
          </a:r>
        </a:p>
        <a:p>
          <a:pPr algn="ctr"/>
          <a:r>
            <a:rPr lang="en-US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400</a:t>
          </a:r>
          <a:r>
            <a:rPr lang="en-US" sz="1600">
              <a:effectLst/>
            </a:rPr>
            <a:t> </a:t>
          </a:r>
          <a:endParaRPr lang="en-US" sz="1600"/>
        </a:p>
      </xdr:txBody>
    </xdr:sp>
    <xdr:clientData/>
  </xdr:twoCellAnchor>
  <xdr:twoCellAnchor>
    <xdr:from>
      <xdr:col>1</xdr:col>
      <xdr:colOff>478118</xdr:colOff>
      <xdr:row>3</xdr:row>
      <xdr:rowOff>141941</xdr:rowOff>
    </xdr:from>
    <xdr:to>
      <xdr:col>2</xdr:col>
      <xdr:colOff>915595</xdr:colOff>
      <xdr:row>6</xdr:row>
      <xdr:rowOff>313167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045F3F1-28AD-4135-BD52-2D25BB8F0667}"/>
            </a:ext>
          </a:extLst>
        </xdr:cNvPr>
        <xdr:cNvSpPr/>
      </xdr:nvSpPr>
      <xdr:spPr>
        <a:xfrm>
          <a:off x="1778000" y="702235"/>
          <a:ext cx="173736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fontAlgn="b"/>
          <a:r>
            <a:rPr lang="en-US" sz="1100" b="1" i="0" u="none" strike="noStrike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Vendors with Unresolved High Incidents </a:t>
          </a:r>
        </a:p>
        <a:p>
          <a:pPr algn="ctr"/>
          <a:r>
            <a:rPr lang="en-US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en-US" sz="1400" b="1">
              <a:effectLst/>
            </a:rPr>
            <a:t> </a:t>
          </a:r>
          <a:endParaRPr lang="en-US" sz="1400" b="1"/>
        </a:p>
      </xdr:txBody>
    </xdr:sp>
    <xdr:clientData/>
  </xdr:twoCellAnchor>
  <xdr:twoCellAnchor>
    <xdr:from>
      <xdr:col>2</xdr:col>
      <xdr:colOff>927849</xdr:colOff>
      <xdr:row>3</xdr:row>
      <xdr:rowOff>149411</xdr:rowOff>
    </xdr:from>
    <xdr:to>
      <xdr:col>3</xdr:col>
      <xdr:colOff>760209</xdr:colOff>
      <xdr:row>6</xdr:row>
      <xdr:rowOff>320637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A9120CB-D83D-49E0-9964-9416CAB211B5}"/>
            </a:ext>
          </a:extLst>
        </xdr:cNvPr>
        <xdr:cNvSpPr/>
      </xdr:nvSpPr>
      <xdr:spPr>
        <a:xfrm>
          <a:off x="3527614" y="709705"/>
          <a:ext cx="173736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 i="0" u="none" strike="noStrike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Attention Required</a:t>
          </a:r>
          <a:r>
            <a:rPr lang="en-US" sz="140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</a:t>
          </a:r>
        </a:p>
        <a:p>
          <a:pPr algn="ctr"/>
          <a:r>
            <a:rPr lang="en-US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75%</a:t>
          </a:r>
          <a:r>
            <a:rPr lang="en-US" sz="1600">
              <a:effectLst/>
            </a:rPr>
            <a:t> </a:t>
          </a:r>
          <a:endParaRPr lang="en-US" sz="1600"/>
        </a:p>
      </xdr:txBody>
    </xdr:sp>
    <xdr:clientData/>
  </xdr:twoCellAnchor>
  <xdr:twoCellAnchor>
    <xdr:from>
      <xdr:col>2</xdr:col>
      <xdr:colOff>930836</xdr:colOff>
      <xdr:row>6</xdr:row>
      <xdr:rowOff>331693</xdr:rowOff>
    </xdr:from>
    <xdr:to>
      <xdr:col>3</xdr:col>
      <xdr:colOff>763196</xdr:colOff>
      <xdr:row>8</xdr:row>
      <xdr:rowOff>181683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E4DD487-79FF-4BC6-902C-BDCA4D4D1C73}"/>
            </a:ext>
          </a:extLst>
        </xdr:cNvPr>
        <xdr:cNvSpPr/>
      </xdr:nvSpPr>
      <xdr:spPr>
        <a:xfrm>
          <a:off x="3530601" y="1452281"/>
          <a:ext cx="173736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Spend Exposure of High Attention Vendors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>
          <a:pPr algn="ctr"/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$448,683,972 </a:t>
          </a:r>
          <a:endParaRPr lang="en-US" sz="1100"/>
        </a:p>
      </xdr:txBody>
    </xdr:sp>
    <xdr:clientData/>
  </xdr:twoCellAnchor>
  <xdr:twoCellAnchor>
    <xdr:from>
      <xdr:col>1</xdr:col>
      <xdr:colOff>485590</xdr:colOff>
      <xdr:row>6</xdr:row>
      <xdr:rowOff>327214</xdr:rowOff>
    </xdr:from>
    <xdr:to>
      <xdr:col>2</xdr:col>
      <xdr:colOff>923067</xdr:colOff>
      <xdr:row>8</xdr:row>
      <xdr:rowOff>177204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30F5A50-1287-4BEE-8CAA-B7AA986B5645}"/>
            </a:ext>
          </a:extLst>
        </xdr:cNvPr>
        <xdr:cNvSpPr/>
      </xdr:nvSpPr>
      <xdr:spPr>
        <a:xfrm>
          <a:off x="1785472" y="1447802"/>
          <a:ext cx="173736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High Attention </a:t>
          </a:r>
          <a:endParaRPr lang="en-US" sz="1400">
            <a:effectLst/>
          </a:endParaRPr>
        </a:p>
        <a:p>
          <a:pPr algn="ctr"/>
          <a:r>
            <a:rPr lang="en-U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25%</a:t>
          </a:r>
          <a:endParaRPr lang="en-US" sz="1600"/>
        </a:p>
      </xdr:txBody>
    </xdr:sp>
    <xdr:clientData/>
  </xdr:twoCellAnchor>
  <xdr:twoCellAnchor>
    <xdr:from>
      <xdr:col>0</xdr:col>
      <xdr:colOff>22412</xdr:colOff>
      <xdr:row>6</xdr:row>
      <xdr:rowOff>330199</xdr:rowOff>
    </xdr:from>
    <xdr:to>
      <xdr:col>1</xdr:col>
      <xdr:colOff>459890</xdr:colOff>
      <xdr:row>8</xdr:row>
      <xdr:rowOff>180189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8A25B23-868B-4809-BE10-DA21413E7984}"/>
            </a:ext>
          </a:extLst>
        </xdr:cNvPr>
        <xdr:cNvSpPr/>
      </xdr:nvSpPr>
      <xdr:spPr>
        <a:xfrm>
          <a:off x="22412" y="1450787"/>
          <a:ext cx="173736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Spend Exposure of High Attention Vendors</a:t>
          </a:r>
          <a:r>
            <a:rPr lang="en-US" sz="1200">
              <a:effectLst/>
            </a:rPr>
            <a:t> </a:t>
          </a:r>
          <a:r>
            <a:rPr lang="en-US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$138,769,806</a:t>
          </a:r>
          <a:b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en-US" sz="1100"/>
        </a:p>
      </xdr:txBody>
    </xdr:sp>
    <xdr:clientData/>
  </xdr:twoCellAnchor>
  <xdr:twoCellAnchor>
    <xdr:from>
      <xdr:col>3</xdr:col>
      <xdr:colOff>776940</xdr:colOff>
      <xdr:row>3</xdr:row>
      <xdr:rowOff>171824</xdr:rowOff>
    </xdr:from>
    <xdr:to>
      <xdr:col>5</xdr:col>
      <xdr:colOff>679824</xdr:colOff>
      <xdr:row>8</xdr:row>
      <xdr:rowOff>179294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929622D-213C-45B7-8593-8C1916394AAE}"/>
            </a:ext>
          </a:extLst>
        </xdr:cNvPr>
        <xdr:cNvSpPr/>
      </xdr:nvSpPr>
      <xdr:spPr>
        <a:xfrm>
          <a:off x="5281705" y="732118"/>
          <a:ext cx="2726766" cy="144929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en-US" sz="1100"/>
          </a:br>
          <a:r>
            <a:rPr lang="en-US" sz="1400" b="1" i="0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Average Doc_Completeness %</a:t>
          </a:r>
          <a:r>
            <a:rPr lang="en-US" sz="1400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30%</a:t>
          </a:r>
          <a:r>
            <a:rPr lang="en-US" sz="1600">
              <a:effectLst/>
            </a:rPr>
            <a:t> </a:t>
          </a:r>
        </a:p>
        <a:p>
          <a:pPr algn="ctr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va ram vangavolu" refreshedDate="46083.818107870371" createdVersion="8" refreshedVersion="8" minRefreshableVersion="3" recordCount="400" xr:uid="{7E3E9891-6159-456F-BD5C-F0A6F87233DE}">
  <cacheSource type="worksheet">
    <worksheetSource ref="A1:R401" sheet="Compliance_Sheet"/>
  </cacheSource>
  <cacheFields count="18">
    <cacheField name="Vendor_ID" numFmtId="0">
      <sharedItems/>
    </cacheField>
    <cacheField name="Vendor_Name" numFmtId="0">
      <sharedItems/>
    </cacheField>
    <cacheField name="Vendor_Category" numFmtId="0">
      <sharedItems count="5">
        <s v="Waste Services"/>
        <s v="Rail Services"/>
        <s v="Marine Services"/>
        <s v="Chemical Supply"/>
        <s v="Equipment Maintenance"/>
      </sharedItems>
    </cacheField>
    <cacheField name="Region" numFmtId="0">
      <sharedItems count="4">
        <s v="East"/>
        <s v="South"/>
        <s v="West"/>
        <s v="North"/>
      </sharedItems>
    </cacheField>
    <cacheField name="Annual_Spend" numFmtId="0">
      <sharedItems containsSemiMixedTypes="0" containsString="0" containsNumber="1" containsInteger="1" minValue="51496" maxValue="4997293"/>
    </cacheField>
    <cacheField name="Primary_Contact_Email" numFmtId="0">
      <sharedItems/>
    </cacheField>
    <cacheField name="Missing_Docs" numFmtId="0">
      <sharedItems containsSemiMixedTypes="0" containsString="0" containsNumber="1" containsInteger="1" minValue="0" maxValue="4"/>
    </cacheField>
    <cacheField name="Expired_Docs" numFmtId="0">
      <sharedItems containsSemiMixedTypes="0" containsString="0" containsNumber="1" containsInteger="1" minValue="0" maxValue="4"/>
    </cacheField>
    <cacheField name="ExpiringSoon_Docs" numFmtId="0">
      <sharedItems containsSemiMixedTypes="0" containsString="0" containsNumber="1" containsInteger="1" minValue="0" maxValue="4"/>
    </cacheField>
    <cacheField name="Total_Required_Docs" numFmtId="0">
      <sharedItems containsSemiMixedTypes="0" containsString="0" containsNumber="1" containsInteger="1" minValue="4" maxValue="4"/>
    </cacheField>
    <cacheField name="Doc_Completeness_Pct" numFmtId="0">
      <sharedItems containsSemiMixedTypes="0" containsString="0" containsNumber="1" minValue="0" maxValue="1"/>
    </cacheField>
    <cacheField name="Escalation_Count" numFmtId="0">
      <sharedItems containsSemiMixedTypes="0" containsString="0" containsNumber="1" containsInteger="1" minValue="0" maxValue="1"/>
    </cacheField>
    <cacheField name="Open_FollowUps" numFmtId="0">
      <sharedItems containsSemiMixedTypes="0" containsString="0" containsNumber="1" containsInteger="1" minValue="0" maxValue="1"/>
    </cacheField>
    <cacheField name="Unresolved_High_Incidents" numFmtId="0">
      <sharedItems containsSemiMixedTypes="0" containsString="0" containsNumber="1" containsInteger="1" minValue="0" maxValue="1"/>
    </cacheField>
    <cacheField name="Compliance_Classification" numFmtId="0">
      <sharedItems count="2">
        <s v="Attention Required"/>
        <s v="High Attention Required"/>
      </sharedItems>
    </cacheField>
    <cacheField name="Risk_Score" numFmtId="0">
      <sharedItems containsSemiMixedTypes="0" containsString="0" containsNumber="1" containsInteger="1" minValue="0" maxValue="230"/>
    </cacheField>
    <cacheField name="Spend_Weighted_Risk" numFmtId="0">
      <sharedItems containsSemiMixedTypes="0" containsString="0" containsNumber="1" minValue="0" maxValue="6933528"/>
    </cacheField>
    <cacheField name="Priority_Rank" numFmtId="0">
      <sharedItems containsSemiMixedTypes="0" containsString="0" containsNumber="1" containsInteger="1" minValue="1" maxValue="1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va ram vangavolu" refreshedDate="46083.85381226852" createdVersion="8" refreshedVersion="8" minRefreshableVersion="3" recordCount="1600" xr:uid="{763FEEBF-C0BA-4FB7-8546-F72FBB1B251B}">
  <cacheSource type="worksheet">
    <worksheetSource ref="A1:J1601" sheet="Sustainability_Documents"/>
  </cacheSource>
  <cacheFields count="10">
    <cacheField name=" Vendor_ID" numFmtId="0">
      <sharedItems/>
    </cacheField>
    <cacheField name="Document_Type" numFmtId="0">
      <sharedItems/>
    </cacheField>
    <cacheField name="Required" numFmtId="0">
      <sharedItems/>
    </cacheField>
    <cacheField name=" Submitted" numFmtId="0">
      <sharedItems/>
    </cacheField>
    <cacheField name="Last_Submission_Date" numFmtId="14">
      <sharedItems containsSemiMixedTypes="0" containsNonDate="0" containsDate="1" containsString="0" minDate="2024-03-30T00:00:00" maxDate="2026-02-19T00:00:00"/>
    </cacheField>
    <cacheField name="Expiry_Date" numFmtId="14">
      <sharedItems containsSemiMixedTypes="0" containsNonDate="0" containsDate="1" containsString="0" minDate="2025-09-01T00:00:00" maxDate="2028-08-17T00:00:00"/>
    </cacheField>
    <cacheField name="Days_To_Expiry" numFmtId="0">
      <sharedItems containsSemiMixedTypes="0" containsString="0" containsNumber="1" containsInteger="1" minValue="-182" maxValue="898"/>
    </cacheField>
    <cacheField name="Document_Status" numFmtId="0">
      <sharedItems count="4">
        <s v="Active"/>
        <s v="Expiring Soon"/>
        <s v="Expired"/>
        <s v="Missing"/>
      </sharedItems>
    </cacheField>
    <cacheField name="Outreach_Flag" numFmtId="0">
      <sharedItems containsSemiMixedTypes="0" containsString="0" containsNumber="1" containsInteger="1" minValue="0" maxValue="1"/>
    </cacheField>
    <cacheField name="ESG_Category" numFmtId="0">
      <sharedItems count="2">
        <s v="Environmental"/>
        <s v="Safet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va ram vangavolu" refreshedDate="46083.864105208333" createdVersion="8" refreshedVersion="8" minRefreshableVersion="3" recordCount="180" xr:uid="{D20EDB45-90B4-4EC3-8640-FE193A457AE3}">
  <cacheSource type="worksheet">
    <worksheetSource ref="A1:F181" sheet="Incident_Log"/>
  </cacheSource>
  <cacheFields count="6">
    <cacheField name=" Vendor_ID" numFmtId="0">
      <sharedItems/>
    </cacheField>
    <cacheField name="Incident_Type" numFmtId="0">
      <sharedItems/>
    </cacheField>
    <cacheField name="Severity_Level" numFmtId="0">
      <sharedItems count="3">
        <s v="Medium"/>
        <s v="Low"/>
        <s v="High"/>
      </sharedItems>
    </cacheField>
    <cacheField name="Incident_Date" numFmtId="14">
      <sharedItems containsSemiMixedTypes="0" containsNonDate="0" containsDate="1" containsString="0" minDate="2024-03-11T00:00:00" maxDate="2026-02-24T00:00:00"/>
    </cacheField>
    <cacheField name="Resolved" numFmtId="0">
      <sharedItems count="2">
        <s v="Yes"/>
        <s v="No"/>
      </sharedItems>
    </cacheField>
    <cacheField name="OutReach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s v="VND-001"/>
    <s v="Vendor_001"/>
    <x v="0"/>
    <x v="0"/>
    <n v="3195278"/>
    <s v="contact1@vendor.com"/>
    <n v="0"/>
    <n v="0"/>
    <n v="0"/>
    <n v="4"/>
    <n v="1"/>
    <n v="0"/>
    <n v="0"/>
    <n v="0"/>
    <x v="0"/>
    <n v="0"/>
    <n v="0"/>
    <n v="180"/>
  </r>
  <r>
    <s v="VND-002"/>
    <s v="Vendor_002"/>
    <x v="0"/>
    <x v="0"/>
    <n v="1899565"/>
    <s v="contact2@vendor.com"/>
    <n v="0"/>
    <n v="0"/>
    <n v="0"/>
    <n v="4"/>
    <n v="1"/>
    <n v="0"/>
    <n v="0"/>
    <n v="0"/>
    <x v="0"/>
    <n v="0"/>
    <n v="0"/>
    <n v="180"/>
  </r>
  <r>
    <s v="VND-003"/>
    <s v="Vendor_003"/>
    <x v="0"/>
    <x v="0"/>
    <n v="3318457"/>
    <s v="contact3@vendor.com"/>
    <n v="0"/>
    <n v="0"/>
    <n v="0"/>
    <n v="4"/>
    <n v="1"/>
    <n v="0"/>
    <n v="0"/>
    <n v="0"/>
    <x v="0"/>
    <n v="0"/>
    <n v="0"/>
    <n v="180"/>
  </r>
  <r>
    <s v="VND-004"/>
    <s v="Vendor_004"/>
    <x v="0"/>
    <x v="0"/>
    <n v="3125237"/>
    <s v="contact4@vendor.com"/>
    <n v="0"/>
    <n v="0"/>
    <n v="0"/>
    <n v="4"/>
    <n v="1"/>
    <n v="0"/>
    <n v="0"/>
    <n v="0"/>
    <x v="0"/>
    <n v="0"/>
    <n v="0"/>
    <n v="180"/>
  </r>
  <r>
    <s v="VND-005"/>
    <s v="Vendor_005"/>
    <x v="0"/>
    <x v="0"/>
    <n v="2761058"/>
    <s v="contact5@vendor.com"/>
    <n v="0"/>
    <n v="0"/>
    <n v="0"/>
    <n v="4"/>
    <n v="1"/>
    <n v="0"/>
    <n v="0"/>
    <n v="0"/>
    <x v="0"/>
    <n v="0"/>
    <n v="0"/>
    <n v="180"/>
  </r>
  <r>
    <s v="VND-006"/>
    <s v="Vendor_006"/>
    <x v="0"/>
    <x v="0"/>
    <n v="3224304"/>
    <s v="contact6@vendor.com"/>
    <n v="0"/>
    <n v="0"/>
    <n v="0"/>
    <n v="4"/>
    <n v="1"/>
    <n v="0"/>
    <n v="0"/>
    <n v="0"/>
    <x v="0"/>
    <n v="0"/>
    <n v="0"/>
    <n v="180"/>
  </r>
  <r>
    <s v="VND-007"/>
    <s v="Vendor_007"/>
    <x v="0"/>
    <x v="0"/>
    <n v="2844080"/>
    <s v="contact7@vendor.com"/>
    <n v="0"/>
    <n v="0"/>
    <n v="0"/>
    <n v="4"/>
    <n v="1"/>
    <n v="0"/>
    <n v="0"/>
    <n v="0"/>
    <x v="0"/>
    <n v="0"/>
    <n v="0"/>
    <n v="180"/>
  </r>
  <r>
    <s v="VND-008"/>
    <s v="Vendor_008"/>
    <x v="0"/>
    <x v="0"/>
    <n v="3354223"/>
    <s v="contact8@vendor.com"/>
    <n v="0"/>
    <n v="0"/>
    <n v="0"/>
    <n v="4"/>
    <n v="1"/>
    <n v="0"/>
    <n v="0"/>
    <n v="0"/>
    <x v="0"/>
    <n v="0"/>
    <n v="0"/>
    <n v="180"/>
  </r>
  <r>
    <s v="VND-009"/>
    <s v="Vendor_009"/>
    <x v="0"/>
    <x v="0"/>
    <n v="3652769"/>
    <s v="contact9@vendor.com"/>
    <n v="0"/>
    <n v="0"/>
    <n v="0"/>
    <n v="4"/>
    <n v="1"/>
    <n v="0"/>
    <n v="0"/>
    <n v="0"/>
    <x v="0"/>
    <n v="0"/>
    <n v="0"/>
    <n v="180"/>
  </r>
  <r>
    <s v="VND-010"/>
    <s v="Vendor_010"/>
    <x v="0"/>
    <x v="0"/>
    <n v="1850541"/>
    <s v="contact10@vendor.com"/>
    <n v="0"/>
    <n v="0"/>
    <n v="0"/>
    <n v="4"/>
    <n v="1"/>
    <n v="0"/>
    <n v="0"/>
    <n v="0"/>
    <x v="0"/>
    <n v="0"/>
    <n v="0"/>
    <n v="180"/>
  </r>
  <r>
    <s v="VND-011"/>
    <s v="Vendor_011"/>
    <x v="0"/>
    <x v="0"/>
    <n v="3639808"/>
    <s v="contact11@vendor.com"/>
    <n v="0"/>
    <n v="0"/>
    <n v="0"/>
    <n v="4"/>
    <n v="1"/>
    <n v="0"/>
    <n v="0"/>
    <n v="0"/>
    <x v="0"/>
    <n v="0"/>
    <n v="0"/>
    <n v="180"/>
  </r>
  <r>
    <s v="VND-012"/>
    <s v="Vendor_012"/>
    <x v="0"/>
    <x v="0"/>
    <n v="3362434"/>
    <s v="contact12@vendor.com"/>
    <n v="0"/>
    <n v="0"/>
    <n v="0"/>
    <n v="4"/>
    <n v="1"/>
    <n v="0"/>
    <n v="0"/>
    <n v="0"/>
    <x v="0"/>
    <n v="0"/>
    <n v="0"/>
    <n v="180"/>
  </r>
  <r>
    <s v="VND-013"/>
    <s v="Vendor_013"/>
    <x v="0"/>
    <x v="0"/>
    <n v="2382579"/>
    <s v="contact13@vendor.com"/>
    <n v="0"/>
    <n v="0"/>
    <n v="0"/>
    <n v="4"/>
    <n v="1"/>
    <n v="0"/>
    <n v="0"/>
    <n v="0"/>
    <x v="0"/>
    <n v="0"/>
    <n v="0"/>
    <n v="180"/>
  </r>
  <r>
    <s v="VND-014"/>
    <s v="Vendor_014"/>
    <x v="0"/>
    <x v="0"/>
    <n v="4565615"/>
    <s v="contact14@vendor.com"/>
    <n v="0"/>
    <n v="0"/>
    <n v="0"/>
    <n v="4"/>
    <n v="1"/>
    <n v="0"/>
    <n v="0"/>
    <n v="0"/>
    <x v="0"/>
    <n v="0"/>
    <n v="0"/>
    <n v="180"/>
  </r>
  <r>
    <s v="VND-015"/>
    <s v="Vendor_015"/>
    <x v="0"/>
    <x v="0"/>
    <n v="2690817"/>
    <s v="contact15@vendor.com"/>
    <n v="0"/>
    <n v="0"/>
    <n v="0"/>
    <n v="4"/>
    <n v="1"/>
    <n v="0"/>
    <n v="0"/>
    <n v="0"/>
    <x v="0"/>
    <n v="0"/>
    <n v="0"/>
    <n v="180"/>
  </r>
  <r>
    <s v="VND-016"/>
    <s v="Vendor_016"/>
    <x v="0"/>
    <x v="0"/>
    <n v="3489558"/>
    <s v="contact16@vendor.com"/>
    <n v="0"/>
    <n v="0"/>
    <n v="0"/>
    <n v="4"/>
    <n v="1"/>
    <n v="0"/>
    <n v="0"/>
    <n v="0"/>
    <x v="0"/>
    <n v="0"/>
    <n v="0"/>
    <n v="180"/>
  </r>
  <r>
    <s v="VND-017"/>
    <s v="Vendor_017"/>
    <x v="0"/>
    <x v="0"/>
    <n v="1988194"/>
    <s v="contact17@vendor.com"/>
    <n v="0"/>
    <n v="0"/>
    <n v="0"/>
    <n v="4"/>
    <n v="1"/>
    <n v="0"/>
    <n v="0"/>
    <n v="0"/>
    <x v="0"/>
    <n v="0"/>
    <n v="0"/>
    <n v="180"/>
  </r>
  <r>
    <s v="VND-018"/>
    <s v="Vendor_018"/>
    <x v="0"/>
    <x v="0"/>
    <n v="1399198"/>
    <s v="contact18@vendor.com"/>
    <n v="0"/>
    <n v="0"/>
    <n v="0"/>
    <n v="4"/>
    <n v="1"/>
    <n v="0"/>
    <n v="0"/>
    <n v="0"/>
    <x v="0"/>
    <n v="0"/>
    <n v="0"/>
    <n v="180"/>
  </r>
  <r>
    <s v="VND-019"/>
    <s v="Vendor_019"/>
    <x v="0"/>
    <x v="0"/>
    <n v="1804957"/>
    <s v="contact19@vendor.com"/>
    <n v="0"/>
    <n v="0"/>
    <n v="0"/>
    <n v="4"/>
    <n v="1"/>
    <n v="0"/>
    <n v="0"/>
    <n v="0"/>
    <x v="0"/>
    <n v="0"/>
    <n v="0"/>
    <n v="180"/>
  </r>
  <r>
    <s v="VND-020"/>
    <s v="Vendor_020"/>
    <x v="0"/>
    <x v="0"/>
    <n v="2678589"/>
    <s v="contact20@vendor.com"/>
    <n v="0"/>
    <n v="0"/>
    <n v="0"/>
    <n v="4"/>
    <n v="1"/>
    <n v="0"/>
    <n v="0"/>
    <n v="0"/>
    <x v="0"/>
    <n v="0"/>
    <n v="0"/>
    <n v="180"/>
  </r>
  <r>
    <s v="VND-021"/>
    <s v="Vendor_021"/>
    <x v="0"/>
    <x v="0"/>
    <n v="1107895"/>
    <s v="contact21@vendor.com"/>
    <n v="0"/>
    <n v="0"/>
    <n v="0"/>
    <n v="4"/>
    <n v="1"/>
    <n v="0"/>
    <n v="0"/>
    <n v="0"/>
    <x v="0"/>
    <n v="0"/>
    <n v="0"/>
    <n v="180"/>
  </r>
  <r>
    <s v="VND-022"/>
    <s v="Vendor_022"/>
    <x v="0"/>
    <x v="0"/>
    <n v="2009916"/>
    <s v="contact22@vendor.com"/>
    <n v="0"/>
    <n v="0"/>
    <n v="0"/>
    <n v="4"/>
    <n v="1"/>
    <n v="0"/>
    <n v="0"/>
    <n v="0"/>
    <x v="0"/>
    <n v="0"/>
    <n v="0"/>
    <n v="180"/>
  </r>
  <r>
    <s v="VND-023"/>
    <s v="Vendor_023"/>
    <x v="0"/>
    <x v="0"/>
    <n v="1143131"/>
    <s v="contact23@vendor.com"/>
    <n v="0"/>
    <n v="0"/>
    <n v="0"/>
    <n v="4"/>
    <n v="1"/>
    <n v="0"/>
    <n v="0"/>
    <n v="0"/>
    <x v="0"/>
    <n v="0"/>
    <n v="0"/>
    <n v="180"/>
  </r>
  <r>
    <s v="VND-024"/>
    <s v="Vendor_024"/>
    <x v="0"/>
    <x v="0"/>
    <n v="2603662"/>
    <s v="contact24@vendor.com"/>
    <n v="0"/>
    <n v="0"/>
    <n v="0"/>
    <n v="4"/>
    <n v="1"/>
    <n v="0"/>
    <n v="0"/>
    <n v="0"/>
    <x v="0"/>
    <n v="0"/>
    <n v="0"/>
    <n v="180"/>
  </r>
  <r>
    <s v="VND-025"/>
    <s v="Vendor_025"/>
    <x v="0"/>
    <x v="0"/>
    <n v="4832219"/>
    <s v="contact25@vendor.com"/>
    <n v="0"/>
    <n v="0"/>
    <n v="0"/>
    <n v="4"/>
    <n v="1"/>
    <n v="0"/>
    <n v="0"/>
    <n v="0"/>
    <x v="0"/>
    <n v="0"/>
    <n v="0"/>
    <n v="180"/>
  </r>
  <r>
    <s v="VND-026"/>
    <s v="Vendor_026"/>
    <x v="0"/>
    <x v="0"/>
    <n v="3480222"/>
    <s v="contact26@vendor.com"/>
    <n v="0"/>
    <n v="0"/>
    <n v="0"/>
    <n v="4"/>
    <n v="1"/>
    <n v="0"/>
    <n v="0"/>
    <n v="0"/>
    <x v="0"/>
    <n v="0"/>
    <n v="0"/>
    <n v="180"/>
  </r>
  <r>
    <s v="VND-027"/>
    <s v="Vendor_027"/>
    <x v="0"/>
    <x v="0"/>
    <n v="2844664"/>
    <s v="contact27@vendor.com"/>
    <n v="0"/>
    <n v="0"/>
    <n v="0"/>
    <n v="4"/>
    <n v="1"/>
    <n v="0"/>
    <n v="0"/>
    <n v="0"/>
    <x v="0"/>
    <n v="0"/>
    <n v="0"/>
    <n v="180"/>
  </r>
  <r>
    <s v="VND-028"/>
    <s v="Vendor_028"/>
    <x v="0"/>
    <x v="0"/>
    <n v="2378882"/>
    <s v="contact28@vendor.com"/>
    <n v="0"/>
    <n v="0"/>
    <n v="0"/>
    <n v="4"/>
    <n v="1"/>
    <n v="0"/>
    <n v="0"/>
    <n v="0"/>
    <x v="0"/>
    <n v="0"/>
    <n v="0"/>
    <n v="180"/>
  </r>
  <r>
    <s v="VND-029"/>
    <s v="Vendor_029"/>
    <x v="0"/>
    <x v="0"/>
    <n v="1077549"/>
    <s v="contact29@vendor.com"/>
    <n v="0"/>
    <n v="0"/>
    <n v="0"/>
    <n v="4"/>
    <n v="1"/>
    <n v="0"/>
    <n v="0"/>
    <n v="0"/>
    <x v="0"/>
    <n v="0"/>
    <n v="0"/>
    <n v="180"/>
  </r>
  <r>
    <s v="VND-030"/>
    <s v="Vendor_030"/>
    <x v="0"/>
    <x v="0"/>
    <n v="940767"/>
    <s v="contact30@vendor.com"/>
    <n v="0"/>
    <n v="0"/>
    <n v="0"/>
    <n v="4"/>
    <n v="1"/>
    <n v="0"/>
    <n v="0"/>
    <n v="0"/>
    <x v="0"/>
    <n v="0"/>
    <n v="0"/>
    <n v="180"/>
  </r>
  <r>
    <s v="VND-031"/>
    <s v="Vendor_031"/>
    <x v="0"/>
    <x v="0"/>
    <n v="307728"/>
    <s v="contact31@vendor.com"/>
    <n v="0"/>
    <n v="0"/>
    <n v="0"/>
    <n v="4"/>
    <n v="1"/>
    <n v="0"/>
    <n v="0"/>
    <n v="0"/>
    <x v="0"/>
    <n v="0"/>
    <n v="0"/>
    <n v="180"/>
  </r>
  <r>
    <s v="VND-032"/>
    <s v="Vendor_032"/>
    <x v="0"/>
    <x v="0"/>
    <n v="587054"/>
    <s v="contact32@vendor.com"/>
    <n v="0"/>
    <n v="0"/>
    <n v="0"/>
    <n v="4"/>
    <n v="1"/>
    <n v="0"/>
    <n v="0"/>
    <n v="0"/>
    <x v="0"/>
    <n v="0"/>
    <n v="0"/>
    <n v="180"/>
  </r>
  <r>
    <s v="VND-033"/>
    <s v="Vendor_033"/>
    <x v="0"/>
    <x v="0"/>
    <n v="383868"/>
    <s v="contact33@vendor.com"/>
    <n v="0"/>
    <n v="0"/>
    <n v="0"/>
    <n v="4"/>
    <n v="1"/>
    <n v="0"/>
    <n v="0"/>
    <n v="0"/>
    <x v="0"/>
    <n v="0"/>
    <n v="0"/>
    <n v="180"/>
  </r>
  <r>
    <s v="VND-034"/>
    <s v="Vendor_034"/>
    <x v="0"/>
    <x v="0"/>
    <n v="316419"/>
    <s v="contact34@vendor.com"/>
    <n v="0"/>
    <n v="0"/>
    <n v="0"/>
    <n v="4"/>
    <n v="1"/>
    <n v="0"/>
    <n v="0"/>
    <n v="0"/>
    <x v="0"/>
    <n v="0"/>
    <n v="0"/>
    <n v="180"/>
  </r>
  <r>
    <s v="VND-035"/>
    <s v="Vendor_035"/>
    <x v="0"/>
    <x v="0"/>
    <n v="867497"/>
    <s v="contact35@vendor.com"/>
    <n v="0"/>
    <n v="0"/>
    <n v="0"/>
    <n v="4"/>
    <n v="1"/>
    <n v="0"/>
    <n v="0"/>
    <n v="0"/>
    <x v="0"/>
    <n v="0"/>
    <n v="0"/>
    <n v="180"/>
  </r>
  <r>
    <s v="VND-036"/>
    <s v="Vendor_036"/>
    <x v="0"/>
    <x v="0"/>
    <n v="857077"/>
    <s v="contact36@vendor.com"/>
    <n v="0"/>
    <n v="0"/>
    <n v="0"/>
    <n v="4"/>
    <n v="1"/>
    <n v="0"/>
    <n v="0"/>
    <n v="0"/>
    <x v="0"/>
    <n v="0"/>
    <n v="0"/>
    <n v="180"/>
  </r>
  <r>
    <s v="VND-037"/>
    <s v="Vendor_037"/>
    <x v="0"/>
    <x v="0"/>
    <n v="986843"/>
    <s v="contact37@vendor.com"/>
    <n v="0"/>
    <n v="0"/>
    <n v="0"/>
    <n v="4"/>
    <n v="1"/>
    <n v="0"/>
    <n v="0"/>
    <n v="0"/>
    <x v="0"/>
    <n v="0"/>
    <n v="0"/>
    <n v="180"/>
  </r>
  <r>
    <s v="VND-038"/>
    <s v="Vendor_038"/>
    <x v="0"/>
    <x v="0"/>
    <n v="913891"/>
    <s v="contact38@vendor.com"/>
    <n v="0"/>
    <n v="0"/>
    <n v="0"/>
    <n v="4"/>
    <n v="1"/>
    <n v="0"/>
    <n v="0"/>
    <n v="0"/>
    <x v="0"/>
    <n v="0"/>
    <n v="0"/>
    <n v="180"/>
  </r>
  <r>
    <s v="VND-039"/>
    <s v="Vendor_039"/>
    <x v="0"/>
    <x v="0"/>
    <n v="4148318"/>
    <s v="contact39@vendor.com"/>
    <n v="0"/>
    <n v="0"/>
    <n v="0"/>
    <n v="4"/>
    <n v="1"/>
    <n v="0"/>
    <n v="0"/>
    <n v="0"/>
    <x v="0"/>
    <n v="0"/>
    <n v="0"/>
    <n v="180"/>
  </r>
  <r>
    <s v="VND-040"/>
    <s v="Vendor_040"/>
    <x v="0"/>
    <x v="0"/>
    <n v="2357778"/>
    <s v="contact40@vendor.com"/>
    <n v="0"/>
    <n v="0"/>
    <n v="0"/>
    <n v="4"/>
    <n v="1"/>
    <n v="0"/>
    <n v="0"/>
    <n v="0"/>
    <x v="0"/>
    <n v="0"/>
    <n v="0"/>
    <n v="180"/>
  </r>
  <r>
    <s v="VND-041"/>
    <s v="Vendor_041"/>
    <x v="0"/>
    <x v="0"/>
    <n v="1207576"/>
    <s v="contact41@vendor.com"/>
    <n v="0"/>
    <n v="0"/>
    <n v="0"/>
    <n v="4"/>
    <n v="1"/>
    <n v="0"/>
    <n v="0"/>
    <n v="0"/>
    <x v="0"/>
    <n v="0"/>
    <n v="0"/>
    <n v="180"/>
  </r>
  <r>
    <s v="VND-042"/>
    <s v="Vendor_042"/>
    <x v="0"/>
    <x v="0"/>
    <n v="4282083"/>
    <s v="contact42@vendor.com"/>
    <n v="0"/>
    <n v="0"/>
    <n v="0"/>
    <n v="4"/>
    <n v="1"/>
    <n v="0"/>
    <n v="0"/>
    <n v="0"/>
    <x v="0"/>
    <n v="0"/>
    <n v="0"/>
    <n v="180"/>
  </r>
  <r>
    <s v="VND-043"/>
    <s v="Vendor_043"/>
    <x v="0"/>
    <x v="0"/>
    <n v="2984145"/>
    <s v="contact43@vendor.com"/>
    <n v="0"/>
    <n v="0"/>
    <n v="0"/>
    <n v="4"/>
    <n v="1"/>
    <n v="0"/>
    <n v="0"/>
    <n v="0"/>
    <x v="0"/>
    <n v="0"/>
    <n v="0"/>
    <n v="180"/>
  </r>
  <r>
    <s v="VND-044"/>
    <s v="Vendor_044"/>
    <x v="0"/>
    <x v="0"/>
    <n v="3582752"/>
    <s v="contact44@vendor.com"/>
    <n v="0"/>
    <n v="0"/>
    <n v="0"/>
    <n v="4"/>
    <n v="1"/>
    <n v="0"/>
    <n v="0"/>
    <n v="0"/>
    <x v="0"/>
    <n v="0"/>
    <n v="0"/>
    <n v="180"/>
  </r>
  <r>
    <s v="VND-045"/>
    <s v="Vendor_045"/>
    <x v="0"/>
    <x v="0"/>
    <n v="161294"/>
    <s v="contact45@vendor.com"/>
    <n v="0"/>
    <n v="0"/>
    <n v="0"/>
    <n v="4"/>
    <n v="1"/>
    <n v="0"/>
    <n v="0"/>
    <n v="0"/>
    <x v="0"/>
    <n v="0"/>
    <n v="0"/>
    <n v="180"/>
  </r>
  <r>
    <s v="VND-046"/>
    <s v="Vendor_046"/>
    <x v="0"/>
    <x v="0"/>
    <n v="188730"/>
    <s v="contact46@vendor.com"/>
    <n v="0"/>
    <n v="0"/>
    <n v="0"/>
    <n v="4"/>
    <n v="1"/>
    <n v="0"/>
    <n v="0"/>
    <n v="0"/>
    <x v="0"/>
    <n v="0"/>
    <n v="0"/>
    <n v="180"/>
  </r>
  <r>
    <s v="VND-047"/>
    <s v="Vendor_047"/>
    <x v="0"/>
    <x v="0"/>
    <n v="147891"/>
    <s v="contact47@vendor.com"/>
    <n v="0"/>
    <n v="0"/>
    <n v="0"/>
    <n v="4"/>
    <n v="1"/>
    <n v="0"/>
    <n v="0"/>
    <n v="0"/>
    <x v="0"/>
    <n v="0"/>
    <n v="0"/>
    <n v="180"/>
  </r>
  <r>
    <s v="VND-048"/>
    <s v="Vendor_048"/>
    <x v="0"/>
    <x v="0"/>
    <n v="111608"/>
    <s v="contact48@vendor.com"/>
    <n v="0"/>
    <n v="0"/>
    <n v="0"/>
    <n v="4"/>
    <n v="1"/>
    <n v="0"/>
    <n v="0"/>
    <n v="0"/>
    <x v="0"/>
    <n v="0"/>
    <n v="0"/>
    <n v="180"/>
  </r>
  <r>
    <s v="VND-049"/>
    <s v="Vendor_049"/>
    <x v="0"/>
    <x v="0"/>
    <n v="143411"/>
    <s v="contact49@vendor.com"/>
    <n v="0"/>
    <n v="0"/>
    <n v="0"/>
    <n v="4"/>
    <n v="1"/>
    <n v="0"/>
    <n v="0"/>
    <n v="0"/>
    <x v="0"/>
    <n v="0"/>
    <n v="0"/>
    <n v="180"/>
  </r>
  <r>
    <s v="VND-050"/>
    <s v="Vendor_050"/>
    <x v="0"/>
    <x v="0"/>
    <n v="219952"/>
    <s v="contact50@vendor.com"/>
    <n v="0"/>
    <n v="0"/>
    <n v="0"/>
    <n v="4"/>
    <n v="1"/>
    <n v="0"/>
    <n v="0"/>
    <n v="0"/>
    <x v="0"/>
    <n v="0"/>
    <n v="0"/>
    <n v="180"/>
  </r>
  <r>
    <s v="VND-051"/>
    <s v="Vendor_051"/>
    <x v="0"/>
    <x v="0"/>
    <n v="123767"/>
    <s v="contact51@vendor.com"/>
    <n v="0"/>
    <n v="0"/>
    <n v="0"/>
    <n v="4"/>
    <n v="1"/>
    <n v="0"/>
    <n v="0"/>
    <n v="0"/>
    <x v="0"/>
    <n v="0"/>
    <n v="0"/>
    <n v="180"/>
  </r>
  <r>
    <s v="VND-052"/>
    <s v="Vendor_052"/>
    <x v="0"/>
    <x v="0"/>
    <n v="143578"/>
    <s v="contact52@vendor.com"/>
    <n v="0"/>
    <n v="0"/>
    <n v="0"/>
    <n v="4"/>
    <n v="1"/>
    <n v="0"/>
    <n v="0"/>
    <n v="0"/>
    <x v="0"/>
    <n v="0"/>
    <n v="0"/>
    <n v="180"/>
  </r>
  <r>
    <s v="VND-053"/>
    <s v="Vendor_053"/>
    <x v="0"/>
    <x v="0"/>
    <n v="66858"/>
    <s v="contact53@vendor.com"/>
    <n v="0"/>
    <n v="0"/>
    <n v="0"/>
    <n v="4"/>
    <n v="1"/>
    <n v="0"/>
    <n v="0"/>
    <n v="0"/>
    <x v="0"/>
    <n v="0"/>
    <n v="0"/>
    <n v="180"/>
  </r>
  <r>
    <s v="VND-054"/>
    <s v="Vendor_054"/>
    <x v="0"/>
    <x v="0"/>
    <n v="82987"/>
    <s v="contact54@vendor.com"/>
    <n v="0"/>
    <n v="0"/>
    <n v="0"/>
    <n v="4"/>
    <n v="1"/>
    <n v="0"/>
    <n v="0"/>
    <n v="0"/>
    <x v="0"/>
    <n v="0"/>
    <n v="0"/>
    <n v="180"/>
  </r>
  <r>
    <s v="VND-055"/>
    <s v="Vendor_055"/>
    <x v="0"/>
    <x v="0"/>
    <n v="198869"/>
    <s v="contact55@vendor.com"/>
    <n v="0"/>
    <n v="0"/>
    <n v="0"/>
    <n v="4"/>
    <n v="1"/>
    <n v="0"/>
    <n v="0"/>
    <n v="0"/>
    <x v="0"/>
    <n v="0"/>
    <n v="0"/>
    <n v="180"/>
  </r>
  <r>
    <s v="VND-056"/>
    <s v="Vendor_056"/>
    <x v="0"/>
    <x v="0"/>
    <n v="110052"/>
    <s v="contact56@vendor.com"/>
    <n v="0"/>
    <n v="0"/>
    <n v="0"/>
    <n v="4"/>
    <n v="1"/>
    <n v="0"/>
    <n v="0"/>
    <n v="0"/>
    <x v="0"/>
    <n v="0"/>
    <n v="0"/>
    <n v="180"/>
  </r>
  <r>
    <s v="VND-057"/>
    <s v="Vendor_057"/>
    <x v="0"/>
    <x v="0"/>
    <n v="225791"/>
    <s v="contact57@vendor.com"/>
    <n v="0"/>
    <n v="0"/>
    <n v="0"/>
    <n v="4"/>
    <n v="1"/>
    <n v="0"/>
    <n v="0"/>
    <n v="0"/>
    <x v="0"/>
    <n v="0"/>
    <n v="0"/>
    <n v="180"/>
  </r>
  <r>
    <s v="VND-058"/>
    <s v="Vendor_058"/>
    <x v="0"/>
    <x v="0"/>
    <n v="943736"/>
    <s v="contact58@vendor.com"/>
    <n v="0"/>
    <n v="0"/>
    <n v="0"/>
    <n v="4"/>
    <n v="1"/>
    <n v="0"/>
    <n v="0"/>
    <n v="0"/>
    <x v="0"/>
    <n v="0"/>
    <n v="0"/>
    <n v="180"/>
  </r>
  <r>
    <s v="VND-059"/>
    <s v="Vendor_059"/>
    <x v="0"/>
    <x v="0"/>
    <n v="504482"/>
    <s v="contact59@vendor.com"/>
    <n v="0"/>
    <n v="0"/>
    <n v="0"/>
    <n v="4"/>
    <n v="1"/>
    <n v="0"/>
    <n v="0"/>
    <n v="0"/>
    <x v="0"/>
    <n v="0"/>
    <n v="0"/>
    <n v="180"/>
  </r>
  <r>
    <s v="VND-060"/>
    <s v="Vendor_060"/>
    <x v="0"/>
    <x v="0"/>
    <n v="967713"/>
    <s v="contact60@vendor.com"/>
    <n v="0"/>
    <n v="0"/>
    <n v="0"/>
    <n v="4"/>
    <n v="1"/>
    <n v="0"/>
    <n v="0"/>
    <n v="0"/>
    <x v="0"/>
    <n v="0"/>
    <n v="0"/>
    <n v="180"/>
  </r>
  <r>
    <s v="VND-061"/>
    <s v="Vendor_061"/>
    <x v="0"/>
    <x v="0"/>
    <n v="601352"/>
    <s v="contact61@vendor.com"/>
    <n v="0"/>
    <n v="0"/>
    <n v="0"/>
    <n v="4"/>
    <n v="1"/>
    <n v="0"/>
    <n v="0"/>
    <n v="1"/>
    <x v="1"/>
    <n v="50"/>
    <n v="300676"/>
    <n v="104"/>
  </r>
  <r>
    <s v="VND-062"/>
    <s v="Vendor_062"/>
    <x v="0"/>
    <x v="0"/>
    <n v="642368"/>
    <s v="contact62@vendor.com"/>
    <n v="0"/>
    <n v="0"/>
    <n v="0"/>
    <n v="4"/>
    <n v="1"/>
    <n v="0"/>
    <n v="0"/>
    <n v="0"/>
    <x v="0"/>
    <n v="0"/>
    <n v="0"/>
    <n v="180"/>
  </r>
  <r>
    <s v="VND-063"/>
    <s v="Vendor_063"/>
    <x v="0"/>
    <x v="0"/>
    <n v="979044"/>
    <s v="contact63@vendor.com"/>
    <n v="0"/>
    <n v="0"/>
    <n v="0"/>
    <n v="4"/>
    <n v="1"/>
    <n v="0"/>
    <n v="0"/>
    <n v="0"/>
    <x v="0"/>
    <n v="0"/>
    <n v="0"/>
    <n v="180"/>
  </r>
  <r>
    <s v="VND-064"/>
    <s v="Vendor_064"/>
    <x v="0"/>
    <x v="0"/>
    <n v="584191"/>
    <s v="contact64@vendor.com"/>
    <n v="0"/>
    <n v="0"/>
    <n v="0"/>
    <n v="4"/>
    <n v="1"/>
    <n v="0"/>
    <n v="0"/>
    <n v="0"/>
    <x v="0"/>
    <n v="0"/>
    <n v="0"/>
    <n v="180"/>
  </r>
  <r>
    <s v="VND-065"/>
    <s v="Vendor_065"/>
    <x v="0"/>
    <x v="0"/>
    <n v="757531"/>
    <s v="contact65@vendor.com"/>
    <n v="0"/>
    <n v="0"/>
    <n v="0"/>
    <n v="4"/>
    <n v="1"/>
    <n v="0"/>
    <n v="0"/>
    <n v="0"/>
    <x v="0"/>
    <n v="0"/>
    <n v="0"/>
    <n v="180"/>
  </r>
  <r>
    <s v="VND-066"/>
    <s v="Vendor_066"/>
    <x v="0"/>
    <x v="0"/>
    <n v="585873"/>
    <s v="contact66@vendor.com"/>
    <n v="0"/>
    <n v="0"/>
    <n v="0"/>
    <n v="4"/>
    <n v="1"/>
    <n v="0"/>
    <n v="0"/>
    <n v="0"/>
    <x v="0"/>
    <n v="0"/>
    <n v="0"/>
    <n v="180"/>
  </r>
  <r>
    <s v="VND-067"/>
    <s v="Vendor_067"/>
    <x v="0"/>
    <x v="0"/>
    <n v="808214"/>
    <s v="contact67@vendor.com"/>
    <n v="0"/>
    <n v="0"/>
    <n v="0"/>
    <n v="4"/>
    <n v="1"/>
    <n v="0"/>
    <n v="0"/>
    <n v="0"/>
    <x v="0"/>
    <n v="0"/>
    <n v="0"/>
    <n v="180"/>
  </r>
  <r>
    <s v="VND-068"/>
    <s v="Vendor_068"/>
    <x v="0"/>
    <x v="0"/>
    <n v="858337"/>
    <s v="contact68@vendor.com"/>
    <n v="0"/>
    <n v="0"/>
    <n v="0"/>
    <n v="4"/>
    <n v="1"/>
    <n v="0"/>
    <n v="0"/>
    <n v="0"/>
    <x v="0"/>
    <n v="0"/>
    <n v="0"/>
    <n v="180"/>
  </r>
  <r>
    <s v="VND-069"/>
    <s v="Vendor_069"/>
    <x v="0"/>
    <x v="0"/>
    <n v="859559"/>
    <s v="contact69@vendor.com"/>
    <n v="0"/>
    <n v="0"/>
    <n v="0"/>
    <n v="4"/>
    <n v="1"/>
    <n v="0"/>
    <n v="0"/>
    <n v="0"/>
    <x v="0"/>
    <n v="0"/>
    <n v="0"/>
    <n v="180"/>
  </r>
  <r>
    <s v="VND-070"/>
    <s v="Vendor_070"/>
    <x v="0"/>
    <x v="0"/>
    <n v="209370"/>
    <s v="contact70@vendor.com"/>
    <n v="0"/>
    <n v="0"/>
    <n v="0"/>
    <n v="4"/>
    <n v="1"/>
    <n v="0"/>
    <n v="0"/>
    <n v="0"/>
    <x v="0"/>
    <n v="0"/>
    <n v="0"/>
    <n v="180"/>
  </r>
  <r>
    <s v="VND-071"/>
    <s v="Vendor_071"/>
    <x v="0"/>
    <x v="0"/>
    <n v="420206"/>
    <s v="contact71@vendor.com"/>
    <n v="0"/>
    <n v="0"/>
    <n v="0"/>
    <n v="4"/>
    <n v="1"/>
    <n v="0"/>
    <n v="0"/>
    <n v="0"/>
    <x v="0"/>
    <n v="0"/>
    <n v="0"/>
    <n v="180"/>
  </r>
  <r>
    <s v="VND-072"/>
    <s v="Vendor_072"/>
    <x v="0"/>
    <x v="0"/>
    <n v="310917"/>
    <s v="contact72@vendor.com"/>
    <n v="0"/>
    <n v="0"/>
    <n v="0"/>
    <n v="4"/>
    <n v="1"/>
    <n v="0"/>
    <n v="0"/>
    <n v="0"/>
    <x v="0"/>
    <n v="0"/>
    <n v="0"/>
    <n v="180"/>
  </r>
  <r>
    <s v="VND-073"/>
    <s v="Vendor_073"/>
    <x v="0"/>
    <x v="0"/>
    <n v="948247"/>
    <s v="contact73@vendor.com"/>
    <n v="0"/>
    <n v="0"/>
    <n v="0"/>
    <n v="4"/>
    <n v="1"/>
    <n v="0"/>
    <n v="0"/>
    <n v="0"/>
    <x v="0"/>
    <n v="0"/>
    <n v="0"/>
    <n v="180"/>
  </r>
  <r>
    <s v="VND-074"/>
    <s v="Vendor_074"/>
    <x v="0"/>
    <x v="0"/>
    <n v="539339"/>
    <s v="contact74@vendor.com"/>
    <n v="0"/>
    <n v="0"/>
    <n v="0"/>
    <n v="4"/>
    <n v="1"/>
    <n v="0"/>
    <n v="0"/>
    <n v="0"/>
    <x v="0"/>
    <n v="0"/>
    <n v="0"/>
    <n v="180"/>
  </r>
  <r>
    <s v="VND-075"/>
    <s v="Vendor_075"/>
    <x v="0"/>
    <x v="0"/>
    <n v="907124"/>
    <s v="contact75@vendor.com"/>
    <n v="0"/>
    <n v="0"/>
    <n v="0"/>
    <n v="4"/>
    <n v="1"/>
    <n v="0"/>
    <n v="0"/>
    <n v="0"/>
    <x v="0"/>
    <n v="0"/>
    <n v="0"/>
    <n v="180"/>
  </r>
  <r>
    <s v="VND-076"/>
    <s v="Vendor_076"/>
    <x v="0"/>
    <x v="0"/>
    <n v="862772"/>
    <s v="contact76@vendor.com"/>
    <n v="0"/>
    <n v="0"/>
    <n v="0"/>
    <n v="4"/>
    <n v="1"/>
    <n v="0"/>
    <n v="0"/>
    <n v="0"/>
    <x v="0"/>
    <n v="0"/>
    <n v="0"/>
    <n v="180"/>
  </r>
  <r>
    <s v="VND-077"/>
    <s v="Vendor_077"/>
    <x v="0"/>
    <x v="0"/>
    <n v="832602"/>
    <s v="contact77@vendor.com"/>
    <n v="0"/>
    <n v="0"/>
    <n v="0"/>
    <n v="4"/>
    <n v="1"/>
    <n v="0"/>
    <n v="0"/>
    <n v="0"/>
    <x v="0"/>
    <n v="0"/>
    <n v="0"/>
    <n v="180"/>
  </r>
  <r>
    <s v="VND-078"/>
    <s v="Vendor_078"/>
    <x v="0"/>
    <x v="0"/>
    <n v="449146"/>
    <s v="contact78@vendor.com"/>
    <n v="0"/>
    <n v="0"/>
    <n v="0"/>
    <n v="4"/>
    <n v="1"/>
    <n v="0"/>
    <n v="0"/>
    <n v="0"/>
    <x v="0"/>
    <n v="0"/>
    <n v="0"/>
    <n v="180"/>
  </r>
  <r>
    <s v="VND-079"/>
    <s v="Vendor_079"/>
    <x v="0"/>
    <x v="0"/>
    <n v="803101"/>
    <s v="contact79@vendor.com"/>
    <n v="0"/>
    <n v="0"/>
    <n v="0"/>
    <n v="4"/>
    <n v="1"/>
    <n v="0"/>
    <n v="0"/>
    <n v="0"/>
    <x v="0"/>
    <n v="0"/>
    <n v="0"/>
    <n v="180"/>
  </r>
  <r>
    <s v="VND-080"/>
    <s v="Vendor_080"/>
    <x v="1"/>
    <x v="0"/>
    <n v="281515"/>
    <s v="contact80@vendor.com"/>
    <n v="0"/>
    <n v="0"/>
    <n v="0"/>
    <n v="4"/>
    <n v="1"/>
    <n v="0"/>
    <n v="0"/>
    <n v="0"/>
    <x v="0"/>
    <n v="0"/>
    <n v="0"/>
    <n v="180"/>
  </r>
  <r>
    <s v="VND-081"/>
    <s v="Vendor_081"/>
    <x v="1"/>
    <x v="0"/>
    <n v="1742903"/>
    <s v="contact81@vendor.com"/>
    <n v="0"/>
    <n v="0"/>
    <n v="0"/>
    <n v="4"/>
    <n v="1"/>
    <n v="0"/>
    <n v="0"/>
    <n v="0"/>
    <x v="0"/>
    <n v="0"/>
    <n v="0"/>
    <n v="180"/>
  </r>
  <r>
    <s v="VND-082"/>
    <s v="Vendor_082"/>
    <x v="1"/>
    <x v="0"/>
    <n v="4730138"/>
    <s v="contact82@vendor.com"/>
    <n v="0"/>
    <n v="0"/>
    <n v="0"/>
    <n v="4"/>
    <n v="1"/>
    <n v="0"/>
    <n v="0"/>
    <n v="0"/>
    <x v="0"/>
    <n v="0"/>
    <n v="0"/>
    <n v="180"/>
  </r>
  <r>
    <s v="VND-083"/>
    <s v="Vendor_083"/>
    <x v="1"/>
    <x v="0"/>
    <n v="3821762"/>
    <s v="contact83@vendor.com"/>
    <n v="0"/>
    <n v="0"/>
    <n v="0"/>
    <n v="4"/>
    <n v="1"/>
    <n v="0"/>
    <n v="0"/>
    <n v="0"/>
    <x v="0"/>
    <n v="0"/>
    <n v="0"/>
    <n v="180"/>
  </r>
  <r>
    <s v="VND-084"/>
    <s v="Vendor_084"/>
    <x v="1"/>
    <x v="0"/>
    <n v="1876031"/>
    <s v="contact84@vendor.com"/>
    <n v="0"/>
    <n v="0"/>
    <n v="0"/>
    <n v="4"/>
    <n v="1"/>
    <n v="0"/>
    <n v="0"/>
    <n v="0"/>
    <x v="0"/>
    <n v="0"/>
    <n v="0"/>
    <n v="180"/>
  </r>
  <r>
    <s v="VND-085"/>
    <s v="Vendor_085"/>
    <x v="1"/>
    <x v="0"/>
    <n v="1897949"/>
    <s v="contact85@vendor.com"/>
    <n v="0"/>
    <n v="0"/>
    <n v="0"/>
    <n v="4"/>
    <n v="1"/>
    <n v="0"/>
    <n v="0"/>
    <n v="0"/>
    <x v="0"/>
    <n v="0"/>
    <n v="0"/>
    <n v="180"/>
  </r>
  <r>
    <s v="VND-086"/>
    <s v="Vendor_086"/>
    <x v="1"/>
    <x v="0"/>
    <n v="4564321"/>
    <s v="contact86@vendor.com"/>
    <n v="0"/>
    <n v="0"/>
    <n v="0"/>
    <n v="4"/>
    <n v="1"/>
    <n v="0"/>
    <n v="0"/>
    <n v="0"/>
    <x v="0"/>
    <n v="0"/>
    <n v="0"/>
    <n v="180"/>
  </r>
  <r>
    <s v="VND-087"/>
    <s v="Vendor_087"/>
    <x v="1"/>
    <x v="0"/>
    <n v="1655153"/>
    <s v="contact87@vendor.com"/>
    <n v="0"/>
    <n v="0"/>
    <n v="0"/>
    <n v="4"/>
    <n v="1"/>
    <n v="0"/>
    <n v="0"/>
    <n v="0"/>
    <x v="0"/>
    <n v="0"/>
    <n v="0"/>
    <n v="180"/>
  </r>
  <r>
    <s v="VND-088"/>
    <s v="Vendor_088"/>
    <x v="1"/>
    <x v="0"/>
    <n v="4036202"/>
    <s v="contact88@vendor.com"/>
    <n v="0"/>
    <n v="0"/>
    <n v="0"/>
    <n v="4"/>
    <n v="1"/>
    <n v="0"/>
    <n v="0"/>
    <n v="0"/>
    <x v="0"/>
    <n v="0"/>
    <n v="0"/>
    <n v="180"/>
  </r>
  <r>
    <s v="VND-089"/>
    <s v="Vendor_089"/>
    <x v="1"/>
    <x v="0"/>
    <n v="4954727"/>
    <s v="contact89@vendor.com"/>
    <n v="0"/>
    <n v="0"/>
    <n v="0"/>
    <n v="4"/>
    <n v="1"/>
    <n v="0"/>
    <n v="0"/>
    <n v="0"/>
    <x v="0"/>
    <n v="0"/>
    <n v="0"/>
    <n v="180"/>
  </r>
  <r>
    <s v="VND-090"/>
    <s v="Vendor_090"/>
    <x v="1"/>
    <x v="0"/>
    <n v="4184377"/>
    <s v="contact90@vendor.com"/>
    <n v="0"/>
    <n v="0"/>
    <n v="0"/>
    <n v="4"/>
    <n v="1"/>
    <n v="0"/>
    <n v="0"/>
    <n v="0"/>
    <x v="0"/>
    <n v="0"/>
    <n v="0"/>
    <n v="180"/>
  </r>
  <r>
    <s v="VND-091"/>
    <s v="Vendor_091"/>
    <x v="1"/>
    <x v="0"/>
    <n v="4965474"/>
    <s v="contact91@vendor.com"/>
    <n v="0"/>
    <n v="0"/>
    <n v="0"/>
    <n v="4"/>
    <n v="1"/>
    <n v="0"/>
    <n v="0"/>
    <n v="0"/>
    <x v="0"/>
    <n v="0"/>
    <n v="0"/>
    <n v="180"/>
  </r>
  <r>
    <s v="VND-092"/>
    <s v="Vendor_092"/>
    <x v="1"/>
    <x v="0"/>
    <n v="2521069"/>
    <s v="contact92@vendor.com"/>
    <n v="0"/>
    <n v="0"/>
    <n v="0"/>
    <n v="4"/>
    <n v="1"/>
    <n v="0"/>
    <n v="0"/>
    <n v="0"/>
    <x v="0"/>
    <n v="0"/>
    <n v="0"/>
    <n v="180"/>
  </r>
  <r>
    <s v="VND-093"/>
    <s v="Vendor_093"/>
    <x v="1"/>
    <x v="0"/>
    <n v="2443963"/>
    <s v="contact93@vendor.com"/>
    <n v="0"/>
    <n v="0"/>
    <n v="0"/>
    <n v="4"/>
    <n v="1"/>
    <n v="0"/>
    <n v="0"/>
    <n v="0"/>
    <x v="0"/>
    <n v="0"/>
    <n v="0"/>
    <n v="180"/>
  </r>
  <r>
    <s v="VND-094"/>
    <s v="Vendor_094"/>
    <x v="1"/>
    <x v="0"/>
    <n v="2606081"/>
    <s v="contact94@vendor.com"/>
    <n v="0"/>
    <n v="0"/>
    <n v="0"/>
    <n v="4"/>
    <n v="1"/>
    <n v="0"/>
    <n v="0"/>
    <n v="0"/>
    <x v="0"/>
    <n v="0"/>
    <n v="0"/>
    <n v="180"/>
  </r>
  <r>
    <s v="VND-095"/>
    <s v="Vendor_095"/>
    <x v="1"/>
    <x v="0"/>
    <n v="2885376"/>
    <s v="contact95@vendor.com"/>
    <n v="0"/>
    <n v="0"/>
    <n v="0"/>
    <n v="4"/>
    <n v="1"/>
    <n v="0"/>
    <n v="0"/>
    <n v="0"/>
    <x v="0"/>
    <n v="0"/>
    <n v="0"/>
    <n v="180"/>
  </r>
  <r>
    <s v="VND-096"/>
    <s v="Vendor_096"/>
    <x v="1"/>
    <x v="0"/>
    <n v="3823009"/>
    <s v="contact96@vendor.com"/>
    <n v="0"/>
    <n v="0"/>
    <n v="0"/>
    <n v="4"/>
    <n v="1"/>
    <n v="0"/>
    <n v="0"/>
    <n v="0"/>
    <x v="0"/>
    <n v="0"/>
    <n v="0"/>
    <n v="180"/>
  </r>
  <r>
    <s v="VND-097"/>
    <s v="Vendor_097"/>
    <x v="1"/>
    <x v="0"/>
    <n v="4854918"/>
    <s v="contact97@vendor.com"/>
    <n v="0"/>
    <n v="0"/>
    <n v="0"/>
    <n v="4"/>
    <n v="1"/>
    <n v="0"/>
    <n v="0"/>
    <n v="0"/>
    <x v="0"/>
    <n v="0"/>
    <n v="0"/>
    <n v="180"/>
  </r>
  <r>
    <s v="VND-098"/>
    <s v="Vendor_098"/>
    <x v="1"/>
    <x v="0"/>
    <n v="661326"/>
    <s v="contact98@vendor.com"/>
    <n v="0"/>
    <n v="0"/>
    <n v="0"/>
    <n v="4"/>
    <n v="1"/>
    <n v="0"/>
    <n v="0"/>
    <n v="0"/>
    <x v="0"/>
    <n v="0"/>
    <n v="0"/>
    <n v="180"/>
  </r>
  <r>
    <s v="VND-099"/>
    <s v="Vendor_099"/>
    <x v="1"/>
    <x v="0"/>
    <n v="324802"/>
    <s v="contact99@vendor.com"/>
    <n v="0"/>
    <n v="0"/>
    <n v="0"/>
    <n v="4"/>
    <n v="1"/>
    <n v="0"/>
    <n v="0"/>
    <n v="0"/>
    <x v="0"/>
    <n v="0"/>
    <n v="0"/>
    <n v="180"/>
  </r>
  <r>
    <s v="VND-100"/>
    <s v="Vendor_100"/>
    <x v="1"/>
    <x v="0"/>
    <n v="884504"/>
    <s v="contact100@vendor.com"/>
    <n v="0"/>
    <n v="0"/>
    <n v="0"/>
    <n v="4"/>
    <n v="1"/>
    <n v="0"/>
    <n v="0"/>
    <n v="0"/>
    <x v="0"/>
    <n v="0"/>
    <n v="0"/>
    <n v="180"/>
  </r>
  <r>
    <s v="VND-101"/>
    <s v="Vendor_101"/>
    <x v="1"/>
    <x v="1"/>
    <n v="880187"/>
    <s v="contact101@vendor.com"/>
    <n v="0"/>
    <n v="0"/>
    <n v="0"/>
    <n v="4"/>
    <n v="1"/>
    <n v="0"/>
    <n v="0"/>
    <n v="0"/>
    <x v="0"/>
    <n v="0"/>
    <n v="0"/>
    <n v="180"/>
  </r>
  <r>
    <s v="VND-102"/>
    <s v="Vendor_102"/>
    <x v="1"/>
    <x v="1"/>
    <n v="984499"/>
    <s v="contact102@vendor.com"/>
    <n v="0"/>
    <n v="0"/>
    <n v="0"/>
    <n v="4"/>
    <n v="1"/>
    <n v="0"/>
    <n v="0"/>
    <n v="0"/>
    <x v="0"/>
    <n v="0"/>
    <n v="0"/>
    <n v="180"/>
  </r>
  <r>
    <s v="VND-103"/>
    <s v="Vendor_103"/>
    <x v="1"/>
    <x v="1"/>
    <n v="965061"/>
    <s v="contact103@vendor.com"/>
    <n v="0"/>
    <n v="0"/>
    <n v="0"/>
    <n v="4"/>
    <n v="1"/>
    <n v="0"/>
    <n v="0"/>
    <n v="0"/>
    <x v="0"/>
    <n v="0"/>
    <n v="0"/>
    <n v="180"/>
  </r>
  <r>
    <s v="VND-104"/>
    <s v="Vendor_104"/>
    <x v="1"/>
    <x v="1"/>
    <n v="397483"/>
    <s v="contact104@vendor.com"/>
    <n v="0"/>
    <n v="0"/>
    <n v="0"/>
    <n v="4"/>
    <n v="1"/>
    <n v="0"/>
    <n v="0"/>
    <n v="0"/>
    <x v="0"/>
    <n v="0"/>
    <n v="0"/>
    <n v="180"/>
  </r>
  <r>
    <s v="VND-105"/>
    <s v="Vendor_105"/>
    <x v="1"/>
    <x v="1"/>
    <n v="669639"/>
    <s v="contact105@vendor.com"/>
    <n v="0"/>
    <n v="0"/>
    <n v="0"/>
    <n v="4"/>
    <n v="1"/>
    <n v="0"/>
    <n v="0"/>
    <n v="0"/>
    <x v="0"/>
    <n v="0"/>
    <n v="0"/>
    <n v="180"/>
  </r>
  <r>
    <s v="VND-106"/>
    <s v="Vendor_106"/>
    <x v="1"/>
    <x v="1"/>
    <n v="576400"/>
    <s v="contact106@vendor.com"/>
    <n v="0"/>
    <n v="0"/>
    <n v="0"/>
    <n v="4"/>
    <n v="1"/>
    <n v="0"/>
    <n v="0"/>
    <n v="0"/>
    <x v="0"/>
    <n v="0"/>
    <n v="0"/>
    <n v="180"/>
  </r>
  <r>
    <s v="VND-107"/>
    <s v="Vendor_107"/>
    <x v="1"/>
    <x v="1"/>
    <n v="559844"/>
    <s v="contact107@vendor.com"/>
    <n v="0"/>
    <n v="0"/>
    <n v="0"/>
    <n v="4"/>
    <n v="1"/>
    <n v="0"/>
    <n v="0"/>
    <n v="0"/>
    <x v="0"/>
    <n v="0"/>
    <n v="0"/>
    <n v="180"/>
  </r>
  <r>
    <s v="VND-108"/>
    <s v="Vendor_108"/>
    <x v="1"/>
    <x v="1"/>
    <n v="609032"/>
    <s v="contact108@vendor.com"/>
    <n v="0"/>
    <n v="0"/>
    <n v="0"/>
    <n v="4"/>
    <n v="1"/>
    <n v="0"/>
    <n v="0"/>
    <n v="0"/>
    <x v="0"/>
    <n v="0"/>
    <n v="0"/>
    <n v="180"/>
  </r>
  <r>
    <s v="VND-109"/>
    <s v="Vendor_109"/>
    <x v="1"/>
    <x v="1"/>
    <n v="431660"/>
    <s v="contact109@vendor.com"/>
    <n v="0"/>
    <n v="0"/>
    <n v="0"/>
    <n v="4"/>
    <n v="1"/>
    <n v="0"/>
    <n v="0"/>
    <n v="0"/>
    <x v="0"/>
    <n v="0"/>
    <n v="0"/>
    <n v="180"/>
  </r>
  <r>
    <s v="VND-110"/>
    <s v="Vendor_110"/>
    <x v="1"/>
    <x v="1"/>
    <n v="737991"/>
    <s v="contact110@vendor.com"/>
    <n v="0"/>
    <n v="0"/>
    <n v="0"/>
    <n v="4"/>
    <n v="1"/>
    <n v="0"/>
    <n v="0"/>
    <n v="0"/>
    <x v="0"/>
    <n v="0"/>
    <n v="0"/>
    <n v="180"/>
  </r>
  <r>
    <s v="VND-111"/>
    <s v="Vendor_111"/>
    <x v="1"/>
    <x v="1"/>
    <n v="870055"/>
    <s v="contact111@vendor.com"/>
    <n v="0"/>
    <n v="0"/>
    <n v="0"/>
    <n v="4"/>
    <n v="1"/>
    <n v="0"/>
    <n v="0"/>
    <n v="0"/>
    <x v="0"/>
    <n v="0"/>
    <n v="0"/>
    <n v="180"/>
  </r>
  <r>
    <s v="VND-112"/>
    <s v="Vendor_112"/>
    <x v="1"/>
    <x v="1"/>
    <n v="571701"/>
    <s v="contact112@vendor.com"/>
    <n v="0"/>
    <n v="0"/>
    <n v="0"/>
    <n v="4"/>
    <n v="1"/>
    <n v="0"/>
    <n v="0"/>
    <n v="0"/>
    <x v="0"/>
    <n v="0"/>
    <n v="0"/>
    <n v="180"/>
  </r>
  <r>
    <s v="VND-113"/>
    <s v="Vendor_113"/>
    <x v="1"/>
    <x v="1"/>
    <n v="606756"/>
    <s v="contact113@vendor.com"/>
    <n v="0"/>
    <n v="0"/>
    <n v="0"/>
    <n v="4"/>
    <n v="1"/>
    <n v="0"/>
    <n v="0"/>
    <n v="0"/>
    <x v="0"/>
    <n v="0"/>
    <n v="0"/>
    <n v="180"/>
  </r>
  <r>
    <s v="VND-114"/>
    <s v="Vendor_114"/>
    <x v="1"/>
    <x v="1"/>
    <n v="629494"/>
    <s v="contact114@vendor.com"/>
    <n v="0"/>
    <n v="0"/>
    <n v="0"/>
    <n v="4"/>
    <n v="1"/>
    <n v="0"/>
    <n v="0"/>
    <n v="0"/>
    <x v="0"/>
    <n v="0"/>
    <n v="0"/>
    <n v="180"/>
  </r>
  <r>
    <s v="VND-115"/>
    <s v="Vendor_115"/>
    <x v="1"/>
    <x v="1"/>
    <n v="832133"/>
    <s v="contact115@vendor.com"/>
    <n v="0"/>
    <n v="0"/>
    <n v="0"/>
    <n v="4"/>
    <n v="1"/>
    <n v="0"/>
    <n v="0"/>
    <n v="0"/>
    <x v="0"/>
    <n v="0"/>
    <n v="0"/>
    <n v="180"/>
  </r>
  <r>
    <s v="VND-116"/>
    <s v="Vendor_116"/>
    <x v="1"/>
    <x v="1"/>
    <n v="286784"/>
    <s v="contact116@vendor.com"/>
    <n v="0"/>
    <n v="0"/>
    <n v="0"/>
    <n v="4"/>
    <n v="1"/>
    <n v="0"/>
    <n v="0"/>
    <n v="0"/>
    <x v="0"/>
    <n v="0"/>
    <n v="0"/>
    <n v="180"/>
  </r>
  <r>
    <s v="VND-117"/>
    <s v="Vendor_117"/>
    <x v="1"/>
    <x v="1"/>
    <n v="875558"/>
    <s v="contact117@vendor.com"/>
    <n v="0"/>
    <n v="0"/>
    <n v="0"/>
    <n v="4"/>
    <n v="1"/>
    <n v="0"/>
    <n v="0"/>
    <n v="0"/>
    <x v="0"/>
    <n v="0"/>
    <n v="0"/>
    <n v="180"/>
  </r>
  <r>
    <s v="VND-118"/>
    <s v="Vendor_118"/>
    <x v="1"/>
    <x v="1"/>
    <n v="941133"/>
    <s v="contact118@vendor.com"/>
    <n v="0"/>
    <n v="0"/>
    <n v="0"/>
    <n v="4"/>
    <n v="1"/>
    <n v="0"/>
    <n v="0"/>
    <n v="0"/>
    <x v="0"/>
    <n v="0"/>
    <n v="0"/>
    <n v="180"/>
  </r>
  <r>
    <s v="VND-119"/>
    <s v="Vendor_119"/>
    <x v="1"/>
    <x v="1"/>
    <n v="669737"/>
    <s v="contact119@vendor.com"/>
    <n v="0"/>
    <n v="0"/>
    <n v="0"/>
    <n v="4"/>
    <n v="1"/>
    <n v="0"/>
    <n v="0"/>
    <n v="0"/>
    <x v="0"/>
    <n v="0"/>
    <n v="0"/>
    <n v="180"/>
  </r>
  <r>
    <s v="VND-120"/>
    <s v="Vendor_120"/>
    <x v="1"/>
    <x v="1"/>
    <n v="772560"/>
    <s v="contact120@vendor.com"/>
    <n v="0"/>
    <n v="0"/>
    <n v="0"/>
    <n v="4"/>
    <n v="1"/>
    <n v="0"/>
    <n v="0"/>
    <n v="0"/>
    <x v="0"/>
    <n v="0"/>
    <n v="0"/>
    <n v="180"/>
  </r>
  <r>
    <s v="VND-121"/>
    <s v="Vendor_121"/>
    <x v="1"/>
    <x v="1"/>
    <n v="491599"/>
    <s v="contact121@vendor.com"/>
    <n v="0"/>
    <n v="0"/>
    <n v="0"/>
    <n v="4"/>
    <n v="1"/>
    <n v="0"/>
    <n v="0"/>
    <n v="0"/>
    <x v="0"/>
    <n v="0"/>
    <n v="0"/>
    <n v="180"/>
  </r>
  <r>
    <s v="VND-122"/>
    <s v="Vendor_122"/>
    <x v="1"/>
    <x v="1"/>
    <n v="200621"/>
    <s v="contact122@vendor.com"/>
    <n v="0"/>
    <n v="0"/>
    <n v="0"/>
    <n v="4"/>
    <n v="1"/>
    <n v="0"/>
    <n v="0"/>
    <n v="0"/>
    <x v="0"/>
    <n v="0"/>
    <n v="0"/>
    <n v="180"/>
  </r>
  <r>
    <s v="VND-123"/>
    <s v="Vendor_123"/>
    <x v="1"/>
    <x v="1"/>
    <n v="208584"/>
    <s v="contact123@vendor.com"/>
    <n v="0"/>
    <n v="0"/>
    <n v="0"/>
    <n v="4"/>
    <n v="1"/>
    <n v="0"/>
    <n v="0"/>
    <n v="0"/>
    <x v="0"/>
    <n v="0"/>
    <n v="0"/>
    <n v="180"/>
  </r>
  <r>
    <s v="VND-124"/>
    <s v="Vendor_124"/>
    <x v="1"/>
    <x v="1"/>
    <n v="177615"/>
    <s v="contact124@vendor.com"/>
    <n v="0"/>
    <n v="0"/>
    <n v="0"/>
    <n v="4"/>
    <n v="1"/>
    <n v="0"/>
    <n v="0"/>
    <n v="0"/>
    <x v="0"/>
    <n v="0"/>
    <n v="0"/>
    <n v="180"/>
  </r>
  <r>
    <s v="VND-125"/>
    <s v="Vendor_125"/>
    <x v="1"/>
    <x v="1"/>
    <n v="143477"/>
    <s v="contact125@vendor.com"/>
    <n v="0"/>
    <n v="0"/>
    <n v="0"/>
    <n v="4"/>
    <n v="1"/>
    <n v="0"/>
    <n v="0"/>
    <n v="0"/>
    <x v="0"/>
    <n v="0"/>
    <n v="0"/>
    <n v="180"/>
  </r>
  <r>
    <s v="VND-126"/>
    <s v="Vendor_126"/>
    <x v="1"/>
    <x v="1"/>
    <n v="162867"/>
    <s v="contact126@vendor.com"/>
    <n v="0"/>
    <n v="0"/>
    <n v="0"/>
    <n v="4"/>
    <n v="1"/>
    <n v="0"/>
    <n v="0"/>
    <n v="0"/>
    <x v="0"/>
    <n v="0"/>
    <n v="0"/>
    <n v="180"/>
  </r>
  <r>
    <s v="VND-127"/>
    <s v="Vendor_127"/>
    <x v="1"/>
    <x v="1"/>
    <n v="149197"/>
    <s v="contact127@vendor.com"/>
    <n v="0"/>
    <n v="0"/>
    <n v="0"/>
    <n v="4"/>
    <n v="1"/>
    <n v="0"/>
    <n v="0"/>
    <n v="0"/>
    <x v="0"/>
    <n v="0"/>
    <n v="0"/>
    <n v="180"/>
  </r>
  <r>
    <s v="VND-128"/>
    <s v="Vendor_128"/>
    <x v="1"/>
    <x v="1"/>
    <n v="136966"/>
    <s v="contact128@vendor.com"/>
    <n v="0"/>
    <n v="0"/>
    <n v="0"/>
    <n v="4"/>
    <n v="1"/>
    <n v="0"/>
    <n v="0"/>
    <n v="0"/>
    <x v="0"/>
    <n v="0"/>
    <n v="0"/>
    <n v="180"/>
  </r>
  <r>
    <s v="VND-129"/>
    <s v="Vendor_129"/>
    <x v="1"/>
    <x v="1"/>
    <n v="196255"/>
    <s v="contact129@vendor.com"/>
    <n v="0"/>
    <n v="0"/>
    <n v="0"/>
    <n v="4"/>
    <n v="1"/>
    <n v="0"/>
    <n v="0"/>
    <n v="0"/>
    <x v="0"/>
    <n v="0"/>
    <n v="0"/>
    <n v="180"/>
  </r>
  <r>
    <s v="VND-130"/>
    <s v="Vendor_130"/>
    <x v="1"/>
    <x v="1"/>
    <n v="59879"/>
    <s v="contact130@vendor.com"/>
    <n v="0"/>
    <n v="0"/>
    <n v="0"/>
    <n v="4"/>
    <n v="1"/>
    <n v="0"/>
    <n v="0"/>
    <n v="0"/>
    <x v="0"/>
    <n v="0"/>
    <n v="0"/>
    <n v="180"/>
  </r>
  <r>
    <s v="VND-131"/>
    <s v="Vendor_131"/>
    <x v="1"/>
    <x v="1"/>
    <n v="92875"/>
    <s v="contact131@vendor.com"/>
    <n v="0"/>
    <n v="0"/>
    <n v="0"/>
    <n v="4"/>
    <n v="1"/>
    <n v="0"/>
    <n v="0"/>
    <n v="0"/>
    <x v="0"/>
    <n v="0"/>
    <n v="0"/>
    <n v="180"/>
  </r>
  <r>
    <s v="VND-132"/>
    <s v="Vendor_132"/>
    <x v="1"/>
    <x v="1"/>
    <n v="65911"/>
    <s v="contact132@vendor.com"/>
    <n v="0"/>
    <n v="0"/>
    <n v="0"/>
    <n v="4"/>
    <n v="1"/>
    <n v="0"/>
    <n v="0"/>
    <n v="0"/>
    <x v="0"/>
    <n v="0"/>
    <n v="0"/>
    <n v="180"/>
  </r>
  <r>
    <s v="VND-133"/>
    <s v="Vendor_133"/>
    <x v="1"/>
    <x v="1"/>
    <n v="131321"/>
    <s v="contact133@vendor.com"/>
    <n v="0"/>
    <n v="0"/>
    <n v="0"/>
    <n v="4"/>
    <n v="1"/>
    <n v="0"/>
    <n v="0"/>
    <n v="0"/>
    <x v="0"/>
    <n v="0"/>
    <n v="0"/>
    <n v="180"/>
  </r>
  <r>
    <s v="VND-134"/>
    <s v="Vendor_134"/>
    <x v="1"/>
    <x v="1"/>
    <n v="203704"/>
    <s v="contact134@vendor.com"/>
    <n v="0"/>
    <n v="0"/>
    <n v="0"/>
    <n v="4"/>
    <n v="1"/>
    <n v="0"/>
    <n v="0"/>
    <n v="0"/>
    <x v="0"/>
    <n v="0"/>
    <n v="0"/>
    <n v="180"/>
  </r>
  <r>
    <s v="VND-135"/>
    <s v="Vendor_135"/>
    <x v="1"/>
    <x v="1"/>
    <n v="208866"/>
    <s v="contact135@vendor.com"/>
    <n v="0"/>
    <n v="0"/>
    <n v="0"/>
    <n v="4"/>
    <n v="1"/>
    <n v="0"/>
    <n v="0"/>
    <n v="0"/>
    <x v="0"/>
    <n v="0"/>
    <n v="0"/>
    <n v="180"/>
  </r>
  <r>
    <s v="VND-136"/>
    <s v="Vendor_136"/>
    <x v="1"/>
    <x v="1"/>
    <n v="191582"/>
    <s v="contact136@vendor.com"/>
    <n v="0"/>
    <n v="0"/>
    <n v="0"/>
    <n v="4"/>
    <n v="1"/>
    <n v="0"/>
    <n v="0"/>
    <n v="0"/>
    <x v="0"/>
    <n v="0"/>
    <n v="0"/>
    <n v="180"/>
  </r>
  <r>
    <s v="VND-137"/>
    <s v="Vendor_137"/>
    <x v="1"/>
    <x v="1"/>
    <n v="227823"/>
    <s v="contact137@vendor.com"/>
    <n v="0"/>
    <n v="0"/>
    <n v="0"/>
    <n v="4"/>
    <n v="1"/>
    <n v="0"/>
    <n v="0"/>
    <n v="0"/>
    <x v="0"/>
    <n v="0"/>
    <n v="0"/>
    <n v="180"/>
  </r>
  <r>
    <s v="VND-138"/>
    <s v="Vendor_138"/>
    <x v="1"/>
    <x v="1"/>
    <n v="126151"/>
    <s v="contact138@vendor.com"/>
    <n v="0"/>
    <n v="0"/>
    <n v="0"/>
    <n v="4"/>
    <n v="1"/>
    <n v="0"/>
    <n v="0"/>
    <n v="0"/>
    <x v="0"/>
    <n v="0"/>
    <n v="0"/>
    <n v="180"/>
  </r>
  <r>
    <s v="VND-139"/>
    <s v="Vendor_139"/>
    <x v="1"/>
    <x v="1"/>
    <n v="150543"/>
    <s v="contact139@vendor.com"/>
    <n v="0"/>
    <n v="0"/>
    <n v="0"/>
    <n v="4"/>
    <n v="1"/>
    <n v="0"/>
    <n v="0"/>
    <n v="0"/>
    <x v="0"/>
    <n v="0"/>
    <n v="0"/>
    <n v="180"/>
  </r>
  <r>
    <s v="VND-140"/>
    <s v="Vendor_140"/>
    <x v="1"/>
    <x v="1"/>
    <n v="107981"/>
    <s v="contact140@vendor.com"/>
    <n v="0"/>
    <n v="0"/>
    <n v="0"/>
    <n v="4"/>
    <n v="1"/>
    <n v="0"/>
    <n v="0"/>
    <n v="0"/>
    <x v="0"/>
    <n v="0"/>
    <n v="0"/>
    <n v="180"/>
  </r>
  <r>
    <s v="VND-141"/>
    <s v="Vendor_141"/>
    <x v="1"/>
    <x v="1"/>
    <n v="101615"/>
    <s v="contact141@vendor.com"/>
    <n v="0"/>
    <n v="0"/>
    <n v="0"/>
    <n v="4"/>
    <n v="1"/>
    <n v="0"/>
    <n v="0"/>
    <n v="0"/>
    <x v="0"/>
    <n v="0"/>
    <n v="0"/>
    <n v="180"/>
  </r>
  <r>
    <s v="VND-142"/>
    <s v="Vendor_142"/>
    <x v="1"/>
    <x v="1"/>
    <n v="190998"/>
    <s v="contact142@vendor.com"/>
    <n v="0"/>
    <n v="0"/>
    <n v="0"/>
    <n v="4"/>
    <n v="1"/>
    <n v="0"/>
    <n v="0"/>
    <n v="0"/>
    <x v="0"/>
    <n v="0"/>
    <n v="0"/>
    <n v="180"/>
  </r>
  <r>
    <s v="VND-143"/>
    <s v="Vendor_143"/>
    <x v="1"/>
    <x v="1"/>
    <n v="186489"/>
    <s v="contact143@vendor.com"/>
    <n v="0"/>
    <n v="0"/>
    <n v="0"/>
    <n v="4"/>
    <n v="1"/>
    <n v="0"/>
    <n v="0"/>
    <n v="0"/>
    <x v="0"/>
    <n v="0"/>
    <n v="0"/>
    <n v="180"/>
  </r>
  <r>
    <s v="VND-144"/>
    <s v="Vendor_144"/>
    <x v="1"/>
    <x v="1"/>
    <n v="139406"/>
    <s v="contact144@vendor.com"/>
    <n v="0"/>
    <n v="0"/>
    <n v="0"/>
    <n v="4"/>
    <n v="1"/>
    <n v="0"/>
    <n v="0"/>
    <n v="0"/>
    <x v="0"/>
    <n v="0"/>
    <n v="0"/>
    <n v="180"/>
  </r>
  <r>
    <s v="VND-145"/>
    <s v="Vendor_145"/>
    <x v="1"/>
    <x v="1"/>
    <n v="217628"/>
    <s v="contact145@vendor.com"/>
    <n v="0"/>
    <n v="0"/>
    <n v="0"/>
    <n v="4"/>
    <n v="1"/>
    <n v="0"/>
    <n v="0"/>
    <n v="0"/>
    <x v="0"/>
    <n v="0"/>
    <n v="0"/>
    <n v="180"/>
  </r>
  <r>
    <s v="VND-146"/>
    <s v="Vendor_146"/>
    <x v="1"/>
    <x v="1"/>
    <n v="79067"/>
    <s v="contact146@vendor.com"/>
    <n v="0"/>
    <n v="0"/>
    <n v="0"/>
    <n v="4"/>
    <n v="1"/>
    <n v="0"/>
    <n v="0"/>
    <n v="0"/>
    <x v="0"/>
    <n v="0"/>
    <n v="0"/>
    <n v="180"/>
  </r>
  <r>
    <s v="VND-147"/>
    <s v="Vendor_147"/>
    <x v="1"/>
    <x v="1"/>
    <n v="142270"/>
    <s v="contact147@vendor.com"/>
    <n v="0"/>
    <n v="0"/>
    <n v="0"/>
    <n v="4"/>
    <n v="1"/>
    <n v="0"/>
    <n v="0"/>
    <n v="0"/>
    <x v="0"/>
    <n v="0"/>
    <n v="0"/>
    <n v="180"/>
  </r>
  <r>
    <s v="VND-148"/>
    <s v="Vendor_148"/>
    <x v="1"/>
    <x v="1"/>
    <n v="125646"/>
    <s v="contact148@vendor.com"/>
    <n v="0"/>
    <n v="0"/>
    <n v="0"/>
    <n v="4"/>
    <n v="1"/>
    <n v="0"/>
    <n v="0"/>
    <n v="0"/>
    <x v="0"/>
    <n v="0"/>
    <n v="0"/>
    <n v="180"/>
  </r>
  <r>
    <s v="VND-149"/>
    <s v="Vendor_149"/>
    <x v="1"/>
    <x v="1"/>
    <n v="152001"/>
    <s v="contact149@vendor.com"/>
    <n v="0"/>
    <n v="0"/>
    <n v="0"/>
    <n v="4"/>
    <n v="1"/>
    <n v="0"/>
    <n v="0"/>
    <n v="0"/>
    <x v="0"/>
    <n v="0"/>
    <n v="0"/>
    <n v="180"/>
  </r>
  <r>
    <s v="VND-150"/>
    <s v="Vendor_150"/>
    <x v="1"/>
    <x v="1"/>
    <n v="214282"/>
    <s v="contact150@vendor.com"/>
    <n v="0"/>
    <n v="0"/>
    <n v="0"/>
    <n v="4"/>
    <n v="1"/>
    <n v="0"/>
    <n v="0"/>
    <n v="0"/>
    <x v="0"/>
    <n v="0"/>
    <n v="0"/>
    <n v="180"/>
  </r>
  <r>
    <s v="VND-151"/>
    <s v="Vendor_151"/>
    <x v="1"/>
    <x v="1"/>
    <n v="189147"/>
    <s v="contact151@vendor.com"/>
    <n v="0"/>
    <n v="0"/>
    <n v="0"/>
    <n v="4"/>
    <n v="1"/>
    <n v="0"/>
    <n v="0"/>
    <n v="0"/>
    <x v="0"/>
    <n v="0"/>
    <n v="0"/>
    <n v="180"/>
  </r>
  <r>
    <s v="VND-152"/>
    <s v="Vendor_152"/>
    <x v="1"/>
    <x v="1"/>
    <n v="234026"/>
    <s v="contact152@vendor.com"/>
    <n v="0"/>
    <n v="0"/>
    <n v="0"/>
    <n v="4"/>
    <n v="1"/>
    <n v="0"/>
    <n v="0"/>
    <n v="0"/>
    <x v="0"/>
    <n v="0"/>
    <n v="0"/>
    <n v="180"/>
  </r>
  <r>
    <s v="VND-153"/>
    <s v="Vendor_153"/>
    <x v="1"/>
    <x v="1"/>
    <n v="177289"/>
    <s v="contact153@vendor.com"/>
    <n v="0"/>
    <n v="0"/>
    <n v="0"/>
    <n v="4"/>
    <n v="1"/>
    <n v="0"/>
    <n v="0"/>
    <n v="0"/>
    <x v="0"/>
    <n v="0"/>
    <n v="0"/>
    <n v="180"/>
  </r>
  <r>
    <s v="VND-154"/>
    <s v="Vendor_154"/>
    <x v="1"/>
    <x v="1"/>
    <n v="96599"/>
    <s v="contact154@vendor.com"/>
    <n v="0"/>
    <n v="0"/>
    <n v="0"/>
    <n v="4"/>
    <n v="1"/>
    <n v="0"/>
    <n v="0"/>
    <n v="0"/>
    <x v="0"/>
    <n v="0"/>
    <n v="0"/>
    <n v="180"/>
  </r>
  <r>
    <s v="VND-155"/>
    <s v="Vendor_155"/>
    <x v="1"/>
    <x v="1"/>
    <n v="2512193"/>
    <s v="contact155@vendor.com"/>
    <n v="0"/>
    <n v="0"/>
    <n v="0"/>
    <n v="4"/>
    <n v="1"/>
    <n v="0"/>
    <n v="0"/>
    <n v="0"/>
    <x v="0"/>
    <n v="0"/>
    <n v="0"/>
    <n v="180"/>
  </r>
  <r>
    <s v="VND-156"/>
    <s v="Vendor_156"/>
    <x v="1"/>
    <x v="1"/>
    <n v="1047379"/>
    <s v="contact156@vendor.com"/>
    <n v="0"/>
    <n v="0"/>
    <n v="0"/>
    <n v="4"/>
    <n v="1"/>
    <n v="0"/>
    <n v="0"/>
    <n v="0"/>
    <x v="0"/>
    <n v="0"/>
    <n v="0"/>
    <n v="180"/>
  </r>
  <r>
    <s v="VND-157"/>
    <s v="Vendor_157"/>
    <x v="1"/>
    <x v="1"/>
    <n v="1159729"/>
    <s v="contact157@vendor.com"/>
    <n v="0"/>
    <n v="0"/>
    <n v="0"/>
    <n v="4"/>
    <n v="1"/>
    <n v="0"/>
    <n v="0"/>
    <n v="0"/>
    <x v="0"/>
    <n v="0"/>
    <n v="0"/>
    <n v="180"/>
  </r>
  <r>
    <s v="VND-158"/>
    <s v="Vendor_158"/>
    <x v="1"/>
    <x v="1"/>
    <n v="3344429"/>
    <s v="contact158@vendor.com"/>
    <n v="0"/>
    <n v="0"/>
    <n v="0"/>
    <n v="4"/>
    <n v="1"/>
    <n v="0"/>
    <n v="0"/>
    <n v="0"/>
    <x v="0"/>
    <n v="0"/>
    <n v="0"/>
    <n v="180"/>
  </r>
  <r>
    <s v="VND-159"/>
    <s v="Vendor_159"/>
    <x v="1"/>
    <x v="1"/>
    <n v="3478654"/>
    <s v="contact159@vendor.com"/>
    <n v="0"/>
    <n v="0"/>
    <n v="0"/>
    <n v="4"/>
    <n v="1"/>
    <n v="0"/>
    <n v="0"/>
    <n v="0"/>
    <x v="0"/>
    <n v="0"/>
    <n v="0"/>
    <n v="180"/>
  </r>
  <r>
    <s v="VND-160"/>
    <s v="Vendor_160"/>
    <x v="2"/>
    <x v="1"/>
    <n v="4220223"/>
    <s v="contact160@vendor.com"/>
    <n v="0"/>
    <n v="0"/>
    <n v="0"/>
    <n v="4"/>
    <n v="1"/>
    <n v="0"/>
    <n v="0"/>
    <n v="0"/>
    <x v="0"/>
    <n v="0"/>
    <n v="0"/>
    <n v="180"/>
  </r>
  <r>
    <s v="VND-161"/>
    <s v="Vendor_161"/>
    <x v="2"/>
    <x v="1"/>
    <n v="4417228"/>
    <s v="contact161@vendor.com"/>
    <n v="0"/>
    <n v="0"/>
    <n v="0"/>
    <n v="4"/>
    <n v="1"/>
    <n v="0"/>
    <n v="0"/>
    <n v="0"/>
    <x v="0"/>
    <n v="0"/>
    <n v="0"/>
    <n v="180"/>
  </r>
  <r>
    <s v="VND-162"/>
    <s v="Vendor_162"/>
    <x v="2"/>
    <x v="1"/>
    <n v="1848273"/>
    <s v="contact162@vendor.com"/>
    <n v="0"/>
    <n v="0"/>
    <n v="0"/>
    <n v="4"/>
    <n v="1"/>
    <n v="0"/>
    <n v="0"/>
    <n v="0"/>
    <x v="0"/>
    <n v="0"/>
    <n v="0"/>
    <n v="180"/>
  </r>
  <r>
    <s v="VND-163"/>
    <s v="Vendor_163"/>
    <x v="2"/>
    <x v="1"/>
    <n v="4555555"/>
    <s v="contact163@vendor.com"/>
    <n v="0"/>
    <n v="0"/>
    <n v="0"/>
    <n v="4"/>
    <n v="1"/>
    <n v="0"/>
    <n v="0"/>
    <n v="0"/>
    <x v="0"/>
    <n v="0"/>
    <n v="0"/>
    <n v="180"/>
  </r>
  <r>
    <s v="VND-164"/>
    <s v="Vendor_164"/>
    <x v="2"/>
    <x v="1"/>
    <n v="4997293"/>
    <s v="contact164@vendor.com"/>
    <n v="0"/>
    <n v="0"/>
    <n v="0"/>
    <n v="4"/>
    <n v="1"/>
    <n v="0"/>
    <n v="0"/>
    <n v="0"/>
    <x v="0"/>
    <n v="0"/>
    <n v="0"/>
    <n v="180"/>
  </r>
  <r>
    <s v="VND-165"/>
    <s v="Vendor_165"/>
    <x v="2"/>
    <x v="1"/>
    <n v="1678346"/>
    <s v="contact165@vendor.com"/>
    <n v="0"/>
    <n v="0"/>
    <n v="0"/>
    <n v="4"/>
    <n v="1"/>
    <n v="0"/>
    <n v="0"/>
    <n v="0"/>
    <x v="0"/>
    <n v="0"/>
    <n v="0"/>
    <n v="180"/>
  </r>
  <r>
    <s v="VND-166"/>
    <s v="Vendor_166"/>
    <x v="2"/>
    <x v="1"/>
    <n v="3063052"/>
    <s v="contact166@vendor.com"/>
    <n v="0"/>
    <n v="0"/>
    <n v="0"/>
    <n v="4"/>
    <n v="1"/>
    <n v="0"/>
    <n v="0"/>
    <n v="0"/>
    <x v="0"/>
    <n v="0"/>
    <n v="0"/>
    <n v="180"/>
  </r>
  <r>
    <s v="VND-167"/>
    <s v="Vendor_167"/>
    <x v="2"/>
    <x v="1"/>
    <n v="3494695"/>
    <s v="contact167@vendor.com"/>
    <n v="0"/>
    <n v="0"/>
    <n v="0"/>
    <n v="4"/>
    <n v="1"/>
    <n v="0"/>
    <n v="0"/>
    <n v="0"/>
    <x v="0"/>
    <n v="0"/>
    <n v="0"/>
    <n v="180"/>
  </r>
  <r>
    <s v="VND-168"/>
    <s v="Vendor_168"/>
    <x v="2"/>
    <x v="1"/>
    <n v="3820248"/>
    <s v="contact168@vendor.com"/>
    <n v="0"/>
    <n v="0"/>
    <n v="0"/>
    <n v="4"/>
    <n v="1"/>
    <n v="0"/>
    <n v="0"/>
    <n v="0"/>
    <x v="0"/>
    <n v="0"/>
    <n v="0"/>
    <n v="180"/>
  </r>
  <r>
    <s v="VND-169"/>
    <s v="Vendor_169"/>
    <x v="2"/>
    <x v="1"/>
    <n v="4272694"/>
    <s v="contact169@vendor.com"/>
    <n v="0"/>
    <n v="0"/>
    <n v="0"/>
    <n v="4"/>
    <n v="1"/>
    <n v="0"/>
    <n v="0"/>
    <n v="0"/>
    <x v="0"/>
    <n v="0"/>
    <n v="0"/>
    <n v="180"/>
  </r>
  <r>
    <s v="VND-170"/>
    <s v="Vendor_170"/>
    <x v="2"/>
    <x v="1"/>
    <n v="2304077"/>
    <s v="contact170@vendor.com"/>
    <n v="0"/>
    <n v="0"/>
    <n v="0"/>
    <n v="4"/>
    <n v="1"/>
    <n v="0"/>
    <n v="0"/>
    <n v="0"/>
    <x v="0"/>
    <n v="0"/>
    <n v="0"/>
    <n v="180"/>
  </r>
  <r>
    <s v="VND-171"/>
    <s v="Vendor_171"/>
    <x v="2"/>
    <x v="1"/>
    <n v="2041504"/>
    <s v="contact171@vendor.com"/>
    <n v="0"/>
    <n v="0"/>
    <n v="0"/>
    <n v="4"/>
    <n v="1"/>
    <n v="0"/>
    <n v="0"/>
    <n v="0"/>
    <x v="0"/>
    <n v="0"/>
    <n v="0"/>
    <n v="180"/>
  </r>
  <r>
    <s v="VND-172"/>
    <s v="Vendor_172"/>
    <x v="2"/>
    <x v="1"/>
    <n v="3012538"/>
    <s v="contact172@vendor.com"/>
    <n v="0"/>
    <n v="0"/>
    <n v="0"/>
    <n v="4"/>
    <n v="1"/>
    <n v="0"/>
    <n v="0"/>
    <n v="0"/>
    <x v="0"/>
    <n v="0"/>
    <n v="0"/>
    <n v="180"/>
  </r>
  <r>
    <s v="VND-173"/>
    <s v="Vendor_173"/>
    <x v="2"/>
    <x v="1"/>
    <n v="2620078"/>
    <s v="contact173@vendor.com"/>
    <n v="0"/>
    <n v="0"/>
    <n v="0"/>
    <n v="4"/>
    <n v="1"/>
    <n v="0"/>
    <n v="0"/>
    <n v="0"/>
    <x v="0"/>
    <n v="0"/>
    <n v="0"/>
    <n v="180"/>
  </r>
  <r>
    <s v="VND-174"/>
    <s v="Vendor_174"/>
    <x v="2"/>
    <x v="1"/>
    <n v="4820136"/>
    <s v="contact174@vendor.com"/>
    <n v="0"/>
    <n v="0"/>
    <n v="0"/>
    <n v="4"/>
    <n v="1"/>
    <n v="0"/>
    <n v="0"/>
    <n v="0"/>
    <x v="0"/>
    <n v="0"/>
    <n v="0"/>
    <n v="180"/>
  </r>
  <r>
    <s v="VND-175"/>
    <s v="Vendor_175"/>
    <x v="2"/>
    <x v="1"/>
    <n v="492749"/>
    <s v="contact175@vendor.com"/>
    <n v="0"/>
    <n v="0"/>
    <n v="0"/>
    <n v="4"/>
    <n v="1"/>
    <n v="0"/>
    <n v="0"/>
    <n v="0"/>
    <x v="0"/>
    <n v="0"/>
    <n v="0"/>
    <n v="180"/>
  </r>
  <r>
    <s v="VND-176"/>
    <s v="Vendor_176"/>
    <x v="2"/>
    <x v="1"/>
    <n v="743718"/>
    <s v="contact176@vendor.com"/>
    <n v="0"/>
    <n v="0"/>
    <n v="0"/>
    <n v="4"/>
    <n v="1"/>
    <n v="0"/>
    <n v="0"/>
    <n v="0"/>
    <x v="0"/>
    <n v="0"/>
    <n v="0"/>
    <n v="180"/>
  </r>
  <r>
    <s v="VND-177"/>
    <s v="Vendor_177"/>
    <x v="2"/>
    <x v="1"/>
    <n v="352884"/>
    <s v="contact177@vendor.com"/>
    <n v="0"/>
    <n v="0"/>
    <n v="0"/>
    <n v="4"/>
    <n v="1"/>
    <n v="0"/>
    <n v="0"/>
    <n v="0"/>
    <x v="0"/>
    <n v="0"/>
    <n v="0"/>
    <n v="180"/>
  </r>
  <r>
    <s v="VND-178"/>
    <s v="Vendor_178"/>
    <x v="2"/>
    <x v="1"/>
    <n v="966333"/>
    <s v="contact178@vendor.com"/>
    <n v="0"/>
    <n v="0"/>
    <n v="0"/>
    <n v="4"/>
    <n v="1"/>
    <n v="0"/>
    <n v="0"/>
    <n v="0"/>
    <x v="0"/>
    <n v="0"/>
    <n v="0"/>
    <n v="180"/>
  </r>
  <r>
    <s v="VND-179"/>
    <s v="Vendor_179"/>
    <x v="2"/>
    <x v="1"/>
    <n v="981666"/>
    <s v="contact179@vendor.com"/>
    <n v="0"/>
    <n v="0"/>
    <n v="0"/>
    <n v="4"/>
    <n v="1"/>
    <n v="0"/>
    <n v="0"/>
    <n v="0"/>
    <x v="0"/>
    <n v="0"/>
    <n v="0"/>
    <n v="180"/>
  </r>
  <r>
    <s v="VND-180"/>
    <s v="Vendor_180"/>
    <x v="2"/>
    <x v="1"/>
    <n v="898006"/>
    <s v="contact180@vendor.com"/>
    <n v="0"/>
    <n v="0"/>
    <n v="0"/>
    <n v="4"/>
    <n v="1"/>
    <n v="0"/>
    <n v="0"/>
    <n v="0"/>
    <x v="0"/>
    <n v="0"/>
    <n v="0"/>
    <n v="180"/>
  </r>
  <r>
    <s v="VND-181"/>
    <s v="Vendor_181"/>
    <x v="2"/>
    <x v="1"/>
    <n v="723647"/>
    <s v="contact181@vendor.com"/>
    <n v="0"/>
    <n v="0"/>
    <n v="0"/>
    <n v="4"/>
    <n v="1"/>
    <n v="0"/>
    <n v="0"/>
    <n v="0"/>
    <x v="0"/>
    <n v="0"/>
    <n v="0"/>
    <n v="180"/>
  </r>
  <r>
    <s v="VND-182"/>
    <s v="Vendor_182"/>
    <x v="2"/>
    <x v="1"/>
    <n v="842038"/>
    <s v="contact182@vendor.com"/>
    <n v="0"/>
    <n v="0"/>
    <n v="0"/>
    <n v="4"/>
    <n v="1"/>
    <n v="0"/>
    <n v="0"/>
    <n v="0"/>
    <x v="0"/>
    <n v="0"/>
    <n v="0"/>
    <n v="180"/>
  </r>
  <r>
    <s v="VND-183"/>
    <s v="Vendor_183"/>
    <x v="2"/>
    <x v="1"/>
    <n v="962583"/>
    <s v="contact183@vendor.com"/>
    <n v="0"/>
    <n v="0"/>
    <n v="0"/>
    <n v="4"/>
    <n v="1"/>
    <n v="0"/>
    <n v="0"/>
    <n v="0"/>
    <x v="0"/>
    <n v="0"/>
    <n v="0"/>
    <n v="180"/>
  </r>
  <r>
    <s v="VND-184"/>
    <s v="Vendor_184"/>
    <x v="2"/>
    <x v="1"/>
    <n v="362153"/>
    <s v="contact184@vendor.com"/>
    <n v="0"/>
    <n v="0"/>
    <n v="0"/>
    <n v="4"/>
    <n v="1"/>
    <n v="0"/>
    <n v="0"/>
    <n v="0"/>
    <x v="0"/>
    <n v="0"/>
    <n v="0"/>
    <n v="180"/>
  </r>
  <r>
    <s v="VND-185"/>
    <s v="Vendor_185"/>
    <x v="2"/>
    <x v="1"/>
    <n v="576700"/>
    <s v="contact185@vendor.com"/>
    <n v="0"/>
    <n v="0"/>
    <n v="0"/>
    <n v="4"/>
    <n v="1"/>
    <n v="0"/>
    <n v="0"/>
    <n v="0"/>
    <x v="0"/>
    <n v="0"/>
    <n v="0"/>
    <n v="180"/>
  </r>
  <r>
    <s v="VND-186"/>
    <s v="Vendor_186"/>
    <x v="2"/>
    <x v="1"/>
    <n v="607272"/>
    <s v="contact186@vendor.com"/>
    <n v="0"/>
    <n v="0"/>
    <n v="0"/>
    <n v="4"/>
    <n v="1"/>
    <n v="0"/>
    <n v="0"/>
    <n v="1"/>
    <x v="1"/>
    <n v="50"/>
    <n v="303636"/>
    <n v="103"/>
  </r>
  <r>
    <s v="VND-187"/>
    <s v="Vendor_187"/>
    <x v="2"/>
    <x v="1"/>
    <n v="954551"/>
    <s v="contact187@vendor.com"/>
    <n v="0"/>
    <n v="0"/>
    <n v="0"/>
    <n v="4"/>
    <n v="1"/>
    <n v="0"/>
    <n v="0"/>
    <n v="0"/>
    <x v="0"/>
    <n v="0"/>
    <n v="0"/>
    <n v="180"/>
  </r>
  <r>
    <s v="VND-188"/>
    <s v="Vendor_188"/>
    <x v="2"/>
    <x v="1"/>
    <n v="692683"/>
    <s v="contact188@vendor.com"/>
    <n v="0"/>
    <n v="0"/>
    <n v="0"/>
    <n v="4"/>
    <n v="1"/>
    <n v="0"/>
    <n v="0"/>
    <n v="0"/>
    <x v="0"/>
    <n v="0"/>
    <n v="0"/>
    <n v="180"/>
  </r>
  <r>
    <s v="VND-189"/>
    <s v="Vendor_189"/>
    <x v="2"/>
    <x v="1"/>
    <n v="285598"/>
    <s v="contact189@vendor.com"/>
    <n v="0"/>
    <n v="0"/>
    <n v="0"/>
    <n v="4"/>
    <n v="1"/>
    <n v="0"/>
    <n v="0"/>
    <n v="0"/>
    <x v="0"/>
    <n v="0"/>
    <n v="0"/>
    <n v="180"/>
  </r>
  <r>
    <s v="VND-190"/>
    <s v="Vendor_190"/>
    <x v="2"/>
    <x v="1"/>
    <n v="578346"/>
    <s v="contact190@vendor.com"/>
    <n v="0"/>
    <n v="0"/>
    <n v="0"/>
    <n v="4"/>
    <n v="1"/>
    <n v="0"/>
    <n v="0"/>
    <n v="0"/>
    <x v="0"/>
    <n v="0"/>
    <n v="0"/>
    <n v="180"/>
  </r>
  <r>
    <s v="VND-191"/>
    <s v="Vendor_191"/>
    <x v="2"/>
    <x v="1"/>
    <n v="581021"/>
    <s v="contact191@vendor.com"/>
    <n v="0"/>
    <n v="0"/>
    <n v="0"/>
    <n v="4"/>
    <n v="1"/>
    <n v="0"/>
    <n v="0"/>
    <n v="0"/>
    <x v="0"/>
    <n v="0"/>
    <n v="0"/>
    <n v="180"/>
  </r>
  <r>
    <s v="VND-192"/>
    <s v="Vendor_192"/>
    <x v="2"/>
    <x v="1"/>
    <n v="552792"/>
    <s v="contact192@vendor.com"/>
    <n v="0"/>
    <n v="0"/>
    <n v="0"/>
    <n v="4"/>
    <n v="1"/>
    <n v="0"/>
    <n v="0"/>
    <n v="0"/>
    <x v="0"/>
    <n v="0"/>
    <n v="0"/>
    <n v="180"/>
  </r>
  <r>
    <s v="VND-193"/>
    <s v="Vendor_193"/>
    <x v="2"/>
    <x v="1"/>
    <n v="490559"/>
    <s v="contact193@vendor.com"/>
    <n v="0"/>
    <n v="0"/>
    <n v="0"/>
    <n v="4"/>
    <n v="1"/>
    <n v="0"/>
    <n v="0"/>
    <n v="0"/>
    <x v="0"/>
    <n v="0"/>
    <n v="0"/>
    <n v="180"/>
  </r>
  <r>
    <s v="VND-194"/>
    <s v="Vendor_194"/>
    <x v="2"/>
    <x v="1"/>
    <n v="885185"/>
    <s v="contact194@vendor.com"/>
    <n v="0"/>
    <n v="0"/>
    <n v="0"/>
    <n v="4"/>
    <n v="1"/>
    <n v="0"/>
    <n v="0"/>
    <n v="0"/>
    <x v="0"/>
    <n v="0"/>
    <n v="0"/>
    <n v="180"/>
  </r>
  <r>
    <s v="VND-195"/>
    <s v="Vendor_195"/>
    <x v="2"/>
    <x v="1"/>
    <n v="700373"/>
    <s v="contact195@vendor.com"/>
    <n v="0"/>
    <n v="0"/>
    <n v="0"/>
    <n v="4"/>
    <n v="1"/>
    <n v="0"/>
    <n v="0"/>
    <n v="0"/>
    <x v="0"/>
    <n v="0"/>
    <n v="0"/>
    <n v="180"/>
  </r>
  <r>
    <s v="VND-196"/>
    <s v="Vendor_196"/>
    <x v="2"/>
    <x v="1"/>
    <n v="754882"/>
    <s v="contact196@vendor.com"/>
    <n v="0"/>
    <n v="0"/>
    <n v="0"/>
    <n v="4"/>
    <n v="1"/>
    <n v="0"/>
    <n v="0"/>
    <n v="1"/>
    <x v="1"/>
    <n v="50"/>
    <n v="377441"/>
    <n v="91"/>
  </r>
  <r>
    <s v="VND-197"/>
    <s v="Vendor_197"/>
    <x v="2"/>
    <x v="1"/>
    <n v="621856"/>
    <s v="contact197@vendor.com"/>
    <n v="0"/>
    <n v="0"/>
    <n v="0"/>
    <n v="4"/>
    <n v="1"/>
    <n v="0"/>
    <n v="0"/>
    <n v="0"/>
    <x v="0"/>
    <n v="0"/>
    <n v="0"/>
    <n v="180"/>
  </r>
  <r>
    <s v="VND-198"/>
    <s v="Vendor_198"/>
    <x v="2"/>
    <x v="1"/>
    <n v="797421"/>
    <s v="contact198@vendor.com"/>
    <n v="0"/>
    <n v="0"/>
    <n v="0"/>
    <n v="4"/>
    <n v="1"/>
    <n v="0"/>
    <n v="0"/>
    <n v="0"/>
    <x v="0"/>
    <n v="0"/>
    <n v="0"/>
    <n v="180"/>
  </r>
  <r>
    <s v="VND-199"/>
    <s v="Vendor_199"/>
    <x v="2"/>
    <x v="1"/>
    <n v="810503"/>
    <s v="contact199@vendor.com"/>
    <n v="0"/>
    <n v="0"/>
    <n v="0"/>
    <n v="4"/>
    <n v="1"/>
    <n v="0"/>
    <n v="0"/>
    <n v="0"/>
    <x v="0"/>
    <n v="0"/>
    <n v="0"/>
    <n v="180"/>
  </r>
  <r>
    <s v="VND-200"/>
    <s v="Vendor_200"/>
    <x v="2"/>
    <x v="1"/>
    <n v="416724"/>
    <s v="contact200@vendor.com"/>
    <n v="0"/>
    <n v="0"/>
    <n v="0"/>
    <n v="4"/>
    <n v="1"/>
    <n v="0"/>
    <n v="0"/>
    <n v="0"/>
    <x v="0"/>
    <n v="0"/>
    <n v="0"/>
    <n v="180"/>
  </r>
  <r>
    <s v="VND-201"/>
    <s v="Vendor_201"/>
    <x v="2"/>
    <x v="2"/>
    <n v="651745"/>
    <s v="contact201@vendor.com"/>
    <n v="0"/>
    <n v="0"/>
    <n v="0"/>
    <n v="4"/>
    <n v="1"/>
    <n v="0"/>
    <n v="0"/>
    <n v="0"/>
    <x v="0"/>
    <n v="0"/>
    <n v="0"/>
    <n v="180"/>
  </r>
  <r>
    <s v="VND-202"/>
    <s v="Vendor_202"/>
    <x v="2"/>
    <x v="2"/>
    <n v="180797"/>
    <s v="contact202@vendor.com"/>
    <n v="0"/>
    <n v="0"/>
    <n v="0"/>
    <n v="4"/>
    <n v="1"/>
    <n v="0"/>
    <n v="0"/>
    <n v="0"/>
    <x v="0"/>
    <n v="0"/>
    <n v="0"/>
    <n v="180"/>
  </r>
  <r>
    <s v="VND-203"/>
    <s v="Vendor_203"/>
    <x v="2"/>
    <x v="2"/>
    <n v="151264"/>
    <s v="contact203@vendor.com"/>
    <n v="0"/>
    <n v="0"/>
    <n v="0"/>
    <n v="4"/>
    <n v="1"/>
    <n v="0"/>
    <n v="0"/>
    <n v="0"/>
    <x v="0"/>
    <n v="0"/>
    <n v="0"/>
    <n v="180"/>
  </r>
  <r>
    <s v="VND-204"/>
    <s v="Vendor_204"/>
    <x v="2"/>
    <x v="2"/>
    <n v="78721"/>
    <s v="contact204@vendor.com"/>
    <n v="0"/>
    <n v="0"/>
    <n v="0"/>
    <n v="4"/>
    <n v="1"/>
    <n v="0"/>
    <n v="0"/>
    <n v="0"/>
    <x v="0"/>
    <n v="0"/>
    <n v="0"/>
    <n v="180"/>
  </r>
  <r>
    <s v="VND-205"/>
    <s v="Vendor_205"/>
    <x v="2"/>
    <x v="2"/>
    <n v="67603"/>
    <s v="contact205@vendor.com"/>
    <n v="0"/>
    <n v="0"/>
    <n v="0"/>
    <n v="4"/>
    <n v="1"/>
    <n v="0"/>
    <n v="0"/>
    <n v="0"/>
    <x v="0"/>
    <n v="0"/>
    <n v="0"/>
    <n v="180"/>
  </r>
  <r>
    <s v="VND-206"/>
    <s v="Vendor_206"/>
    <x v="2"/>
    <x v="2"/>
    <n v="247913"/>
    <s v="contact206@vendor.com"/>
    <n v="0"/>
    <n v="0"/>
    <n v="0"/>
    <n v="4"/>
    <n v="1"/>
    <n v="0"/>
    <n v="0"/>
    <n v="0"/>
    <x v="0"/>
    <n v="0"/>
    <n v="0"/>
    <n v="180"/>
  </r>
  <r>
    <s v="VND-207"/>
    <s v="Vendor_207"/>
    <x v="2"/>
    <x v="2"/>
    <n v="201818"/>
    <s v="contact207@vendor.com"/>
    <n v="0"/>
    <n v="0"/>
    <n v="0"/>
    <n v="4"/>
    <n v="1"/>
    <n v="0"/>
    <n v="0"/>
    <n v="0"/>
    <x v="0"/>
    <n v="0"/>
    <n v="0"/>
    <n v="180"/>
  </r>
  <r>
    <s v="VND-208"/>
    <s v="Vendor_208"/>
    <x v="2"/>
    <x v="2"/>
    <n v="111886"/>
    <s v="contact208@vendor.com"/>
    <n v="0"/>
    <n v="0"/>
    <n v="0"/>
    <n v="4"/>
    <n v="1"/>
    <n v="0"/>
    <n v="0"/>
    <n v="0"/>
    <x v="0"/>
    <n v="0"/>
    <n v="0"/>
    <n v="180"/>
  </r>
  <r>
    <s v="VND-209"/>
    <s v="Vendor_209"/>
    <x v="2"/>
    <x v="2"/>
    <n v="71873"/>
    <s v="contact209@vendor.com"/>
    <n v="0"/>
    <n v="0"/>
    <n v="0"/>
    <n v="4"/>
    <n v="1"/>
    <n v="0"/>
    <n v="0"/>
    <n v="0"/>
    <x v="0"/>
    <n v="0"/>
    <n v="0"/>
    <n v="180"/>
  </r>
  <r>
    <s v="VND-210"/>
    <s v="Vendor_210"/>
    <x v="2"/>
    <x v="2"/>
    <n v="190464"/>
    <s v="contact210@vendor.com"/>
    <n v="0"/>
    <n v="0"/>
    <n v="0"/>
    <n v="4"/>
    <n v="1"/>
    <n v="0"/>
    <n v="0"/>
    <n v="0"/>
    <x v="0"/>
    <n v="0"/>
    <n v="0"/>
    <n v="180"/>
  </r>
  <r>
    <s v="VND-211"/>
    <s v="Vendor_211"/>
    <x v="2"/>
    <x v="2"/>
    <n v="189618"/>
    <s v="contact211@vendor.com"/>
    <n v="0"/>
    <n v="0"/>
    <n v="0"/>
    <n v="4"/>
    <n v="1"/>
    <n v="0"/>
    <n v="0"/>
    <n v="0"/>
    <x v="0"/>
    <n v="0"/>
    <n v="0"/>
    <n v="180"/>
  </r>
  <r>
    <s v="VND-212"/>
    <s v="Vendor_212"/>
    <x v="2"/>
    <x v="2"/>
    <n v="212788"/>
    <s v="contact212@vendor.com"/>
    <n v="0"/>
    <n v="0"/>
    <n v="0"/>
    <n v="4"/>
    <n v="1"/>
    <n v="0"/>
    <n v="0"/>
    <n v="0"/>
    <x v="0"/>
    <n v="0"/>
    <n v="0"/>
    <n v="180"/>
  </r>
  <r>
    <s v="VND-213"/>
    <s v="Vendor_213"/>
    <x v="2"/>
    <x v="2"/>
    <n v="76523"/>
    <s v="contact213@vendor.com"/>
    <n v="0"/>
    <n v="0"/>
    <n v="0"/>
    <n v="4"/>
    <n v="1"/>
    <n v="0"/>
    <n v="0"/>
    <n v="0"/>
    <x v="0"/>
    <n v="0"/>
    <n v="0"/>
    <n v="180"/>
  </r>
  <r>
    <s v="VND-214"/>
    <s v="Vendor_214"/>
    <x v="2"/>
    <x v="2"/>
    <n v="63584"/>
    <s v="contact214@vendor.com"/>
    <n v="0"/>
    <n v="0"/>
    <n v="0"/>
    <n v="4"/>
    <n v="1"/>
    <n v="0"/>
    <n v="0"/>
    <n v="0"/>
    <x v="0"/>
    <n v="0"/>
    <n v="0"/>
    <n v="180"/>
  </r>
  <r>
    <s v="VND-215"/>
    <s v="Vendor_215"/>
    <x v="2"/>
    <x v="2"/>
    <n v="87098"/>
    <s v="contact215@vendor.com"/>
    <n v="0"/>
    <n v="0"/>
    <n v="0"/>
    <n v="4"/>
    <n v="1"/>
    <n v="0"/>
    <n v="0"/>
    <n v="0"/>
    <x v="0"/>
    <n v="0"/>
    <n v="0"/>
    <n v="180"/>
  </r>
  <r>
    <s v="VND-216"/>
    <s v="Vendor_216"/>
    <x v="2"/>
    <x v="2"/>
    <n v="231737"/>
    <s v="contact216@vendor.com"/>
    <n v="0"/>
    <n v="0"/>
    <n v="0"/>
    <n v="4"/>
    <n v="1"/>
    <n v="0"/>
    <n v="0"/>
    <n v="0"/>
    <x v="0"/>
    <n v="0"/>
    <n v="0"/>
    <n v="180"/>
  </r>
  <r>
    <s v="VND-217"/>
    <s v="Vendor_217"/>
    <x v="2"/>
    <x v="2"/>
    <n v="180011"/>
    <s v="contact217@vendor.com"/>
    <n v="0"/>
    <n v="0"/>
    <n v="0"/>
    <n v="4"/>
    <n v="1"/>
    <n v="0"/>
    <n v="0"/>
    <n v="0"/>
    <x v="0"/>
    <n v="0"/>
    <n v="0"/>
    <n v="180"/>
  </r>
  <r>
    <s v="VND-218"/>
    <s v="Vendor_218"/>
    <x v="2"/>
    <x v="2"/>
    <n v="148986"/>
    <s v="contact218@vendor.com"/>
    <n v="0"/>
    <n v="0"/>
    <n v="0"/>
    <n v="4"/>
    <n v="1"/>
    <n v="0"/>
    <n v="0"/>
    <n v="0"/>
    <x v="0"/>
    <n v="0"/>
    <n v="0"/>
    <n v="180"/>
  </r>
  <r>
    <s v="VND-219"/>
    <s v="Vendor_219"/>
    <x v="2"/>
    <x v="2"/>
    <n v="189444"/>
    <s v="contact219@vendor.com"/>
    <n v="0"/>
    <n v="0"/>
    <n v="0"/>
    <n v="4"/>
    <n v="1"/>
    <n v="0"/>
    <n v="0"/>
    <n v="0"/>
    <x v="0"/>
    <n v="0"/>
    <n v="0"/>
    <n v="180"/>
  </r>
  <r>
    <s v="VND-220"/>
    <s v="Vendor_220"/>
    <x v="2"/>
    <x v="2"/>
    <n v="244064"/>
    <s v="contact220@vendor.com"/>
    <n v="0"/>
    <n v="0"/>
    <n v="0"/>
    <n v="4"/>
    <n v="1"/>
    <n v="0"/>
    <n v="0"/>
    <n v="0"/>
    <x v="0"/>
    <n v="0"/>
    <n v="0"/>
    <n v="180"/>
  </r>
  <r>
    <s v="VND-221"/>
    <s v="Vendor_221"/>
    <x v="2"/>
    <x v="2"/>
    <n v="183677"/>
    <s v="contact221@vendor.com"/>
    <n v="0"/>
    <n v="0"/>
    <n v="0"/>
    <n v="4"/>
    <n v="1"/>
    <n v="0"/>
    <n v="0"/>
    <n v="0"/>
    <x v="0"/>
    <n v="0"/>
    <n v="0"/>
    <n v="180"/>
  </r>
  <r>
    <s v="VND-222"/>
    <s v="Vendor_222"/>
    <x v="2"/>
    <x v="2"/>
    <n v="242677"/>
    <s v="contact222@vendor.com"/>
    <n v="0"/>
    <n v="0"/>
    <n v="0"/>
    <n v="4"/>
    <n v="1"/>
    <n v="0"/>
    <n v="0"/>
    <n v="0"/>
    <x v="0"/>
    <n v="0"/>
    <n v="0"/>
    <n v="180"/>
  </r>
  <r>
    <s v="VND-223"/>
    <s v="Vendor_223"/>
    <x v="2"/>
    <x v="2"/>
    <n v="153489"/>
    <s v="contact223@vendor.com"/>
    <n v="0"/>
    <n v="0"/>
    <n v="0"/>
    <n v="4"/>
    <n v="1"/>
    <n v="0"/>
    <n v="0"/>
    <n v="0"/>
    <x v="0"/>
    <n v="0"/>
    <n v="0"/>
    <n v="180"/>
  </r>
  <r>
    <s v="VND-224"/>
    <s v="Vendor_224"/>
    <x v="2"/>
    <x v="2"/>
    <n v="223906"/>
    <s v="contact224@vendor.com"/>
    <n v="0"/>
    <n v="0"/>
    <n v="0"/>
    <n v="4"/>
    <n v="1"/>
    <n v="0"/>
    <n v="0"/>
    <n v="0"/>
    <x v="0"/>
    <n v="0"/>
    <n v="0"/>
    <n v="180"/>
  </r>
  <r>
    <s v="VND-225"/>
    <s v="Vendor_225"/>
    <x v="2"/>
    <x v="2"/>
    <n v="51496"/>
    <s v="contact225@vendor.com"/>
    <n v="0"/>
    <n v="0"/>
    <n v="4"/>
    <n v="4"/>
    <n v="1"/>
    <n v="0"/>
    <n v="1"/>
    <n v="0"/>
    <x v="1"/>
    <n v="40"/>
    <n v="20598.400000000001"/>
    <n v="179"/>
  </r>
  <r>
    <s v="VND-226"/>
    <s v="Vendor_226"/>
    <x v="2"/>
    <x v="2"/>
    <n v="231778"/>
    <s v="contact226@vendor.com"/>
    <n v="0"/>
    <n v="0"/>
    <n v="4"/>
    <n v="4"/>
    <n v="1"/>
    <n v="0"/>
    <n v="0"/>
    <n v="0"/>
    <x v="1"/>
    <n v="40"/>
    <n v="92711.200000000012"/>
    <n v="153"/>
  </r>
  <r>
    <s v="VND-227"/>
    <s v="Vendor_227"/>
    <x v="2"/>
    <x v="2"/>
    <n v="144911"/>
    <s v="contact227@vendor.com"/>
    <n v="0"/>
    <n v="0"/>
    <n v="4"/>
    <n v="4"/>
    <n v="1"/>
    <n v="0"/>
    <n v="1"/>
    <n v="1"/>
    <x v="1"/>
    <n v="90"/>
    <n v="130419.90000000001"/>
    <n v="140"/>
  </r>
  <r>
    <s v="VND-228"/>
    <s v="Vendor_228"/>
    <x v="2"/>
    <x v="2"/>
    <n v="152529"/>
    <s v="contact228@vendor.com"/>
    <n v="0"/>
    <n v="0"/>
    <n v="4"/>
    <n v="4"/>
    <n v="1"/>
    <n v="0"/>
    <n v="1"/>
    <n v="0"/>
    <x v="1"/>
    <n v="40"/>
    <n v="61011.600000000006"/>
    <n v="168"/>
  </r>
  <r>
    <s v="VND-229"/>
    <s v="Vendor_229"/>
    <x v="2"/>
    <x v="2"/>
    <n v="113338"/>
    <s v="contact229@vendor.com"/>
    <n v="0"/>
    <n v="0"/>
    <n v="4"/>
    <n v="4"/>
    <n v="1"/>
    <n v="0"/>
    <n v="0"/>
    <n v="0"/>
    <x v="1"/>
    <n v="40"/>
    <n v="45335.200000000004"/>
    <n v="171"/>
  </r>
  <r>
    <s v="VND-230"/>
    <s v="Vendor_230"/>
    <x v="2"/>
    <x v="2"/>
    <n v="178190"/>
    <s v="contact230@vendor.com"/>
    <n v="0"/>
    <n v="0"/>
    <n v="4"/>
    <n v="4"/>
    <n v="1"/>
    <n v="0"/>
    <n v="1"/>
    <n v="0"/>
    <x v="1"/>
    <n v="40"/>
    <n v="71276"/>
    <n v="166"/>
  </r>
  <r>
    <s v="VND-231"/>
    <s v="Vendor_231"/>
    <x v="2"/>
    <x v="2"/>
    <n v="191289"/>
    <s v="contact231@vendor.com"/>
    <n v="0"/>
    <n v="0"/>
    <n v="4"/>
    <n v="4"/>
    <n v="1"/>
    <n v="0"/>
    <n v="1"/>
    <n v="0"/>
    <x v="1"/>
    <n v="40"/>
    <n v="76515.600000000006"/>
    <n v="163"/>
  </r>
  <r>
    <s v="VND-232"/>
    <s v="Vendor_232"/>
    <x v="2"/>
    <x v="2"/>
    <n v="96241"/>
    <s v="contact232@vendor.com"/>
    <n v="0"/>
    <n v="1"/>
    <n v="3"/>
    <n v="4"/>
    <n v="0.75"/>
    <n v="1"/>
    <n v="1"/>
    <n v="0"/>
    <x v="1"/>
    <n v="80"/>
    <n v="76992.800000000003"/>
    <n v="161"/>
  </r>
  <r>
    <s v="VND-233"/>
    <s v="Vendor_233"/>
    <x v="2"/>
    <x v="2"/>
    <n v="203379"/>
    <s v="contact233@vendor.com"/>
    <n v="0"/>
    <n v="0"/>
    <n v="4"/>
    <n v="4"/>
    <n v="1"/>
    <n v="0"/>
    <n v="1"/>
    <n v="0"/>
    <x v="1"/>
    <n v="40"/>
    <n v="81351.600000000006"/>
    <n v="156"/>
  </r>
  <r>
    <s v="VND-234"/>
    <s v="Vendor_234"/>
    <x v="2"/>
    <x v="2"/>
    <n v="243388"/>
    <s v="contact234@vendor.com"/>
    <n v="0"/>
    <n v="0"/>
    <n v="4"/>
    <n v="4"/>
    <n v="1"/>
    <n v="0"/>
    <n v="0"/>
    <n v="0"/>
    <x v="1"/>
    <n v="40"/>
    <n v="97355.200000000012"/>
    <n v="147"/>
  </r>
  <r>
    <s v="VND-235"/>
    <s v="Vendor_235"/>
    <x v="2"/>
    <x v="2"/>
    <n v="188219"/>
    <s v="contact235@vendor.com"/>
    <n v="0"/>
    <n v="0"/>
    <n v="4"/>
    <n v="4"/>
    <n v="1"/>
    <n v="0"/>
    <n v="0"/>
    <n v="0"/>
    <x v="1"/>
    <n v="40"/>
    <n v="75287.600000000006"/>
    <n v="164"/>
  </r>
  <r>
    <s v="VND-236"/>
    <s v="Vendor_236"/>
    <x v="2"/>
    <x v="2"/>
    <n v="202410"/>
    <s v="contact236@vendor.com"/>
    <n v="0"/>
    <n v="0"/>
    <n v="4"/>
    <n v="4"/>
    <n v="1"/>
    <n v="0"/>
    <n v="0"/>
    <n v="0"/>
    <x v="1"/>
    <n v="40"/>
    <n v="80964"/>
    <n v="157"/>
  </r>
  <r>
    <s v="VND-237"/>
    <s v="Vendor_237"/>
    <x v="2"/>
    <x v="2"/>
    <n v="236215"/>
    <s v="contact237@vendor.com"/>
    <n v="0"/>
    <n v="0"/>
    <n v="4"/>
    <n v="4"/>
    <n v="1"/>
    <n v="0"/>
    <n v="1"/>
    <n v="0"/>
    <x v="1"/>
    <n v="40"/>
    <n v="94486"/>
    <n v="151"/>
  </r>
  <r>
    <s v="VND-238"/>
    <s v="Vendor_238"/>
    <x v="2"/>
    <x v="2"/>
    <n v="237784"/>
    <s v="contact238@vendor.com"/>
    <n v="0"/>
    <n v="0"/>
    <n v="4"/>
    <n v="4"/>
    <n v="1"/>
    <n v="0"/>
    <n v="1"/>
    <n v="0"/>
    <x v="1"/>
    <n v="40"/>
    <n v="95113.600000000006"/>
    <n v="150"/>
  </r>
  <r>
    <s v="VND-239"/>
    <s v="Vendor_239"/>
    <x v="2"/>
    <x v="2"/>
    <n v="109136"/>
    <s v="contact239@vendor.com"/>
    <n v="0"/>
    <n v="0"/>
    <n v="4"/>
    <n v="4"/>
    <n v="1"/>
    <n v="0"/>
    <n v="1"/>
    <n v="0"/>
    <x v="1"/>
    <n v="40"/>
    <n v="43654.400000000001"/>
    <n v="173"/>
  </r>
  <r>
    <s v="VND-240"/>
    <s v="Vendor_240"/>
    <x v="3"/>
    <x v="2"/>
    <n v="223223"/>
    <s v="contact240@vendor.com"/>
    <n v="0"/>
    <n v="1"/>
    <n v="3"/>
    <n v="4"/>
    <n v="0.75"/>
    <n v="1"/>
    <n v="1"/>
    <n v="0"/>
    <x v="1"/>
    <n v="80"/>
    <n v="178578.40000000002"/>
    <n v="128"/>
  </r>
  <r>
    <s v="VND-241"/>
    <s v="Vendor_241"/>
    <x v="3"/>
    <x v="2"/>
    <n v="195253"/>
    <s v="contact241@vendor.com"/>
    <n v="0"/>
    <n v="0"/>
    <n v="4"/>
    <n v="4"/>
    <n v="1"/>
    <n v="0"/>
    <n v="1"/>
    <n v="0"/>
    <x v="1"/>
    <n v="40"/>
    <n v="78101.2"/>
    <n v="159"/>
  </r>
  <r>
    <s v="VND-242"/>
    <s v="Vendor_242"/>
    <x v="3"/>
    <x v="2"/>
    <n v="63671"/>
    <s v="contact242@vendor.com"/>
    <n v="0"/>
    <n v="0"/>
    <n v="4"/>
    <n v="4"/>
    <n v="1"/>
    <n v="0"/>
    <n v="1"/>
    <n v="0"/>
    <x v="1"/>
    <n v="40"/>
    <n v="25468.400000000001"/>
    <n v="178"/>
  </r>
  <r>
    <s v="VND-243"/>
    <s v="Vendor_243"/>
    <x v="3"/>
    <x v="2"/>
    <n v="126560"/>
    <s v="contact243@vendor.com"/>
    <n v="0"/>
    <n v="0"/>
    <n v="4"/>
    <n v="4"/>
    <n v="1"/>
    <n v="0"/>
    <n v="1"/>
    <n v="0"/>
    <x v="1"/>
    <n v="40"/>
    <n v="50624"/>
    <n v="170"/>
  </r>
  <r>
    <s v="VND-244"/>
    <s v="Vendor_244"/>
    <x v="3"/>
    <x v="2"/>
    <n v="145068"/>
    <s v="contact244@vendor.com"/>
    <n v="0"/>
    <n v="0"/>
    <n v="4"/>
    <n v="4"/>
    <n v="1"/>
    <n v="0"/>
    <n v="0"/>
    <n v="0"/>
    <x v="1"/>
    <n v="40"/>
    <n v="58027.200000000004"/>
    <n v="169"/>
  </r>
  <r>
    <s v="VND-245"/>
    <s v="Vendor_245"/>
    <x v="3"/>
    <x v="2"/>
    <n v="196637"/>
    <s v="contact245@vendor.com"/>
    <n v="0"/>
    <n v="0"/>
    <n v="4"/>
    <n v="4"/>
    <n v="1"/>
    <n v="0"/>
    <n v="1"/>
    <n v="0"/>
    <x v="1"/>
    <n v="40"/>
    <n v="78654.8"/>
    <n v="158"/>
  </r>
  <r>
    <s v="VND-246"/>
    <s v="Vendor_246"/>
    <x v="3"/>
    <x v="2"/>
    <n v="192940"/>
    <s v="contact246@vendor.com"/>
    <n v="0"/>
    <n v="0"/>
    <n v="4"/>
    <n v="4"/>
    <n v="1"/>
    <n v="0"/>
    <n v="1"/>
    <n v="0"/>
    <x v="1"/>
    <n v="40"/>
    <n v="77176"/>
    <n v="160"/>
  </r>
  <r>
    <s v="VND-247"/>
    <s v="Vendor_247"/>
    <x v="3"/>
    <x v="2"/>
    <n v="90090"/>
    <s v="contact247@vendor.com"/>
    <n v="0"/>
    <n v="1"/>
    <n v="3"/>
    <n v="4"/>
    <n v="0.75"/>
    <n v="1"/>
    <n v="1"/>
    <n v="0"/>
    <x v="1"/>
    <n v="80"/>
    <n v="72072"/>
    <n v="165"/>
  </r>
  <r>
    <s v="VND-248"/>
    <s v="Vendor_248"/>
    <x v="3"/>
    <x v="2"/>
    <n v="218587"/>
    <s v="contact248@vendor.com"/>
    <n v="0"/>
    <n v="0"/>
    <n v="4"/>
    <n v="4"/>
    <n v="1"/>
    <n v="0"/>
    <n v="1"/>
    <n v="0"/>
    <x v="1"/>
    <n v="40"/>
    <n v="87434.8"/>
    <n v="155"/>
  </r>
  <r>
    <s v="VND-249"/>
    <s v="Vendor_249"/>
    <x v="3"/>
    <x v="2"/>
    <n v="235411"/>
    <s v="contact249@vendor.com"/>
    <n v="0"/>
    <n v="0"/>
    <n v="4"/>
    <n v="4"/>
    <n v="1"/>
    <n v="0"/>
    <n v="1"/>
    <n v="0"/>
    <x v="1"/>
    <n v="40"/>
    <n v="94164.400000000009"/>
    <n v="152"/>
  </r>
  <r>
    <s v="VND-250"/>
    <s v="Vendor_250"/>
    <x v="3"/>
    <x v="2"/>
    <n v="242161"/>
    <s v="contact250@vendor.com"/>
    <n v="0"/>
    <n v="0"/>
    <n v="4"/>
    <n v="4"/>
    <n v="1"/>
    <n v="0"/>
    <n v="1"/>
    <n v="0"/>
    <x v="1"/>
    <n v="40"/>
    <n v="96864.400000000009"/>
    <n v="148"/>
  </r>
  <r>
    <s v="VND-251"/>
    <s v="Vendor_251"/>
    <x v="3"/>
    <x v="2"/>
    <n v="57453"/>
    <s v="contact251@vendor.com"/>
    <n v="0"/>
    <n v="0"/>
    <n v="4"/>
    <n v="4"/>
    <n v="1"/>
    <n v="1"/>
    <n v="1"/>
    <n v="0"/>
    <x v="1"/>
    <n v="60"/>
    <n v="34471.799999999996"/>
    <n v="176"/>
  </r>
  <r>
    <s v="VND-252"/>
    <s v="Vendor_252"/>
    <x v="3"/>
    <x v="2"/>
    <n v="85729"/>
    <s v="contact252@vendor.com"/>
    <n v="0"/>
    <n v="0"/>
    <n v="4"/>
    <n v="4"/>
    <n v="1"/>
    <n v="0"/>
    <n v="0"/>
    <n v="0"/>
    <x v="1"/>
    <n v="40"/>
    <n v="34291.599999999999"/>
    <n v="177"/>
  </r>
  <r>
    <s v="VND-253"/>
    <s v="Vendor_253"/>
    <x v="3"/>
    <x v="2"/>
    <n v="110308"/>
    <s v="contact253@vendor.com"/>
    <n v="0"/>
    <n v="0"/>
    <n v="4"/>
    <n v="4"/>
    <n v="1"/>
    <n v="0"/>
    <n v="0"/>
    <n v="0"/>
    <x v="1"/>
    <n v="40"/>
    <n v="44123.200000000004"/>
    <n v="172"/>
  </r>
  <r>
    <s v="VND-254"/>
    <s v="Vendor_254"/>
    <x v="3"/>
    <x v="2"/>
    <n v="102491"/>
    <s v="contact254@vendor.com"/>
    <n v="0"/>
    <n v="0"/>
    <n v="4"/>
    <n v="4"/>
    <n v="1"/>
    <n v="0"/>
    <n v="0"/>
    <n v="0"/>
    <x v="1"/>
    <n v="40"/>
    <n v="40996.400000000001"/>
    <n v="175"/>
  </r>
  <r>
    <s v="VND-255"/>
    <s v="Vendor_255"/>
    <x v="3"/>
    <x v="2"/>
    <n v="108441"/>
    <s v="contact255@vendor.com"/>
    <n v="0"/>
    <n v="0"/>
    <n v="4"/>
    <n v="4"/>
    <n v="1"/>
    <n v="0"/>
    <n v="1"/>
    <n v="0"/>
    <x v="1"/>
    <n v="40"/>
    <n v="43376.4"/>
    <n v="174"/>
  </r>
  <r>
    <s v="VND-256"/>
    <s v="Vendor_256"/>
    <x v="3"/>
    <x v="2"/>
    <n v="191994"/>
    <s v="contact256@vendor.com"/>
    <n v="0"/>
    <n v="0"/>
    <n v="4"/>
    <n v="4"/>
    <n v="1"/>
    <n v="0"/>
    <n v="1"/>
    <n v="0"/>
    <x v="1"/>
    <n v="40"/>
    <n v="76797.600000000006"/>
    <n v="162"/>
  </r>
  <r>
    <s v="VND-257"/>
    <s v="Vendor_257"/>
    <x v="3"/>
    <x v="2"/>
    <n v="226050"/>
    <s v="contact257@vendor.com"/>
    <n v="0"/>
    <n v="0"/>
    <n v="4"/>
    <n v="4"/>
    <n v="1"/>
    <n v="0"/>
    <n v="1"/>
    <n v="0"/>
    <x v="1"/>
    <n v="40"/>
    <n v="90420"/>
    <n v="154"/>
  </r>
  <r>
    <s v="VND-258"/>
    <s v="Vendor_258"/>
    <x v="3"/>
    <x v="2"/>
    <n v="164333"/>
    <s v="contact258@vendor.com"/>
    <n v="0"/>
    <n v="0"/>
    <n v="4"/>
    <n v="4"/>
    <n v="1"/>
    <n v="0"/>
    <n v="1"/>
    <n v="0"/>
    <x v="1"/>
    <n v="40"/>
    <n v="65733.2"/>
    <n v="167"/>
  </r>
  <r>
    <s v="VND-259"/>
    <s v="Vendor_259"/>
    <x v="3"/>
    <x v="2"/>
    <n v="4484896"/>
    <s v="contact259@vendor.com"/>
    <n v="0"/>
    <n v="0"/>
    <n v="4"/>
    <n v="4"/>
    <n v="1"/>
    <n v="0"/>
    <n v="0"/>
    <n v="0"/>
    <x v="1"/>
    <n v="40"/>
    <n v="1793958.4000000001"/>
    <n v="16"/>
  </r>
  <r>
    <s v="VND-260"/>
    <s v="Vendor_260"/>
    <x v="3"/>
    <x v="2"/>
    <n v="1042022"/>
    <s v="contact260@vendor.com"/>
    <n v="0"/>
    <n v="0"/>
    <n v="4"/>
    <n v="4"/>
    <n v="1"/>
    <n v="0"/>
    <n v="0"/>
    <n v="0"/>
    <x v="1"/>
    <n v="40"/>
    <n v="416808.80000000005"/>
    <n v="80"/>
  </r>
  <r>
    <s v="VND-261"/>
    <s v="Vendor_261"/>
    <x v="3"/>
    <x v="2"/>
    <n v="1741274"/>
    <s v="contact261@vendor.com"/>
    <n v="0"/>
    <n v="0"/>
    <n v="4"/>
    <n v="4"/>
    <n v="1"/>
    <n v="0"/>
    <n v="0"/>
    <n v="0"/>
    <x v="1"/>
    <n v="40"/>
    <n v="696509.60000000009"/>
    <n v="63"/>
  </r>
  <r>
    <s v="VND-262"/>
    <s v="Vendor_262"/>
    <x v="3"/>
    <x v="2"/>
    <n v="3343835"/>
    <s v="contact262@vendor.com"/>
    <n v="0"/>
    <n v="1"/>
    <n v="3"/>
    <n v="4"/>
    <n v="0.75"/>
    <n v="1"/>
    <n v="1"/>
    <n v="0"/>
    <x v="1"/>
    <n v="80"/>
    <n v="2675068"/>
    <n v="10"/>
  </r>
  <r>
    <s v="VND-263"/>
    <s v="Vendor_263"/>
    <x v="3"/>
    <x v="2"/>
    <n v="4624587"/>
    <s v="contact263@vendor.com"/>
    <n v="0"/>
    <n v="0"/>
    <n v="4"/>
    <n v="4"/>
    <n v="1"/>
    <n v="0"/>
    <n v="0"/>
    <n v="0"/>
    <x v="1"/>
    <n v="40"/>
    <n v="1849834.8"/>
    <n v="13"/>
  </r>
  <r>
    <s v="VND-264"/>
    <s v="Vendor_264"/>
    <x v="3"/>
    <x v="2"/>
    <n v="3658468"/>
    <s v="contact264@vendor.com"/>
    <n v="0"/>
    <n v="0"/>
    <n v="4"/>
    <n v="4"/>
    <n v="1"/>
    <n v="0"/>
    <n v="0"/>
    <n v="0"/>
    <x v="1"/>
    <n v="40"/>
    <n v="1463387.2000000002"/>
    <n v="25"/>
  </r>
  <r>
    <s v="VND-265"/>
    <s v="Vendor_265"/>
    <x v="3"/>
    <x v="2"/>
    <n v="3167949"/>
    <s v="contact265@vendor.com"/>
    <n v="0"/>
    <n v="0"/>
    <n v="4"/>
    <n v="4"/>
    <n v="1"/>
    <n v="0"/>
    <n v="0"/>
    <n v="0"/>
    <x v="1"/>
    <n v="40"/>
    <n v="1267179.6000000001"/>
    <n v="36"/>
  </r>
  <r>
    <s v="VND-266"/>
    <s v="Vendor_266"/>
    <x v="3"/>
    <x v="2"/>
    <n v="2080880"/>
    <s v="contact266@vendor.com"/>
    <n v="0"/>
    <n v="0"/>
    <n v="4"/>
    <n v="4"/>
    <n v="1"/>
    <n v="0"/>
    <n v="1"/>
    <n v="0"/>
    <x v="1"/>
    <n v="40"/>
    <n v="832352"/>
    <n v="54"/>
  </r>
  <r>
    <s v="VND-267"/>
    <s v="Vendor_267"/>
    <x v="3"/>
    <x v="2"/>
    <n v="1664252"/>
    <s v="contact267@vendor.com"/>
    <n v="0"/>
    <n v="0"/>
    <n v="4"/>
    <n v="4"/>
    <n v="1"/>
    <n v="0"/>
    <n v="0"/>
    <n v="0"/>
    <x v="1"/>
    <n v="40"/>
    <n v="665700.80000000005"/>
    <n v="65"/>
  </r>
  <r>
    <s v="VND-268"/>
    <s v="Vendor_268"/>
    <x v="3"/>
    <x v="2"/>
    <n v="1555807"/>
    <s v="contact268@vendor.com"/>
    <n v="0"/>
    <n v="1"/>
    <n v="3"/>
    <n v="4"/>
    <n v="0.75"/>
    <n v="1"/>
    <n v="0"/>
    <n v="0"/>
    <x v="1"/>
    <n v="80"/>
    <n v="1244645.6000000001"/>
    <n v="38"/>
  </r>
  <r>
    <s v="VND-269"/>
    <s v="Vendor_269"/>
    <x v="3"/>
    <x v="2"/>
    <n v="2335985"/>
    <s v="contact269@vendor.com"/>
    <n v="0"/>
    <n v="0"/>
    <n v="4"/>
    <n v="4"/>
    <n v="1"/>
    <n v="0"/>
    <n v="1"/>
    <n v="0"/>
    <x v="1"/>
    <n v="40"/>
    <n v="934394"/>
    <n v="50"/>
  </r>
  <r>
    <s v="VND-270"/>
    <s v="Vendor_270"/>
    <x v="3"/>
    <x v="2"/>
    <n v="3354405"/>
    <s v="contact270@vendor.com"/>
    <n v="0"/>
    <n v="0"/>
    <n v="4"/>
    <n v="4"/>
    <n v="1"/>
    <n v="0"/>
    <n v="1"/>
    <n v="0"/>
    <x v="1"/>
    <n v="40"/>
    <n v="1341762"/>
    <n v="33"/>
  </r>
  <r>
    <s v="VND-271"/>
    <s v="Vendor_271"/>
    <x v="3"/>
    <x v="2"/>
    <n v="4058999"/>
    <s v="contact271@vendor.com"/>
    <n v="0"/>
    <n v="0"/>
    <n v="4"/>
    <n v="4"/>
    <n v="1"/>
    <n v="0"/>
    <n v="1"/>
    <n v="0"/>
    <x v="1"/>
    <n v="40"/>
    <n v="1623599.6"/>
    <n v="22"/>
  </r>
  <r>
    <s v="VND-272"/>
    <s v="Vendor_272"/>
    <x v="3"/>
    <x v="2"/>
    <n v="4260724"/>
    <s v="contact272@vendor.com"/>
    <n v="0"/>
    <n v="0"/>
    <n v="4"/>
    <n v="4"/>
    <n v="1"/>
    <n v="0"/>
    <n v="0"/>
    <n v="0"/>
    <x v="1"/>
    <n v="40"/>
    <n v="1704289.6"/>
    <n v="20"/>
  </r>
  <r>
    <s v="VND-273"/>
    <s v="Vendor_273"/>
    <x v="3"/>
    <x v="2"/>
    <n v="3653022"/>
    <s v="contact273@vendor.com"/>
    <n v="0"/>
    <n v="0"/>
    <n v="4"/>
    <n v="4"/>
    <n v="1"/>
    <n v="0"/>
    <n v="1"/>
    <n v="0"/>
    <x v="1"/>
    <n v="40"/>
    <n v="1461208.8"/>
    <n v="26"/>
  </r>
  <r>
    <s v="VND-274"/>
    <s v="Vendor_274"/>
    <x v="3"/>
    <x v="2"/>
    <n v="2240574"/>
    <s v="contact274@vendor.com"/>
    <n v="0"/>
    <n v="0"/>
    <n v="4"/>
    <n v="4"/>
    <n v="1"/>
    <n v="0"/>
    <n v="1"/>
    <n v="0"/>
    <x v="1"/>
    <n v="40"/>
    <n v="896229.60000000009"/>
    <n v="52"/>
  </r>
  <r>
    <s v="VND-275"/>
    <s v="Vendor_275"/>
    <x v="3"/>
    <x v="2"/>
    <n v="1909874"/>
    <s v="contact275@vendor.com"/>
    <n v="0"/>
    <n v="0"/>
    <n v="4"/>
    <n v="4"/>
    <n v="1"/>
    <n v="0"/>
    <n v="1"/>
    <n v="0"/>
    <x v="1"/>
    <n v="40"/>
    <n v="763949.60000000009"/>
    <n v="59"/>
  </r>
  <r>
    <s v="VND-276"/>
    <s v="Vendor_276"/>
    <x v="3"/>
    <x v="2"/>
    <n v="1844223"/>
    <s v="contact276@vendor.com"/>
    <n v="0"/>
    <n v="1"/>
    <n v="3"/>
    <n v="4"/>
    <n v="0.75"/>
    <n v="1"/>
    <n v="1"/>
    <n v="0"/>
    <x v="1"/>
    <n v="80"/>
    <n v="1475378.4000000001"/>
    <n v="24"/>
  </r>
  <r>
    <s v="VND-277"/>
    <s v="Vendor_277"/>
    <x v="3"/>
    <x v="2"/>
    <n v="2114645"/>
    <s v="contact277@vendor.com"/>
    <n v="0"/>
    <n v="0"/>
    <n v="4"/>
    <n v="4"/>
    <n v="1"/>
    <n v="0"/>
    <n v="1"/>
    <n v="0"/>
    <x v="1"/>
    <n v="40"/>
    <n v="845858"/>
    <n v="53"/>
  </r>
  <r>
    <s v="VND-278"/>
    <s v="Vendor_278"/>
    <x v="3"/>
    <x v="2"/>
    <n v="2506502"/>
    <s v="contact278@vendor.com"/>
    <n v="0"/>
    <n v="0"/>
    <n v="4"/>
    <n v="4"/>
    <n v="1"/>
    <n v="0"/>
    <n v="0"/>
    <n v="0"/>
    <x v="1"/>
    <n v="40"/>
    <n v="1002600.8"/>
    <n v="46"/>
  </r>
  <r>
    <s v="VND-279"/>
    <s v="Vendor_279"/>
    <x v="3"/>
    <x v="2"/>
    <n v="4813038"/>
    <s v="contact279@vendor.com"/>
    <n v="0"/>
    <n v="0"/>
    <n v="4"/>
    <n v="4"/>
    <n v="1"/>
    <n v="0"/>
    <n v="1"/>
    <n v="0"/>
    <x v="1"/>
    <n v="40"/>
    <n v="1925215.2000000002"/>
    <n v="11"/>
  </r>
  <r>
    <s v="VND-280"/>
    <s v="Vendor_280"/>
    <x v="3"/>
    <x v="2"/>
    <n v="3824780"/>
    <s v="contact280@vendor.com"/>
    <n v="0"/>
    <n v="0"/>
    <n v="4"/>
    <n v="4"/>
    <n v="1"/>
    <n v="0"/>
    <n v="0"/>
    <n v="0"/>
    <x v="1"/>
    <n v="40"/>
    <n v="1529912"/>
    <n v="23"/>
  </r>
  <r>
    <s v="VND-281"/>
    <s v="Vendor_281"/>
    <x v="3"/>
    <x v="2"/>
    <n v="4469254"/>
    <s v="contact281@vendor.com"/>
    <n v="0"/>
    <n v="0"/>
    <n v="4"/>
    <n v="4"/>
    <n v="1"/>
    <n v="0"/>
    <n v="0"/>
    <n v="0"/>
    <x v="1"/>
    <n v="40"/>
    <n v="1787701.6"/>
    <n v="17"/>
  </r>
  <r>
    <s v="VND-282"/>
    <s v="Vendor_282"/>
    <x v="3"/>
    <x v="2"/>
    <n v="4283175"/>
    <s v="contact282@vendor.com"/>
    <n v="0"/>
    <n v="0"/>
    <n v="4"/>
    <n v="4"/>
    <n v="1"/>
    <n v="0"/>
    <n v="1"/>
    <n v="0"/>
    <x v="1"/>
    <n v="40"/>
    <n v="1713270"/>
    <n v="19"/>
  </r>
  <r>
    <s v="VND-283"/>
    <s v="Vendor_283"/>
    <x v="3"/>
    <x v="2"/>
    <n v="2068569"/>
    <s v="contact283@vendor.com"/>
    <n v="0"/>
    <n v="0"/>
    <n v="4"/>
    <n v="4"/>
    <n v="1"/>
    <n v="0"/>
    <n v="0"/>
    <n v="0"/>
    <x v="1"/>
    <n v="40"/>
    <n v="827427.60000000009"/>
    <n v="55"/>
  </r>
  <r>
    <s v="VND-284"/>
    <s v="Vendor_284"/>
    <x v="3"/>
    <x v="2"/>
    <n v="4803966"/>
    <s v="contact284@vendor.com"/>
    <n v="0"/>
    <n v="0"/>
    <n v="4"/>
    <n v="4"/>
    <n v="1"/>
    <n v="0"/>
    <n v="1"/>
    <n v="0"/>
    <x v="1"/>
    <n v="40"/>
    <n v="1921586.4000000001"/>
    <n v="12"/>
  </r>
  <r>
    <s v="VND-285"/>
    <s v="Vendor_285"/>
    <x v="3"/>
    <x v="2"/>
    <n v="2804597"/>
    <s v="contact285@vendor.com"/>
    <n v="0"/>
    <n v="0"/>
    <n v="4"/>
    <n v="4"/>
    <n v="1"/>
    <n v="0"/>
    <n v="0"/>
    <n v="0"/>
    <x v="1"/>
    <n v="40"/>
    <n v="1121838.8"/>
    <n v="44"/>
  </r>
  <r>
    <s v="VND-286"/>
    <s v="Vendor_286"/>
    <x v="3"/>
    <x v="2"/>
    <n v="2255113"/>
    <s v="contact286@vendor.com"/>
    <n v="0"/>
    <n v="0"/>
    <n v="4"/>
    <n v="4"/>
    <n v="1"/>
    <n v="0"/>
    <n v="1"/>
    <n v="0"/>
    <x v="1"/>
    <n v="40"/>
    <n v="902045.20000000007"/>
    <n v="51"/>
  </r>
  <r>
    <s v="VND-287"/>
    <s v="Vendor_287"/>
    <x v="3"/>
    <x v="2"/>
    <n v="4616839"/>
    <s v="contact287@vendor.com"/>
    <n v="0"/>
    <n v="0"/>
    <n v="4"/>
    <n v="4"/>
    <n v="1"/>
    <n v="0"/>
    <n v="1"/>
    <n v="0"/>
    <x v="1"/>
    <n v="40"/>
    <n v="1846735.6"/>
    <n v="14"/>
  </r>
  <r>
    <s v="VND-288"/>
    <s v="Vendor_288"/>
    <x v="3"/>
    <x v="2"/>
    <n v="1571840"/>
    <s v="contact288@vendor.com"/>
    <n v="0"/>
    <n v="0"/>
    <n v="4"/>
    <n v="4"/>
    <n v="1"/>
    <n v="0"/>
    <n v="0"/>
    <n v="0"/>
    <x v="1"/>
    <n v="40"/>
    <n v="628736"/>
    <n v="66"/>
  </r>
  <r>
    <s v="VND-289"/>
    <s v="Vendor_289"/>
    <x v="3"/>
    <x v="2"/>
    <n v="1299355"/>
    <s v="contact289@vendor.com"/>
    <n v="0"/>
    <n v="4"/>
    <n v="0"/>
    <n v="4"/>
    <n v="0"/>
    <n v="1"/>
    <n v="0"/>
    <n v="0"/>
    <x v="1"/>
    <n v="140"/>
    <n v="1819097"/>
    <n v="15"/>
  </r>
  <r>
    <s v="VND-290"/>
    <s v="Vendor_290"/>
    <x v="3"/>
    <x v="2"/>
    <n v="3926781"/>
    <s v="contact290@vendor.com"/>
    <n v="0"/>
    <n v="4"/>
    <n v="0"/>
    <n v="4"/>
    <n v="0"/>
    <n v="1"/>
    <n v="0"/>
    <n v="0"/>
    <x v="1"/>
    <n v="140"/>
    <n v="5497493.3999999994"/>
    <n v="5"/>
  </r>
  <r>
    <s v="VND-291"/>
    <s v="Vendor_291"/>
    <x v="3"/>
    <x v="2"/>
    <n v="4386358"/>
    <s v="contact291@vendor.com"/>
    <n v="0"/>
    <n v="4"/>
    <n v="0"/>
    <n v="4"/>
    <n v="0"/>
    <n v="1"/>
    <n v="1"/>
    <n v="0"/>
    <x v="1"/>
    <n v="140"/>
    <n v="6140901.1999999993"/>
    <n v="3"/>
  </r>
  <r>
    <s v="VND-292"/>
    <s v="Vendor_292"/>
    <x v="3"/>
    <x v="2"/>
    <n v="4634994"/>
    <s v="contact292@vendor.com"/>
    <n v="0"/>
    <n v="4"/>
    <n v="0"/>
    <n v="4"/>
    <n v="0"/>
    <n v="1"/>
    <n v="0"/>
    <n v="0"/>
    <x v="1"/>
    <n v="140"/>
    <n v="6488991.5999999996"/>
    <n v="2"/>
  </r>
  <r>
    <s v="VND-293"/>
    <s v="Vendor_293"/>
    <x v="3"/>
    <x v="2"/>
    <n v="4952520"/>
    <s v="contact293@vendor.com"/>
    <n v="0"/>
    <n v="4"/>
    <n v="0"/>
    <n v="4"/>
    <n v="0"/>
    <n v="1"/>
    <n v="1"/>
    <n v="0"/>
    <x v="1"/>
    <n v="140"/>
    <n v="6933528"/>
    <n v="1"/>
  </r>
  <r>
    <s v="VND-294"/>
    <s v="Vendor_294"/>
    <x v="3"/>
    <x v="2"/>
    <n v="3276946"/>
    <s v="contact294@vendor.com"/>
    <n v="0"/>
    <n v="4"/>
    <n v="0"/>
    <n v="4"/>
    <n v="0"/>
    <n v="1"/>
    <n v="1"/>
    <n v="0"/>
    <x v="1"/>
    <n v="140"/>
    <n v="4587724.3999999994"/>
    <n v="9"/>
  </r>
  <r>
    <s v="VND-295"/>
    <s v="Vendor_295"/>
    <x v="3"/>
    <x v="2"/>
    <n v="1024288"/>
    <s v="contact295@vendor.com"/>
    <n v="0"/>
    <n v="4"/>
    <n v="0"/>
    <n v="4"/>
    <n v="0"/>
    <n v="1"/>
    <n v="1"/>
    <n v="0"/>
    <x v="1"/>
    <n v="140"/>
    <n v="1434003.2"/>
    <n v="29"/>
  </r>
  <r>
    <s v="VND-296"/>
    <s v="Vendor_296"/>
    <x v="3"/>
    <x v="2"/>
    <n v="716142"/>
    <s v="contact296@vendor.com"/>
    <n v="0"/>
    <n v="4"/>
    <n v="0"/>
    <n v="4"/>
    <n v="0"/>
    <n v="1"/>
    <n v="0"/>
    <n v="0"/>
    <x v="1"/>
    <n v="140"/>
    <n v="1002598.7999999999"/>
    <n v="47"/>
  </r>
  <r>
    <s v="VND-297"/>
    <s v="Vendor_297"/>
    <x v="3"/>
    <x v="2"/>
    <n v="526558"/>
    <s v="contact297@vendor.com"/>
    <n v="0"/>
    <n v="4"/>
    <n v="0"/>
    <n v="4"/>
    <n v="0"/>
    <n v="1"/>
    <n v="1"/>
    <n v="0"/>
    <x v="1"/>
    <n v="140"/>
    <n v="737181.2"/>
    <n v="60"/>
  </r>
  <r>
    <s v="VND-298"/>
    <s v="Vendor_298"/>
    <x v="3"/>
    <x v="2"/>
    <n v="856049"/>
    <s v="contact298@vendor.com"/>
    <n v="0"/>
    <n v="4"/>
    <n v="0"/>
    <n v="4"/>
    <n v="0"/>
    <n v="1"/>
    <n v="1"/>
    <n v="0"/>
    <x v="1"/>
    <n v="140"/>
    <n v="1198468.5999999999"/>
    <n v="41"/>
  </r>
  <r>
    <s v="VND-299"/>
    <s v="Vendor_299"/>
    <x v="3"/>
    <x v="2"/>
    <n v="971701"/>
    <s v="contact299@vendor.com"/>
    <n v="0"/>
    <n v="4"/>
    <n v="0"/>
    <n v="4"/>
    <n v="0"/>
    <n v="1"/>
    <n v="0"/>
    <n v="0"/>
    <x v="1"/>
    <n v="140"/>
    <n v="1360381.4"/>
    <n v="30"/>
  </r>
  <r>
    <s v="VND-300"/>
    <s v="Vendor_300"/>
    <x v="3"/>
    <x v="2"/>
    <n v="691138"/>
    <s v="contact300@vendor.com"/>
    <n v="0"/>
    <n v="4"/>
    <n v="0"/>
    <n v="4"/>
    <n v="0"/>
    <n v="1"/>
    <n v="1"/>
    <n v="0"/>
    <x v="1"/>
    <n v="140"/>
    <n v="967593.2"/>
    <n v="49"/>
  </r>
  <r>
    <s v="VND-301"/>
    <s v="Vendor_301"/>
    <x v="3"/>
    <x v="3"/>
    <n v="303801"/>
    <s v="contact301@vendor.com"/>
    <n v="0"/>
    <n v="4"/>
    <n v="0"/>
    <n v="4"/>
    <n v="0"/>
    <n v="1"/>
    <n v="1"/>
    <n v="0"/>
    <x v="1"/>
    <n v="140"/>
    <n v="425321.39999999997"/>
    <n v="78"/>
  </r>
  <r>
    <s v="VND-302"/>
    <s v="Vendor_302"/>
    <x v="3"/>
    <x v="3"/>
    <n v="378900"/>
    <s v="contact302@vendor.com"/>
    <n v="0"/>
    <n v="4"/>
    <n v="0"/>
    <n v="4"/>
    <n v="0"/>
    <n v="1"/>
    <n v="1"/>
    <n v="0"/>
    <x v="1"/>
    <n v="140"/>
    <n v="530460"/>
    <n v="70"/>
  </r>
  <r>
    <s v="VND-303"/>
    <s v="Vendor_303"/>
    <x v="3"/>
    <x v="3"/>
    <n v="414850"/>
    <s v="contact303@vendor.com"/>
    <n v="0"/>
    <n v="4"/>
    <n v="0"/>
    <n v="4"/>
    <n v="0"/>
    <n v="1"/>
    <n v="0"/>
    <n v="0"/>
    <x v="1"/>
    <n v="140"/>
    <n v="580790"/>
    <n v="68"/>
  </r>
  <r>
    <s v="VND-304"/>
    <s v="Vendor_304"/>
    <x v="3"/>
    <x v="3"/>
    <n v="810902"/>
    <s v="contact304@vendor.com"/>
    <n v="0"/>
    <n v="4"/>
    <n v="0"/>
    <n v="4"/>
    <n v="0"/>
    <n v="1"/>
    <n v="1"/>
    <n v="0"/>
    <x v="1"/>
    <n v="140"/>
    <n v="1135262.7999999998"/>
    <n v="43"/>
  </r>
  <r>
    <s v="VND-305"/>
    <s v="Vendor_305"/>
    <x v="3"/>
    <x v="3"/>
    <n v="816674"/>
    <s v="contact305@vendor.com"/>
    <n v="0"/>
    <n v="4"/>
    <n v="0"/>
    <n v="4"/>
    <n v="0"/>
    <n v="1"/>
    <n v="0"/>
    <n v="0"/>
    <x v="1"/>
    <n v="140"/>
    <n v="1143343.5999999999"/>
    <n v="42"/>
  </r>
  <r>
    <s v="VND-306"/>
    <s v="Vendor_306"/>
    <x v="3"/>
    <x v="3"/>
    <n v="910567"/>
    <s v="contact306@vendor.com"/>
    <n v="0"/>
    <n v="4"/>
    <n v="0"/>
    <n v="4"/>
    <n v="0"/>
    <n v="1"/>
    <n v="0"/>
    <n v="0"/>
    <x v="1"/>
    <n v="140"/>
    <n v="1274793.7999999998"/>
    <n v="35"/>
  </r>
  <r>
    <s v="VND-307"/>
    <s v="Vendor_307"/>
    <x v="3"/>
    <x v="3"/>
    <n v="495321"/>
    <s v="contact307@vendor.com"/>
    <n v="0"/>
    <n v="4"/>
    <n v="0"/>
    <n v="4"/>
    <n v="0"/>
    <n v="1"/>
    <n v="1"/>
    <n v="0"/>
    <x v="1"/>
    <n v="140"/>
    <n v="693449.39999999991"/>
    <n v="64"/>
  </r>
  <r>
    <s v="VND-308"/>
    <s v="Vendor_308"/>
    <x v="3"/>
    <x v="3"/>
    <n v="577273"/>
    <s v="contact308@vendor.com"/>
    <n v="0"/>
    <n v="4"/>
    <n v="0"/>
    <n v="4"/>
    <n v="0"/>
    <n v="1"/>
    <n v="0"/>
    <n v="0"/>
    <x v="1"/>
    <n v="140"/>
    <n v="808182.2"/>
    <n v="57"/>
  </r>
  <r>
    <s v="VND-309"/>
    <s v="Vendor_309"/>
    <x v="3"/>
    <x v="3"/>
    <n v="915082"/>
    <s v="contact309@vendor.com"/>
    <n v="0"/>
    <n v="4"/>
    <n v="0"/>
    <n v="4"/>
    <n v="0"/>
    <n v="1"/>
    <n v="1"/>
    <n v="0"/>
    <x v="1"/>
    <n v="140"/>
    <n v="1281114.7999999998"/>
    <n v="34"/>
  </r>
  <r>
    <s v="VND-310"/>
    <s v="Vendor_310"/>
    <x v="3"/>
    <x v="3"/>
    <n v="438553"/>
    <s v="contact310@vendor.com"/>
    <n v="0"/>
    <n v="4"/>
    <n v="0"/>
    <n v="4"/>
    <n v="0"/>
    <n v="1"/>
    <n v="0"/>
    <n v="0"/>
    <x v="1"/>
    <n v="140"/>
    <n v="613974.19999999995"/>
    <n v="67"/>
  </r>
  <r>
    <s v="VND-311"/>
    <s v="Vendor_311"/>
    <x v="3"/>
    <x v="3"/>
    <n v="709446"/>
    <s v="contact311@vendor.com"/>
    <n v="0"/>
    <n v="4"/>
    <n v="0"/>
    <n v="4"/>
    <n v="0"/>
    <n v="1"/>
    <n v="1"/>
    <n v="0"/>
    <x v="1"/>
    <n v="140"/>
    <n v="993224.39999999991"/>
    <n v="48"/>
  </r>
  <r>
    <s v="VND-312"/>
    <s v="Vendor_312"/>
    <x v="3"/>
    <x v="3"/>
    <n v="533434"/>
    <s v="contact312@vendor.com"/>
    <n v="0"/>
    <n v="4"/>
    <n v="0"/>
    <n v="4"/>
    <n v="0"/>
    <n v="1"/>
    <n v="1"/>
    <n v="1"/>
    <x v="1"/>
    <n v="190"/>
    <n v="1013524.6"/>
    <n v="45"/>
  </r>
  <r>
    <s v="VND-313"/>
    <s v="Vendor_313"/>
    <x v="3"/>
    <x v="3"/>
    <n v="966410"/>
    <s v="contact313@vendor.com"/>
    <n v="0"/>
    <n v="4"/>
    <n v="0"/>
    <n v="4"/>
    <n v="0"/>
    <n v="1"/>
    <n v="0"/>
    <n v="0"/>
    <x v="1"/>
    <n v="140"/>
    <n v="1352974"/>
    <n v="31"/>
  </r>
  <r>
    <s v="VND-314"/>
    <s v="Vendor_314"/>
    <x v="3"/>
    <x v="3"/>
    <n v="886916"/>
    <s v="contact314@vendor.com"/>
    <n v="0"/>
    <n v="4"/>
    <n v="0"/>
    <n v="4"/>
    <n v="0"/>
    <n v="1"/>
    <n v="0"/>
    <n v="0"/>
    <x v="1"/>
    <n v="140"/>
    <n v="1241682.3999999999"/>
    <n v="40"/>
  </r>
  <r>
    <s v="VND-315"/>
    <s v="Vendor_315"/>
    <x v="3"/>
    <x v="3"/>
    <n v="560165"/>
    <s v="contact315@vendor.com"/>
    <n v="0"/>
    <n v="4"/>
    <n v="0"/>
    <n v="4"/>
    <n v="0"/>
    <n v="1"/>
    <n v="1"/>
    <n v="0"/>
    <x v="1"/>
    <n v="140"/>
    <n v="784231"/>
    <n v="58"/>
  </r>
  <r>
    <s v="VND-316"/>
    <s v="Vendor_316"/>
    <x v="3"/>
    <x v="3"/>
    <n v="888296"/>
    <s v="contact316@vendor.com"/>
    <n v="0"/>
    <n v="4"/>
    <n v="0"/>
    <n v="4"/>
    <n v="0"/>
    <n v="1"/>
    <n v="0"/>
    <n v="0"/>
    <x v="1"/>
    <n v="140"/>
    <n v="1243614.3999999999"/>
    <n v="39"/>
  </r>
  <r>
    <s v="VND-317"/>
    <s v="Vendor_317"/>
    <x v="3"/>
    <x v="3"/>
    <n v="896848"/>
    <s v="contact317@vendor.com"/>
    <n v="0"/>
    <n v="4"/>
    <n v="0"/>
    <n v="4"/>
    <n v="0"/>
    <n v="1"/>
    <n v="0"/>
    <n v="0"/>
    <x v="1"/>
    <n v="140"/>
    <n v="1255587.2"/>
    <n v="37"/>
  </r>
  <r>
    <s v="VND-318"/>
    <s v="Vendor_318"/>
    <x v="3"/>
    <x v="3"/>
    <n v="276979"/>
    <s v="contact318@vendor.com"/>
    <n v="0"/>
    <n v="4"/>
    <n v="0"/>
    <n v="4"/>
    <n v="0"/>
    <n v="1"/>
    <n v="1"/>
    <n v="0"/>
    <x v="1"/>
    <n v="140"/>
    <n v="387770.6"/>
    <n v="86"/>
  </r>
  <r>
    <s v="VND-319"/>
    <s v="Vendor_319"/>
    <x v="3"/>
    <x v="3"/>
    <n v="519432"/>
    <s v="contact319@vendor.com"/>
    <n v="0"/>
    <n v="4"/>
    <n v="0"/>
    <n v="4"/>
    <n v="0"/>
    <n v="1"/>
    <n v="0"/>
    <n v="0"/>
    <x v="1"/>
    <n v="140"/>
    <n v="727204.79999999993"/>
    <n v="62"/>
  </r>
  <r>
    <s v="VND-320"/>
    <s v="Vendor_320"/>
    <x v="4"/>
    <x v="3"/>
    <n v="288638"/>
    <s v="contact320@vendor.com"/>
    <n v="0"/>
    <n v="4"/>
    <n v="0"/>
    <n v="4"/>
    <n v="0"/>
    <n v="1"/>
    <n v="1"/>
    <n v="0"/>
    <x v="1"/>
    <n v="140"/>
    <n v="404093.19999999995"/>
    <n v="82"/>
  </r>
  <r>
    <s v="VND-321"/>
    <s v="Vendor_321"/>
    <x v="4"/>
    <x v="3"/>
    <n v="803436"/>
    <s v="contact321@vendor.com"/>
    <n v="4"/>
    <n v="0"/>
    <n v="0"/>
    <n v="4"/>
    <n v="0"/>
    <n v="1"/>
    <n v="1"/>
    <n v="0"/>
    <x v="0"/>
    <n v="180"/>
    <n v="1446184.8"/>
    <n v="28"/>
  </r>
  <r>
    <s v="VND-322"/>
    <s v="Vendor_322"/>
    <x v="4"/>
    <x v="3"/>
    <n v="807591"/>
    <s v="contact322@vendor.com"/>
    <n v="4"/>
    <n v="0"/>
    <n v="0"/>
    <n v="4"/>
    <n v="0"/>
    <n v="1"/>
    <n v="1"/>
    <n v="0"/>
    <x v="0"/>
    <n v="180"/>
    <n v="1453663.8"/>
    <n v="27"/>
  </r>
  <r>
    <s v="VND-323"/>
    <s v="Vendor_323"/>
    <x v="4"/>
    <x v="3"/>
    <n v="409455"/>
    <s v="contact323@vendor.com"/>
    <n v="4"/>
    <n v="0"/>
    <n v="0"/>
    <n v="4"/>
    <n v="0"/>
    <n v="1"/>
    <n v="1"/>
    <n v="0"/>
    <x v="0"/>
    <n v="180"/>
    <n v="737019"/>
    <n v="61"/>
  </r>
  <r>
    <s v="VND-324"/>
    <s v="Vendor_324"/>
    <x v="4"/>
    <x v="3"/>
    <n v="938630"/>
    <s v="contact324@vendor.com"/>
    <n v="4"/>
    <n v="0"/>
    <n v="0"/>
    <n v="4"/>
    <n v="0"/>
    <n v="1"/>
    <n v="1"/>
    <n v="0"/>
    <x v="0"/>
    <n v="180"/>
    <n v="1689534"/>
    <n v="21"/>
  </r>
  <r>
    <s v="VND-325"/>
    <s v="Vendor_325"/>
    <x v="4"/>
    <x v="3"/>
    <n v="456833"/>
    <s v="contact325@vendor.com"/>
    <n v="4"/>
    <n v="0"/>
    <n v="0"/>
    <n v="4"/>
    <n v="0"/>
    <n v="1"/>
    <n v="0"/>
    <n v="0"/>
    <x v="0"/>
    <n v="180"/>
    <n v="822299.4"/>
    <n v="56"/>
  </r>
  <r>
    <s v="VND-326"/>
    <s v="Vendor_326"/>
    <x v="4"/>
    <x v="3"/>
    <n v="957178"/>
    <s v="contact326@vendor.com"/>
    <n v="4"/>
    <n v="0"/>
    <n v="0"/>
    <n v="4"/>
    <n v="0"/>
    <n v="1"/>
    <n v="1"/>
    <n v="0"/>
    <x v="0"/>
    <n v="180"/>
    <n v="1722920.4000000001"/>
    <n v="18"/>
  </r>
  <r>
    <s v="VND-327"/>
    <s v="Vendor_327"/>
    <x v="4"/>
    <x v="3"/>
    <n v="747282"/>
    <s v="contact327@vendor.com"/>
    <n v="4"/>
    <n v="0"/>
    <n v="0"/>
    <n v="4"/>
    <n v="0"/>
    <n v="1"/>
    <n v="1"/>
    <n v="0"/>
    <x v="0"/>
    <n v="180"/>
    <n v="1345107.6"/>
    <n v="32"/>
  </r>
  <r>
    <s v="VND-328"/>
    <s v="Vendor_328"/>
    <x v="4"/>
    <x v="3"/>
    <n v="90128"/>
    <s v="contact328@vendor.com"/>
    <n v="4"/>
    <n v="0"/>
    <n v="0"/>
    <n v="4"/>
    <n v="0"/>
    <n v="1"/>
    <n v="0"/>
    <n v="0"/>
    <x v="0"/>
    <n v="180"/>
    <n v="162230.39999999999"/>
    <n v="135"/>
  </r>
  <r>
    <s v="VND-329"/>
    <s v="Vendor_329"/>
    <x v="4"/>
    <x v="3"/>
    <n v="185475"/>
    <s v="contact329@vendor.com"/>
    <n v="4"/>
    <n v="0"/>
    <n v="0"/>
    <n v="4"/>
    <n v="0"/>
    <n v="1"/>
    <n v="1"/>
    <n v="0"/>
    <x v="0"/>
    <n v="180"/>
    <n v="333855"/>
    <n v="101"/>
  </r>
  <r>
    <s v="VND-330"/>
    <s v="Vendor_330"/>
    <x v="4"/>
    <x v="3"/>
    <n v="239251"/>
    <s v="contact330@vendor.com"/>
    <n v="4"/>
    <n v="0"/>
    <n v="0"/>
    <n v="4"/>
    <n v="0"/>
    <n v="1"/>
    <n v="1"/>
    <n v="0"/>
    <x v="0"/>
    <n v="180"/>
    <n v="430651.8"/>
    <n v="76"/>
  </r>
  <r>
    <s v="VND-331"/>
    <s v="Vendor_331"/>
    <x v="4"/>
    <x v="3"/>
    <n v="116908"/>
    <s v="contact331@vendor.com"/>
    <n v="4"/>
    <n v="0"/>
    <n v="0"/>
    <n v="4"/>
    <n v="0"/>
    <n v="1"/>
    <n v="1"/>
    <n v="0"/>
    <x v="0"/>
    <n v="180"/>
    <n v="210434.4"/>
    <n v="117"/>
  </r>
  <r>
    <s v="VND-332"/>
    <s v="Vendor_332"/>
    <x v="4"/>
    <x v="3"/>
    <n v="215089"/>
    <s v="contact332@vendor.com"/>
    <n v="4"/>
    <n v="0"/>
    <n v="0"/>
    <n v="4"/>
    <n v="0"/>
    <n v="1"/>
    <n v="1"/>
    <n v="0"/>
    <x v="0"/>
    <n v="180"/>
    <n v="387160.2"/>
    <n v="87"/>
  </r>
  <r>
    <s v="VND-333"/>
    <s v="Vendor_333"/>
    <x v="4"/>
    <x v="3"/>
    <n v="115072"/>
    <s v="contact333@vendor.com"/>
    <n v="4"/>
    <n v="0"/>
    <n v="0"/>
    <n v="4"/>
    <n v="0"/>
    <n v="1"/>
    <n v="1"/>
    <n v="0"/>
    <x v="0"/>
    <n v="180"/>
    <n v="207129.60000000001"/>
    <n v="119"/>
  </r>
  <r>
    <s v="VND-334"/>
    <s v="Vendor_334"/>
    <x v="4"/>
    <x v="3"/>
    <n v="99122"/>
    <s v="contact334@vendor.com"/>
    <n v="4"/>
    <n v="0"/>
    <n v="0"/>
    <n v="4"/>
    <n v="0"/>
    <n v="1"/>
    <n v="0"/>
    <n v="0"/>
    <x v="0"/>
    <n v="180"/>
    <n v="178419.6"/>
    <n v="129"/>
  </r>
  <r>
    <s v="VND-335"/>
    <s v="Vendor_335"/>
    <x v="4"/>
    <x v="3"/>
    <n v="71066"/>
    <s v="contact335@vendor.com"/>
    <n v="4"/>
    <n v="0"/>
    <n v="0"/>
    <n v="4"/>
    <n v="0"/>
    <n v="1"/>
    <n v="1"/>
    <n v="0"/>
    <x v="0"/>
    <n v="180"/>
    <n v="127918.8"/>
    <n v="142"/>
  </r>
  <r>
    <s v="VND-336"/>
    <s v="Vendor_336"/>
    <x v="4"/>
    <x v="3"/>
    <n v="108952"/>
    <s v="contact336@vendor.com"/>
    <n v="4"/>
    <n v="0"/>
    <n v="0"/>
    <n v="4"/>
    <n v="0"/>
    <n v="1"/>
    <n v="1"/>
    <n v="0"/>
    <x v="0"/>
    <n v="180"/>
    <n v="196113.6"/>
    <n v="121"/>
  </r>
  <r>
    <s v="VND-337"/>
    <s v="Vendor_337"/>
    <x v="4"/>
    <x v="3"/>
    <n v="56032"/>
    <s v="contact337@vendor.com"/>
    <n v="4"/>
    <n v="0"/>
    <n v="0"/>
    <n v="4"/>
    <n v="0"/>
    <n v="1"/>
    <n v="1"/>
    <n v="0"/>
    <x v="0"/>
    <n v="180"/>
    <n v="100857.60000000001"/>
    <n v="146"/>
  </r>
  <r>
    <s v="VND-338"/>
    <s v="Vendor_338"/>
    <x v="4"/>
    <x v="3"/>
    <n v="116660"/>
    <s v="contact338@vendor.com"/>
    <n v="4"/>
    <n v="0"/>
    <n v="0"/>
    <n v="4"/>
    <n v="0"/>
    <n v="1"/>
    <n v="0"/>
    <n v="0"/>
    <x v="0"/>
    <n v="180"/>
    <n v="209988"/>
    <n v="118"/>
  </r>
  <r>
    <s v="VND-339"/>
    <s v="Vendor_339"/>
    <x v="4"/>
    <x v="3"/>
    <n v="53297"/>
    <s v="contact339@vendor.com"/>
    <n v="4"/>
    <n v="0"/>
    <n v="0"/>
    <n v="4"/>
    <n v="0"/>
    <n v="1"/>
    <n v="1"/>
    <n v="0"/>
    <x v="0"/>
    <n v="180"/>
    <n v="95934.6"/>
    <n v="149"/>
  </r>
  <r>
    <s v="VND-340"/>
    <s v="Vendor_340"/>
    <x v="4"/>
    <x v="3"/>
    <n v="77421"/>
    <s v="contact340@vendor.com"/>
    <n v="4"/>
    <n v="0"/>
    <n v="0"/>
    <n v="4"/>
    <n v="0"/>
    <n v="1"/>
    <n v="1"/>
    <n v="0"/>
    <x v="0"/>
    <n v="180"/>
    <n v="139357.80000000002"/>
    <n v="137"/>
  </r>
  <r>
    <s v="VND-341"/>
    <s v="Vendor_341"/>
    <x v="4"/>
    <x v="3"/>
    <n v="209801"/>
    <s v="contact341@vendor.com"/>
    <n v="4"/>
    <n v="0"/>
    <n v="0"/>
    <n v="4"/>
    <n v="0"/>
    <n v="1"/>
    <n v="0"/>
    <n v="0"/>
    <x v="0"/>
    <n v="180"/>
    <n v="377641.8"/>
    <n v="90"/>
  </r>
  <r>
    <s v="VND-342"/>
    <s v="Vendor_342"/>
    <x v="4"/>
    <x v="3"/>
    <n v="70734"/>
    <s v="contact342@vendor.com"/>
    <n v="4"/>
    <n v="0"/>
    <n v="0"/>
    <n v="4"/>
    <n v="0"/>
    <n v="1"/>
    <n v="0"/>
    <n v="0"/>
    <x v="0"/>
    <n v="180"/>
    <n v="127321.2"/>
    <n v="143"/>
  </r>
  <r>
    <s v="VND-343"/>
    <s v="Vendor_343"/>
    <x v="4"/>
    <x v="3"/>
    <n v="235449"/>
    <s v="contact343@vendor.com"/>
    <n v="4"/>
    <n v="0"/>
    <n v="0"/>
    <n v="4"/>
    <n v="0"/>
    <n v="1"/>
    <n v="1"/>
    <n v="0"/>
    <x v="0"/>
    <n v="180"/>
    <n v="423808.2"/>
    <n v="79"/>
  </r>
  <r>
    <s v="VND-344"/>
    <s v="Vendor_344"/>
    <x v="4"/>
    <x v="3"/>
    <n v="137723"/>
    <s v="contact344@vendor.com"/>
    <n v="4"/>
    <n v="0"/>
    <n v="0"/>
    <n v="4"/>
    <n v="0"/>
    <n v="1"/>
    <n v="1"/>
    <n v="0"/>
    <x v="0"/>
    <n v="180"/>
    <n v="247901.4"/>
    <n v="111"/>
  </r>
  <r>
    <s v="VND-345"/>
    <s v="Vendor_345"/>
    <x v="4"/>
    <x v="3"/>
    <n v="64753"/>
    <s v="contact345@vendor.com"/>
    <n v="4"/>
    <n v="0"/>
    <n v="0"/>
    <n v="4"/>
    <n v="0"/>
    <n v="1"/>
    <n v="1"/>
    <n v="0"/>
    <x v="0"/>
    <n v="180"/>
    <n v="116555.40000000001"/>
    <n v="144"/>
  </r>
  <r>
    <s v="VND-346"/>
    <s v="Vendor_346"/>
    <x v="4"/>
    <x v="3"/>
    <n v="243573"/>
    <s v="contact346@vendor.com"/>
    <n v="4"/>
    <n v="0"/>
    <n v="0"/>
    <n v="4"/>
    <n v="0"/>
    <n v="1"/>
    <n v="0"/>
    <n v="0"/>
    <x v="0"/>
    <n v="180"/>
    <n v="438431.4"/>
    <n v="73"/>
  </r>
  <r>
    <s v="VND-347"/>
    <s v="Vendor_347"/>
    <x v="4"/>
    <x v="3"/>
    <n v="98059"/>
    <s v="contact347@vendor.com"/>
    <n v="4"/>
    <n v="0"/>
    <n v="0"/>
    <n v="4"/>
    <n v="0"/>
    <n v="1"/>
    <n v="1"/>
    <n v="0"/>
    <x v="0"/>
    <n v="180"/>
    <n v="176506.2"/>
    <n v="130"/>
  </r>
  <r>
    <s v="VND-348"/>
    <s v="Vendor_348"/>
    <x v="4"/>
    <x v="3"/>
    <n v="100214"/>
    <s v="contact348@vendor.com"/>
    <n v="4"/>
    <n v="0"/>
    <n v="0"/>
    <n v="4"/>
    <n v="0"/>
    <n v="1"/>
    <n v="1"/>
    <n v="0"/>
    <x v="0"/>
    <n v="180"/>
    <n v="180385.2"/>
    <n v="127"/>
  </r>
  <r>
    <s v="VND-349"/>
    <s v="Vendor_349"/>
    <x v="4"/>
    <x v="3"/>
    <n v="105065"/>
    <s v="contact349@vendor.com"/>
    <n v="4"/>
    <n v="0"/>
    <n v="0"/>
    <n v="4"/>
    <n v="0"/>
    <n v="1"/>
    <n v="1"/>
    <n v="0"/>
    <x v="0"/>
    <n v="180"/>
    <n v="189117"/>
    <n v="124"/>
  </r>
  <r>
    <s v="VND-350"/>
    <s v="Vendor_350"/>
    <x v="4"/>
    <x v="3"/>
    <n v="150695"/>
    <s v="contact350@vendor.com"/>
    <n v="4"/>
    <n v="0"/>
    <n v="0"/>
    <n v="4"/>
    <n v="0"/>
    <n v="1"/>
    <n v="1"/>
    <n v="0"/>
    <x v="0"/>
    <n v="180"/>
    <n v="271251"/>
    <n v="106"/>
  </r>
  <r>
    <s v="VND-351"/>
    <s v="Vendor_351"/>
    <x v="4"/>
    <x v="3"/>
    <n v="189901"/>
    <s v="contact351@vendor.com"/>
    <n v="4"/>
    <n v="0"/>
    <n v="0"/>
    <n v="4"/>
    <n v="0"/>
    <n v="1"/>
    <n v="1"/>
    <n v="0"/>
    <x v="0"/>
    <n v="180"/>
    <n v="341821.8"/>
    <n v="98"/>
  </r>
  <r>
    <s v="VND-352"/>
    <s v="Vendor_352"/>
    <x v="4"/>
    <x v="3"/>
    <n v="242931"/>
    <s v="contact352@vendor.com"/>
    <n v="4"/>
    <n v="0"/>
    <n v="0"/>
    <n v="4"/>
    <n v="0"/>
    <n v="1"/>
    <n v="0"/>
    <n v="0"/>
    <x v="0"/>
    <n v="180"/>
    <n v="437275.8"/>
    <n v="74"/>
  </r>
  <r>
    <s v="VND-353"/>
    <s v="Vendor_353"/>
    <x v="4"/>
    <x v="3"/>
    <n v="211450"/>
    <s v="contact353@vendor.com"/>
    <n v="4"/>
    <n v="0"/>
    <n v="0"/>
    <n v="4"/>
    <n v="0"/>
    <n v="1"/>
    <n v="1"/>
    <n v="0"/>
    <x v="0"/>
    <n v="180"/>
    <n v="380610"/>
    <n v="89"/>
  </r>
  <r>
    <s v="VND-354"/>
    <s v="Vendor_354"/>
    <x v="4"/>
    <x v="3"/>
    <n v="94882"/>
    <s v="contact354@vendor.com"/>
    <n v="4"/>
    <n v="0"/>
    <n v="0"/>
    <n v="4"/>
    <n v="0"/>
    <n v="1"/>
    <n v="0"/>
    <n v="0"/>
    <x v="0"/>
    <n v="180"/>
    <n v="170787.6"/>
    <n v="131"/>
  </r>
  <r>
    <s v="VND-355"/>
    <s v="Vendor_355"/>
    <x v="4"/>
    <x v="3"/>
    <n v="214095"/>
    <s v="contact355@vendor.com"/>
    <n v="4"/>
    <n v="0"/>
    <n v="0"/>
    <n v="4"/>
    <n v="0"/>
    <n v="1"/>
    <n v="0"/>
    <n v="0"/>
    <x v="0"/>
    <n v="180"/>
    <n v="385371"/>
    <n v="88"/>
  </r>
  <r>
    <s v="VND-356"/>
    <s v="Vendor_356"/>
    <x v="4"/>
    <x v="3"/>
    <n v="200428"/>
    <s v="contact356@vendor.com"/>
    <n v="4"/>
    <n v="0"/>
    <n v="0"/>
    <n v="4"/>
    <n v="0"/>
    <n v="1"/>
    <n v="1"/>
    <n v="0"/>
    <x v="0"/>
    <n v="180"/>
    <n v="360770.4"/>
    <n v="94"/>
  </r>
  <r>
    <s v="VND-357"/>
    <s v="Vendor_357"/>
    <x v="4"/>
    <x v="3"/>
    <n v="221957"/>
    <s v="contact357@vendor.com"/>
    <n v="4"/>
    <n v="0"/>
    <n v="0"/>
    <n v="4"/>
    <n v="0"/>
    <n v="1"/>
    <n v="1"/>
    <n v="0"/>
    <x v="0"/>
    <n v="180"/>
    <n v="399522.60000000003"/>
    <n v="83"/>
  </r>
  <r>
    <s v="VND-358"/>
    <s v="Vendor_358"/>
    <x v="4"/>
    <x v="3"/>
    <n v="198854"/>
    <s v="contact358@vendor.com"/>
    <n v="4"/>
    <n v="0"/>
    <n v="0"/>
    <n v="4"/>
    <n v="0"/>
    <n v="1"/>
    <n v="1"/>
    <n v="0"/>
    <x v="0"/>
    <n v="180"/>
    <n v="357937.2"/>
    <n v="96"/>
  </r>
  <r>
    <s v="VND-359"/>
    <s v="Vendor_359"/>
    <x v="4"/>
    <x v="3"/>
    <n v="74823"/>
    <s v="contact359@vendor.com"/>
    <n v="4"/>
    <n v="0"/>
    <n v="0"/>
    <n v="4"/>
    <n v="0"/>
    <n v="1"/>
    <n v="0"/>
    <n v="0"/>
    <x v="0"/>
    <n v="180"/>
    <n v="134681.4"/>
    <n v="138"/>
  </r>
  <r>
    <s v="VND-360"/>
    <s v="Vendor_360"/>
    <x v="4"/>
    <x v="3"/>
    <n v="71850"/>
    <s v="contact360@vendor.com"/>
    <n v="4"/>
    <n v="0"/>
    <n v="0"/>
    <n v="4"/>
    <n v="0"/>
    <n v="1"/>
    <n v="0"/>
    <n v="0"/>
    <x v="0"/>
    <n v="180"/>
    <n v="129330"/>
    <n v="141"/>
  </r>
  <r>
    <s v="VND-361"/>
    <s v="Vendor_361"/>
    <x v="4"/>
    <x v="3"/>
    <n v="136346"/>
    <s v="contact361@vendor.com"/>
    <n v="4"/>
    <n v="0"/>
    <n v="0"/>
    <n v="4"/>
    <n v="0"/>
    <n v="1"/>
    <n v="0"/>
    <n v="0"/>
    <x v="0"/>
    <n v="180"/>
    <n v="245422.80000000002"/>
    <n v="112"/>
  </r>
  <r>
    <s v="VND-362"/>
    <s v="Vendor_362"/>
    <x v="4"/>
    <x v="3"/>
    <n v="191543"/>
    <s v="contact362@vendor.com"/>
    <n v="4"/>
    <n v="0"/>
    <n v="0"/>
    <n v="4"/>
    <n v="0"/>
    <n v="1"/>
    <n v="0"/>
    <n v="0"/>
    <x v="0"/>
    <n v="180"/>
    <n v="344777.4"/>
    <n v="97"/>
  </r>
  <r>
    <s v="VND-363"/>
    <s v="Vendor_363"/>
    <x v="4"/>
    <x v="3"/>
    <n v="249374"/>
    <s v="contact363@vendor.com"/>
    <n v="4"/>
    <n v="0"/>
    <n v="0"/>
    <n v="4"/>
    <n v="0"/>
    <n v="1"/>
    <n v="1"/>
    <n v="0"/>
    <x v="0"/>
    <n v="180"/>
    <n v="448873.2"/>
    <n v="71"/>
  </r>
  <r>
    <s v="VND-364"/>
    <s v="Vendor_364"/>
    <x v="4"/>
    <x v="3"/>
    <n v="106403"/>
    <s v="contact364@vendor.com"/>
    <n v="4"/>
    <n v="0"/>
    <n v="0"/>
    <n v="4"/>
    <n v="0"/>
    <n v="1"/>
    <n v="1"/>
    <n v="0"/>
    <x v="0"/>
    <n v="180"/>
    <n v="191525.4"/>
    <n v="123"/>
  </r>
  <r>
    <s v="VND-365"/>
    <s v="Vendor_365"/>
    <x v="4"/>
    <x v="3"/>
    <n v="90592"/>
    <s v="contact365@vendor.com"/>
    <n v="4"/>
    <n v="0"/>
    <n v="0"/>
    <n v="4"/>
    <n v="0"/>
    <n v="1"/>
    <n v="1"/>
    <n v="0"/>
    <x v="0"/>
    <n v="180"/>
    <n v="163065.60000000001"/>
    <n v="134"/>
  </r>
  <r>
    <s v="VND-366"/>
    <s v="Vendor_366"/>
    <x v="4"/>
    <x v="3"/>
    <n v="102289"/>
    <s v="contact366@vendor.com"/>
    <n v="4"/>
    <n v="0"/>
    <n v="0"/>
    <n v="4"/>
    <n v="0"/>
    <n v="1"/>
    <n v="0"/>
    <n v="0"/>
    <x v="0"/>
    <n v="180"/>
    <n v="184120.2"/>
    <n v="125"/>
  </r>
  <r>
    <s v="VND-367"/>
    <s v="Vendor_367"/>
    <x v="4"/>
    <x v="3"/>
    <n v="244186"/>
    <s v="contact367@vendor.com"/>
    <n v="4"/>
    <n v="0"/>
    <n v="0"/>
    <n v="4"/>
    <n v="0"/>
    <n v="1"/>
    <n v="1"/>
    <n v="1"/>
    <x v="1"/>
    <n v="230"/>
    <n v="561627.79999999993"/>
    <n v="69"/>
  </r>
  <r>
    <s v="VND-368"/>
    <s v="Vendor_368"/>
    <x v="4"/>
    <x v="3"/>
    <n v="88941"/>
    <s v="contact368@vendor.com"/>
    <n v="4"/>
    <n v="0"/>
    <n v="0"/>
    <n v="4"/>
    <n v="0"/>
    <n v="1"/>
    <n v="1"/>
    <n v="0"/>
    <x v="0"/>
    <n v="180"/>
    <n v="160093.80000000002"/>
    <n v="136"/>
  </r>
  <r>
    <s v="VND-369"/>
    <s v="Vendor_369"/>
    <x v="4"/>
    <x v="3"/>
    <n v="244272"/>
    <s v="contact369@vendor.com"/>
    <n v="4"/>
    <n v="0"/>
    <n v="0"/>
    <n v="4"/>
    <n v="0"/>
    <n v="1"/>
    <n v="1"/>
    <n v="0"/>
    <x v="0"/>
    <n v="180"/>
    <n v="439689.60000000003"/>
    <n v="72"/>
  </r>
  <r>
    <s v="VND-370"/>
    <s v="Vendor_370"/>
    <x v="4"/>
    <x v="3"/>
    <n v="102212"/>
    <s v="contact370@vendor.com"/>
    <n v="4"/>
    <n v="0"/>
    <n v="0"/>
    <n v="4"/>
    <n v="0"/>
    <n v="1"/>
    <n v="1"/>
    <n v="0"/>
    <x v="0"/>
    <n v="180"/>
    <n v="183981.6"/>
    <n v="126"/>
  </r>
  <r>
    <s v="VND-371"/>
    <s v="Vendor_371"/>
    <x v="4"/>
    <x v="3"/>
    <n v="149142"/>
    <s v="contact371@vendor.com"/>
    <n v="4"/>
    <n v="0"/>
    <n v="0"/>
    <n v="4"/>
    <n v="0"/>
    <n v="1"/>
    <n v="1"/>
    <n v="0"/>
    <x v="0"/>
    <n v="180"/>
    <n v="268455.60000000003"/>
    <n v="107"/>
  </r>
  <r>
    <s v="VND-372"/>
    <s v="Vendor_372"/>
    <x v="4"/>
    <x v="3"/>
    <n v="198973"/>
    <s v="contact372@vendor.com"/>
    <n v="4"/>
    <n v="0"/>
    <n v="0"/>
    <n v="4"/>
    <n v="0"/>
    <n v="1"/>
    <n v="0"/>
    <n v="0"/>
    <x v="0"/>
    <n v="180"/>
    <n v="358151.4"/>
    <n v="95"/>
  </r>
  <r>
    <s v="VND-373"/>
    <s v="Vendor_373"/>
    <x v="4"/>
    <x v="3"/>
    <n v="73373"/>
    <s v="contact373@vendor.com"/>
    <n v="4"/>
    <n v="0"/>
    <n v="0"/>
    <n v="4"/>
    <n v="0"/>
    <n v="1"/>
    <n v="1"/>
    <n v="0"/>
    <x v="0"/>
    <n v="180"/>
    <n v="132071.4"/>
    <n v="139"/>
  </r>
  <r>
    <s v="VND-374"/>
    <s v="Vendor_374"/>
    <x v="4"/>
    <x v="3"/>
    <n v="137848"/>
    <s v="contact374@vendor.com"/>
    <n v="4"/>
    <n v="0"/>
    <n v="0"/>
    <n v="4"/>
    <n v="0"/>
    <n v="1"/>
    <n v="0"/>
    <n v="0"/>
    <x v="0"/>
    <n v="180"/>
    <n v="248126.4"/>
    <n v="110"/>
  </r>
  <r>
    <s v="VND-375"/>
    <s v="Vendor_375"/>
    <x v="4"/>
    <x v="3"/>
    <n v="135248"/>
    <s v="contact375@vendor.com"/>
    <n v="4"/>
    <n v="0"/>
    <n v="0"/>
    <n v="4"/>
    <n v="0"/>
    <n v="1"/>
    <n v="1"/>
    <n v="0"/>
    <x v="0"/>
    <n v="180"/>
    <n v="243446.39999999999"/>
    <n v="113"/>
  </r>
  <r>
    <s v="VND-376"/>
    <s v="Vendor_376"/>
    <x v="4"/>
    <x v="3"/>
    <n v="114217"/>
    <s v="contact376@vendor.com"/>
    <n v="4"/>
    <n v="0"/>
    <n v="0"/>
    <n v="4"/>
    <n v="0"/>
    <n v="1"/>
    <n v="1"/>
    <n v="0"/>
    <x v="0"/>
    <n v="180"/>
    <n v="205590.6"/>
    <n v="120"/>
  </r>
  <r>
    <s v="VND-377"/>
    <s v="Vendor_377"/>
    <x v="4"/>
    <x v="3"/>
    <n v="237910"/>
    <s v="contact377@vendor.com"/>
    <n v="4"/>
    <n v="0"/>
    <n v="0"/>
    <n v="4"/>
    <n v="0"/>
    <n v="1"/>
    <n v="1"/>
    <n v="0"/>
    <x v="0"/>
    <n v="180"/>
    <n v="428238"/>
    <n v="77"/>
  </r>
  <r>
    <s v="VND-378"/>
    <s v="Vendor_378"/>
    <x v="4"/>
    <x v="3"/>
    <n v="146142"/>
    <s v="contact378@vendor.com"/>
    <n v="4"/>
    <n v="0"/>
    <n v="0"/>
    <n v="4"/>
    <n v="0"/>
    <n v="1"/>
    <n v="0"/>
    <n v="0"/>
    <x v="0"/>
    <n v="180"/>
    <n v="263055.60000000003"/>
    <n v="109"/>
  </r>
  <r>
    <s v="VND-379"/>
    <s v="Vendor_379"/>
    <x v="4"/>
    <x v="3"/>
    <n v="146601"/>
    <s v="contact379@vendor.com"/>
    <n v="4"/>
    <n v="0"/>
    <n v="0"/>
    <n v="4"/>
    <n v="0"/>
    <n v="1"/>
    <n v="1"/>
    <n v="0"/>
    <x v="0"/>
    <n v="180"/>
    <n v="263881.8"/>
    <n v="108"/>
  </r>
  <r>
    <s v="VND-380"/>
    <s v="Vendor_380"/>
    <x v="4"/>
    <x v="3"/>
    <n v="171385"/>
    <s v="contact380@vendor.com"/>
    <n v="4"/>
    <n v="0"/>
    <n v="0"/>
    <n v="4"/>
    <n v="0"/>
    <n v="1"/>
    <n v="0"/>
    <n v="0"/>
    <x v="0"/>
    <n v="180"/>
    <n v="308493"/>
    <n v="102"/>
  </r>
  <r>
    <s v="VND-381"/>
    <s v="Vendor_381"/>
    <x v="4"/>
    <x v="3"/>
    <n v="188518"/>
    <s v="contact381@vendor.com"/>
    <n v="4"/>
    <n v="0"/>
    <n v="0"/>
    <n v="4"/>
    <n v="0"/>
    <n v="1"/>
    <n v="1"/>
    <n v="0"/>
    <x v="0"/>
    <n v="180"/>
    <n v="339332.4"/>
    <n v="99"/>
  </r>
  <r>
    <s v="VND-382"/>
    <s v="Vendor_382"/>
    <x v="4"/>
    <x v="3"/>
    <n v="93037"/>
    <s v="contact382@vendor.com"/>
    <n v="4"/>
    <n v="0"/>
    <n v="0"/>
    <n v="4"/>
    <n v="0"/>
    <n v="1"/>
    <n v="0"/>
    <n v="0"/>
    <x v="0"/>
    <n v="180"/>
    <n v="167466.6"/>
    <n v="133"/>
  </r>
  <r>
    <s v="VND-383"/>
    <s v="Vendor_383"/>
    <x v="4"/>
    <x v="3"/>
    <n v="164575"/>
    <s v="contact383@vendor.com"/>
    <n v="4"/>
    <n v="0"/>
    <n v="0"/>
    <n v="4"/>
    <n v="0"/>
    <n v="1"/>
    <n v="0"/>
    <n v="0"/>
    <x v="0"/>
    <n v="180"/>
    <n v="296235"/>
    <n v="105"/>
  </r>
  <r>
    <s v="VND-384"/>
    <s v="Vendor_384"/>
    <x v="4"/>
    <x v="3"/>
    <n v="204592"/>
    <s v="contact384@vendor.com"/>
    <n v="4"/>
    <n v="0"/>
    <n v="0"/>
    <n v="4"/>
    <n v="0"/>
    <n v="1"/>
    <n v="1"/>
    <n v="0"/>
    <x v="0"/>
    <n v="180"/>
    <n v="368265.60000000003"/>
    <n v="93"/>
  </r>
  <r>
    <s v="VND-385"/>
    <s v="Vendor_385"/>
    <x v="4"/>
    <x v="3"/>
    <n v="205996"/>
    <s v="contact385@vendor.com"/>
    <n v="4"/>
    <n v="0"/>
    <n v="0"/>
    <n v="4"/>
    <n v="0"/>
    <n v="1"/>
    <n v="1"/>
    <n v="0"/>
    <x v="0"/>
    <n v="180"/>
    <n v="370792.8"/>
    <n v="92"/>
  </r>
  <r>
    <s v="VND-386"/>
    <s v="Vendor_386"/>
    <x v="4"/>
    <x v="3"/>
    <n v="107784"/>
    <s v="contact386@vendor.com"/>
    <n v="4"/>
    <n v="0"/>
    <n v="0"/>
    <n v="4"/>
    <n v="0"/>
    <n v="1"/>
    <n v="0"/>
    <n v="0"/>
    <x v="0"/>
    <n v="180"/>
    <n v="194011.2"/>
    <n v="122"/>
  </r>
  <r>
    <s v="VND-387"/>
    <s v="Vendor_387"/>
    <x v="4"/>
    <x v="3"/>
    <n v="132365"/>
    <s v="contact387@vendor.com"/>
    <n v="4"/>
    <n v="0"/>
    <n v="0"/>
    <n v="4"/>
    <n v="0"/>
    <n v="1"/>
    <n v="0"/>
    <n v="0"/>
    <x v="0"/>
    <n v="180"/>
    <n v="238257"/>
    <n v="114"/>
  </r>
  <r>
    <s v="VND-388"/>
    <s v="Vendor_388"/>
    <x v="4"/>
    <x v="3"/>
    <n v="57104"/>
    <s v="contact388@vendor.com"/>
    <n v="4"/>
    <n v="0"/>
    <n v="0"/>
    <n v="4"/>
    <n v="0"/>
    <n v="1"/>
    <n v="0"/>
    <n v="0"/>
    <x v="0"/>
    <n v="180"/>
    <n v="102787.2"/>
    <n v="145"/>
  </r>
  <r>
    <s v="VND-389"/>
    <s v="Vendor_389"/>
    <x v="4"/>
    <x v="3"/>
    <n v="93677"/>
    <s v="contact389@vendor.com"/>
    <n v="4"/>
    <n v="0"/>
    <n v="0"/>
    <n v="4"/>
    <n v="0"/>
    <n v="1"/>
    <n v="1"/>
    <n v="0"/>
    <x v="0"/>
    <n v="180"/>
    <n v="168618.6"/>
    <n v="132"/>
  </r>
  <r>
    <s v="VND-390"/>
    <s v="Vendor_390"/>
    <x v="4"/>
    <x v="3"/>
    <n v="128614"/>
    <s v="contact390@vendor.com"/>
    <n v="4"/>
    <n v="0"/>
    <n v="0"/>
    <n v="4"/>
    <n v="0"/>
    <n v="1"/>
    <n v="0"/>
    <n v="0"/>
    <x v="0"/>
    <n v="180"/>
    <n v="231505.2"/>
    <n v="115"/>
  </r>
  <r>
    <s v="VND-391"/>
    <s v="Vendor_391"/>
    <x v="4"/>
    <x v="3"/>
    <n v="226337"/>
    <s v="contact391@vendor.com"/>
    <n v="4"/>
    <n v="0"/>
    <n v="0"/>
    <n v="4"/>
    <n v="0"/>
    <n v="1"/>
    <n v="1"/>
    <n v="0"/>
    <x v="0"/>
    <n v="180"/>
    <n v="407406.60000000003"/>
    <n v="81"/>
  </r>
  <r>
    <s v="VND-392"/>
    <s v="Vendor_392"/>
    <x v="4"/>
    <x v="3"/>
    <n v="218926"/>
    <s v="contact392@vendor.com"/>
    <n v="4"/>
    <n v="0"/>
    <n v="0"/>
    <n v="4"/>
    <n v="0"/>
    <n v="1"/>
    <n v="1"/>
    <n v="0"/>
    <x v="0"/>
    <n v="180"/>
    <n v="394066.8"/>
    <n v="84"/>
  </r>
  <r>
    <s v="VND-393"/>
    <s v="Vendor_393"/>
    <x v="4"/>
    <x v="3"/>
    <n v="186526"/>
    <s v="contact393@vendor.com"/>
    <n v="4"/>
    <n v="0"/>
    <n v="0"/>
    <n v="4"/>
    <n v="0"/>
    <n v="1"/>
    <n v="1"/>
    <n v="0"/>
    <x v="0"/>
    <n v="180"/>
    <n v="335746.8"/>
    <n v="100"/>
  </r>
  <r>
    <s v="VND-394"/>
    <s v="Vendor_394"/>
    <x v="4"/>
    <x v="3"/>
    <n v="242259"/>
    <s v="contact394@vendor.com"/>
    <n v="4"/>
    <n v="0"/>
    <n v="0"/>
    <n v="4"/>
    <n v="0"/>
    <n v="1"/>
    <n v="1"/>
    <n v="0"/>
    <x v="0"/>
    <n v="180"/>
    <n v="436066.2"/>
    <n v="75"/>
  </r>
  <r>
    <s v="VND-395"/>
    <s v="Vendor_395"/>
    <x v="4"/>
    <x v="3"/>
    <n v="215482"/>
    <s v="contact395@vendor.com"/>
    <n v="4"/>
    <n v="0"/>
    <n v="0"/>
    <n v="4"/>
    <n v="0"/>
    <n v="1"/>
    <n v="0"/>
    <n v="0"/>
    <x v="0"/>
    <n v="180"/>
    <n v="387867.60000000003"/>
    <n v="85"/>
  </r>
  <r>
    <s v="VND-396"/>
    <s v="Vendor_396"/>
    <x v="4"/>
    <x v="3"/>
    <n v="120820"/>
    <s v="contact396@vendor.com"/>
    <n v="4"/>
    <n v="0"/>
    <n v="0"/>
    <n v="4"/>
    <n v="0"/>
    <n v="1"/>
    <n v="0"/>
    <n v="0"/>
    <x v="0"/>
    <n v="180"/>
    <n v="217476"/>
    <n v="116"/>
  </r>
  <r>
    <s v="VND-397"/>
    <s v="Vendor_397"/>
    <x v="4"/>
    <x v="3"/>
    <n v="2727524"/>
    <s v="contact397@vendor.com"/>
    <n v="4"/>
    <n v="0"/>
    <n v="0"/>
    <n v="4"/>
    <n v="0"/>
    <n v="1"/>
    <n v="1"/>
    <n v="0"/>
    <x v="0"/>
    <n v="180"/>
    <n v="4909543.2"/>
    <n v="8"/>
  </r>
  <r>
    <s v="VND-398"/>
    <s v="Vendor_398"/>
    <x v="4"/>
    <x v="3"/>
    <n v="3389070"/>
    <s v="contact398@vendor.com"/>
    <n v="4"/>
    <n v="0"/>
    <n v="0"/>
    <n v="4"/>
    <n v="0"/>
    <n v="1"/>
    <n v="0"/>
    <n v="0"/>
    <x v="0"/>
    <n v="180"/>
    <n v="6100326"/>
    <n v="4"/>
  </r>
  <r>
    <s v="VND-399"/>
    <s v="Vendor_399"/>
    <x v="4"/>
    <x v="3"/>
    <n v="2884267"/>
    <s v="contact399@vendor.com"/>
    <n v="4"/>
    <n v="0"/>
    <n v="0"/>
    <n v="4"/>
    <n v="0"/>
    <n v="1"/>
    <n v="0"/>
    <n v="0"/>
    <x v="0"/>
    <n v="180"/>
    <n v="5191680.6000000006"/>
    <n v="7"/>
  </r>
  <r>
    <s v="VND-400"/>
    <s v="Vendor_400"/>
    <x v="4"/>
    <x v="3"/>
    <n v="2950224"/>
    <s v="contact400@vendor.com"/>
    <n v="4"/>
    <n v="0"/>
    <n v="0"/>
    <n v="4"/>
    <n v="0"/>
    <n v="1"/>
    <n v="0"/>
    <n v="0"/>
    <x v="0"/>
    <n v="180"/>
    <n v="5310403.2"/>
    <n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0">
  <r>
    <s v="VND-001"/>
    <s v="ISO 14001"/>
    <s v="Yes"/>
    <s v="Yes"/>
    <d v="2024-11-23T00:00:00"/>
    <d v="2027-12-31T00:00:00"/>
    <n v="669"/>
    <x v="0"/>
    <n v="0"/>
    <x v="0"/>
  </r>
  <r>
    <s v="VND-001"/>
    <s v="Safety Certificate"/>
    <s v="Yes"/>
    <s v="Yes"/>
    <d v="2026-01-24T00:00:00"/>
    <d v="2026-10-18T00:00:00"/>
    <n v="230"/>
    <x v="0"/>
    <n v="0"/>
    <x v="1"/>
  </r>
  <r>
    <s v="VND-001"/>
    <s v="Environmental Policy"/>
    <s v="Yes"/>
    <s v="Yes"/>
    <d v="2025-02-13T00:00:00"/>
    <d v="2027-05-27T00:00:00"/>
    <n v="451"/>
    <x v="0"/>
    <n v="0"/>
    <x v="0"/>
  </r>
  <r>
    <s v="VND-001"/>
    <s v="Sustainability Disclosure"/>
    <s v="Yes"/>
    <s v="Yes"/>
    <d v="2024-04-08T00:00:00"/>
    <d v="2026-11-30T00:00:00"/>
    <n v="273"/>
    <x v="0"/>
    <n v="0"/>
    <x v="0"/>
  </r>
  <r>
    <s v="VND-002"/>
    <s v="ISO 14001"/>
    <s v="Yes"/>
    <s v="Yes"/>
    <d v="2024-12-22T00:00:00"/>
    <d v="2027-12-30T00:00:00"/>
    <n v="668"/>
    <x v="0"/>
    <n v="0"/>
    <x v="0"/>
  </r>
  <r>
    <s v="VND-002"/>
    <s v="Safety Certificate"/>
    <s v="Yes"/>
    <s v="Yes"/>
    <d v="2025-12-16T00:00:00"/>
    <d v="2026-08-23T00:00:00"/>
    <n v="174"/>
    <x v="0"/>
    <n v="0"/>
    <x v="1"/>
  </r>
  <r>
    <s v="VND-002"/>
    <s v="Environmental Policy"/>
    <s v="Yes"/>
    <s v="Yes"/>
    <d v="2025-12-08T00:00:00"/>
    <d v="2026-08-26T00:00:00"/>
    <n v="177"/>
    <x v="0"/>
    <n v="0"/>
    <x v="0"/>
  </r>
  <r>
    <s v="VND-002"/>
    <s v="Sustainability Disclosure"/>
    <s v="Yes"/>
    <s v="Yes"/>
    <d v="2025-08-28T00:00:00"/>
    <d v="2028-04-26T00:00:00"/>
    <n v="786"/>
    <x v="0"/>
    <n v="0"/>
    <x v="0"/>
  </r>
  <r>
    <s v="VND-003"/>
    <s v="ISO 14001"/>
    <s v="Yes"/>
    <s v="Yes"/>
    <d v="2026-01-11T00:00:00"/>
    <d v="2027-04-29T00:00:00"/>
    <n v="423"/>
    <x v="0"/>
    <n v="0"/>
    <x v="0"/>
  </r>
  <r>
    <s v="VND-003"/>
    <s v="Safety Certificate"/>
    <s v="Yes"/>
    <s v="Yes"/>
    <d v="2024-04-21T00:00:00"/>
    <d v="2026-07-24T00:00:00"/>
    <n v="144"/>
    <x v="0"/>
    <n v="0"/>
    <x v="1"/>
  </r>
  <r>
    <s v="VND-003"/>
    <s v="Environmental Policy"/>
    <s v="Yes"/>
    <s v="Yes"/>
    <d v="2025-03-23T00:00:00"/>
    <d v="2027-09-07T00:00:00"/>
    <n v="554"/>
    <x v="0"/>
    <n v="0"/>
    <x v="0"/>
  </r>
  <r>
    <s v="VND-003"/>
    <s v="Sustainability Disclosure"/>
    <s v="Yes"/>
    <s v="Yes"/>
    <d v="2025-03-21T00:00:00"/>
    <d v="2028-03-18T00:00:00"/>
    <n v="747"/>
    <x v="0"/>
    <n v="0"/>
    <x v="0"/>
  </r>
  <r>
    <s v="VND-004"/>
    <s v="ISO 14001"/>
    <s v="Yes"/>
    <s v="Yes"/>
    <d v="2026-01-16T00:00:00"/>
    <d v="2028-04-30T00:00:00"/>
    <n v="790"/>
    <x v="0"/>
    <n v="0"/>
    <x v="0"/>
  </r>
  <r>
    <s v="VND-004"/>
    <s v="Safety Certificate"/>
    <s v="Yes"/>
    <s v="Yes"/>
    <d v="2025-05-03T00:00:00"/>
    <d v="2028-06-12T00:00:00"/>
    <n v="833"/>
    <x v="0"/>
    <n v="0"/>
    <x v="1"/>
  </r>
  <r>
    <s v="VND-004"/>
    <s v="Environmental Policy"/>
    <s v="Yes"/>
    <s v="Yes"/>
    <d v="2025-10-14T00:00:00"/>
    <d v="2026-12-13T00:00:00"/>
    <n v="286"/>
    <x v="0"/>
    <n v="0"/>
    <x v="0"/>
  </r>
  <r>
    <s v="VND-004"/>
    <s v="Sustainability Disclosure"/>
    <s v="Yes"/>
    <s v="Yes"/>
    <d v="2024-10-17T00:00:00"/>
    <d v="2027-11-02T00:00:00"/>
    <n v="610"/>
    <x v="0"/>
    <n v="0"/>
    <x v="0"/>
  </r>
  <r>
    <s v="VND-005"/>
    <s v="ISO 14001"/>
    <s v="Yes"/>
    <s v="Yes"/>
    <d v="2025-08-15T00:00:00"/>
    <d v="2027-03-20T00:00:00"/>
    <n v="383"/>
    <x v="0"/>
    <n v="0"/>
    <x v="0"/>
  </r>
  <r>
    <s v="VND-005"/>
    <s v="Safety Certificate"/>
    <s v="Yes"/>
    <s v="Yes"/>
    <d v="2025-04-14T00:00:00"/>
    <d v="2027-04-07T00:00:00"/>
    <n v="401"/>
    <x v="0"/>
    <n v="0"/>
    <x v="1"/>
  </r>
  <r>
    <s v="VND-005"/>
    <s v="Environmental Policy"/>
    <s v="Yes"/>
    <s v="Yes"/>
    <d v="2025-02-19T00:00:00"/>
    <d v="2026-12-25T00:00:00"/>
    <n v="298"/>
    <x v="0"/>
    <n v="0"/>
    <x v="0"/>
  </r>
  <r>
    <s v="VND-005"/>
    <s v="Sustainability Disclosure"/>
    <s v="Yes"/>
    <s v="Yes"/>
    <d v="2025-09-04T00:00:00"/>
    <d v="2027-01-30T00:00:00"/>
    <n v="334"/>
    <x v="0"/>
    <n v="0"/>
    <x v="0"/>
  </r>
  <r>
    <s v="VND-006"/>
    <s v="ISO 14001"/>
    <s v="Yes"/>
    <s v="Yes"/>
    <d v="2025-03-29T00:00:00"/>
    <d v="2027-08-21T00:00:00"/>
    <n v="537"/>
    <x v="0"/>
    <n v="0"/>
    <x v="0"/>
  </r>
  <r>
    <s v="VND-006"/>
    <s v="Safety Certificate"/>
    <s v="Yes"/>
    <s v="Yes"/>
    <d v="2025-12-01T00:00:00"/>
    <d v="2027-01-02T00:00:00"/>
    <n v="306"/>
    <x v="0"/>
    <n v="0"/>
    <x v="1"/>
  </r>
  <r>
    <s v="VND-006"/>
    <s v="Environmental Policy"/>
    <s v="Yes"/>
    <s v="Yes"/>
    <d v="2025-01-19T00:00:00"/>
    <d v="2028-04-16T00:00:00"/>
    <n v="776"/>
    <x v="0"/>
    <n v="0"/>
    <x v="0"/>
  </r>
  <r>
    <s v="VND-006"/>
    <s v="Sustainability Disclosure"/>
    <s v="Yes"/>
    <s v="Yes"/>
    <d v="2025-07-03T00:00:00"/>
    <d v="2027-10-18T00:00:00"/>
    <n v="595"/>
    <x v="0"/>
    <n v="0"/>
    <x v="0"/>
  </r>
  <r>
    <s v="VND-007"/>
    <s v="ISO 14001"/>
    <s v="Yes"/>
    <s v="Yes"/>
    <d v="2024-09-01T00:00:00"/>
    <d v="2027-05-29T00:00:00"/>
    <n v="453"/>
    <x v="0"/>
    <n v="0"/>
    <x v="0"/>
  </r>
  <r>
    <s v="VND-007"/>
    <s v="Safety Certificate"/>
    <s v="Yes"/>
    <s v="Yes"/>
    <d v="2026-01-06T00:00:00"/>
    <d v="2028-06-18T00:00:00"/>
    <n v="839"/>
    <x v="0"/>
    <n v="0"/>
    <x v="1"/>
  </r>
  <r>
    <s v="VND-007"/>
    <s v="Environmental Policy"/>
    <s v="Yes"/>
    <s v="Yes"/>
    <d v="2025-11-13T00:00:00"/>
    <d v="2026-11-12T00:00:00"/>
    <n v="255"/>
    <x v="0"/>
    <n v="0"/>
    <x v="0"/>
  </r>
  <r>
    <s v="VND-007"/>
    <s v="Sustainability Disclosure"/>
    <s v="Yes"/>
    <s v="Yes"/>
    <d v="2025-01-04T00:00:00"/>
    <d v="2027-10-14T00:00:00"/>
    <n v="591"/>
    <x v="0"/>
    <n v="0"/>
    <x v="0"/>
  </r>
  <r>
    <s v="VND-008"/>
    <s v="ISO 14001"/>
    <s v="Yes"/>
    <s v="Yes"/>
    <d v="2024-09-24T00:00:00"/>
    <d v="2028-05-04T00:00:00"/>
    <n v="794"/>
    <x v="0"/>
    <n v="0"/>
    <x v="0"/>
  </r>
  <r>
    <s v="VND-008"/>
    <s v="Safety Certificate"/>
    <s v="Yes"/>
    <s v="Yes"/>
    <d v="2025-01-26T00:00:00"/>
    <d v="2026-07-07T00:00:00"/>
    <n v="127"/>
    <x v="0"/>
    <n v="0"/>
    <x v="1"/>
  </r>
  <r>
    <s v="VND-008"/>
    <s v="Environmental Policy"/>
    <s v="Yes"/>
    <s v="Yes"/>
    <d v="2025-10-16T00:00:00"/>
    <d v="2028-03-28T00:00:00"/>
    <n v="757"/>
    <x v="0"/>
    <n v="0"/>
    <x v="0"/>
  </r>
  <r>
    <s v="VND-008"/>
    <s v="Sustainability Disclosure"/>
    <s v="Yes"/>
    <s v="Yes"/>
    <d v="2025-05-24T00:00:00"/>
    <d v="2028-01-03T00:00:00"/>
    <n v="672"/>
    <x v="0"/>
    <n v="0"/>
    <x v="0"/>
  </r>
  <r>
    <s v="VND-009"/>
    <s v="ISO 14001"/>
    <s v="Yes"/>
    <s v="Yes"/>
    <d v="2025-03-08T00:00:00"/>
    <d v="2026-07-15T00:00:00"/>
    <n v="135"/>
    <x v="0"/>
    <n v="0"/>
    <x v="0"/>
  </r>
  <r>
    <s v="VND-009"/>
    <s v="Safety Certificate"/>
    <s v="Yes"/>
    <s v="Yes"/>
    <d v="2025-06-22T00:00:00"/>
    <d v="2028-01-27T00:00:00"/>
    <n v="696"/>
    <x v="0"/>
    <n v="0"/>
    <x v="1"/>
  </r>
  <r>
    <s v="VND-009"/>
    <s v="Environmental Policy"/>
    <s v="Yes"/>
    <s v="Yes"/>
    <d v="2025-03-02T00:00:00"/>
    <d v="2028-08-03T00:00:00"/>
    <n v="885"/>
    <x v="0"/>
    <n v="0"/>
    <x v="0"/>
  </r>
  <r>
    <s v="VND-009"/>
    <s v="Sustainability Disclosure"/>
    <s v="Yes"/>
    <s v="Yes"/>
    <d v="2025-05-07T00:00:00"/>
    <d v="2028-07-30T00:00:00"/>
    <n v="881"/>
    <x v="0"/>
    <n v="0"/>
    <x v="0"/>
  </r>
  <r>
    <s v="VND-010"/>
    <s v="ISO 14001"/>
    <s v="Yes"/>
    <s v="Yes"/>
    <d v="2025-10-29T00:00:00"/>
    <d v="2028-06-28T00:00:00"/>
    <n v="849"/>
    <x v="0"/>
    <n v="0"/>
    <x v="0"/>
  </r>
  <r>
    <s v="VND-010"/>
    <s v="Safety Certificate"/>
    <s v="Yes"/>
    <s v="Yes"/>
    <d v="2024-09-25T00:00:00"/>
    <d v="2028-04-25T00:00:00"/>
    <n v="785"/>
    <x v="0"/>
    <n v="0"/>
    <x v="1"/>
  </r>
  <r>
    <s v="VND-010"/>
    <s v="Environmental Policy"/>
    <s v="Yes"/>
    <s v="Yes"/>
    <d v="2024-09-26T00:00:00"/>
    <d v="2027-02-03T00:00:00"/>
    <n v="338"/>
    <x v="0"/>
    <n v="0"/>
    <x v="0"/>
  </r>
  <r>
    <s v="VND-010"/>
    <s v="Sustainability Disclosure"/>
    <s v="Yes"/>
    <s v="Yes"/>
    <d v="2025-01-18T00:00:00"/>
    <d v="2028-07-15T00:00:00"/>
    <n v="866"/>
    <x v="0"/>
    <n v="0"/>
    <x v="0"/>
  </r>
  <r>
    <s v="VND-011"/>
    <s v="ISO 14001"/>
    <s v="Yes"/>
    <s v="Yes"/>
    <d v="2025-05-15T00:00:00"/>
    <d v="2028-04-16T00:00:00"/>
    <n v="776"/>
    <x v="0"/>
    <n v="0"/>
    <x v="0"/>
  </r>
  <r>
    <s v="VND-011"/>
    <s v="Safety Certificate"/>
    <s v="Yes"/>
    <s v="Yes"/>
    <d v="2025-06-09T00:00:00"/>
    <d v="2027-06-16T00:00:00"/>
    <n v="471"/>
    <x v="0"/>
    <n v="0"/>
    <x v="1"/>
  </r>
  <r>
    <s v="VND-011"/>
    <s v="Environmental Policy"/>
    <s v="Yes"/>
    <s v="Yes"/>
    <d v="2025-10-19T00:00:00"/>
    <d v="2026-12-01T00:00:00"/>
    <n v="274"/>
    <x v="0"/>
    <n v="0"/>
    <x v="0"/>
  </r>
  <r>
    <s v="VND-011"/>
    <s v="Sustainability Disclosure"/>
    <s v="Yes"/>
    <s v="Yes"/>
    <d v="2025-02-16T00:00:00"/>
    <d v="2027-11-11T00:00:00"/>
    <n v="619"/>
    <x v="0"/>
    <n v="0"/>
    <x v="0"/>
  </r>
  <r>
    <s v="VND-012"/>
    <s v="ISO 14001"/>
    <s v="Yes"/>
    <s v="Yes"/>
    <d v="2025-03-29T00:00:00"/>
    <d v="2027-11-23T00:00:00"/>
    <n v="631"/>
    <x v="0"/>
    <n v="0"/>
    <x v="0"/>
  </r>
  <r>
    <s v="VND-012"/>
    <s v="Safety Certificate"/>
    <s v="Yes"/>
    <s v="Yes"/>
    <d v="2024-08-13T00:00:00"/>
    <d v="2027-03-17T00:00:00"/>
    <n v="380"/>
    <x v="0"/>
    <n v="0"/>
    <x v="1"/>
  </r>
  <r>
    <s v="VND-012"/>
    <s v="Environmental Policy"/>
    <s v="Yes"/>
    <s v="Yes"/>
    <d v="2024-12-07T00:00:00"/>
    <d v="2028-04-12T00:00:00"/>
    <n v="772"/>
    <x v="0"/>
    <n v="0"/>
    <x v="0"/>
  </r>
  <r>
    <s v="VND-012"/>
    <s v="Sustainability Disclosure"/>
    <s v="Yes"/>
    <s v="Yes"/>
    <d v="2024-05-26T00:00:00"/>
    <d v="2028-08-12T00:00:00"/>
    <n v="894"/>
    <x v="0"/>
    <n v="0"/>
    <x v="0"/>
  </r>
  <r>
    <s v="VND-013"/>
    <s v="ISO 14001"/>
    <s v="Yes"/>
    <s v="Yes"/>
    <d v="2025-09-25T00:00:00"/>
    <d v="2026-10-15T00:00:00"/>
    <n v="227"/>
    <x v="0"/>
    <n v="0"/>
    <x v="0"/>
  </r>
  <r>
    <s v="VND-013"/>
    <s v="Safety Certificate"/>
    <s v="Yes"/>
    <s v="Yes"/>
    <d v="2025-10-20T00:00:00"/>
    <d v="2026-11-19T00:00:00"/>
    <n v="262"/>
    <x v="0"/>
    <n v="0"/>
    <x v="1"/>
  </r>
  <r>
    <s v="VND-013"/>
    <s v="Environmental Policy"/>
    <s v="Yes"/>
    <s v="Yes"/>
    <d v="2025-02-23T00:00:00"/>
    <d v="2028-01-02T00:00:00"/>
    <n v="671"/>
    <x v="0"/>
    <n v="0"/>
    <x v="0"/>
  </r>
  <r>
    <s v="VND-013"/>
    <s v="Sustainability Disclosure"/>
    <s v="Yes"/>
    <s v="Yes"/>
    <d v="2024-11-21T00:00:00"/>
    <d v="2028-05-02T00:00:00"/>
    <n v="792"/>
    <x v="0"/>
    <n v="0"/>
    <x v="0"/>
  </r>
  <r>
    <s v="VND-014"/>
    <s v="ISO 14001"/>
    <s v="Yes"/>
    <s v="Yes"/>
    <d v="2025-06-16T00:00:00"/>
    <d v="2027-05-25T00:00:00"/>
    <n v="449"/>
    <x v="0"/>
    <n v="0"/>
    <x v="0"/>
  </r>
  <r>
    <s v="VND-014"/>
    <s v="Safety Certificate"/>
    <s v="Yes"/>
    <s v="Yes"/>
    <d v="2024-12-01T00:00:00"/>
    <d v="2028-03-03T00:00:00"/>
    <n v="732"/>
    <x v="0"/>
    <n v="0"/>
    <x v="1"/>
  </r>
  <r>
    <s v="VND-014"/>
    <s v="Environmental Policy"/>
    <s v="Yes"/>
    <s v="Yes"/>
    <d v="2025-01-31T00:00:00"/>
    <d v="2026-09-30T00:00:00"/>
    <n v="212"/>
    <x v="0"/>
    <n v="0"/>
    <x v="0"/>
  </r>
  <r>
    <s v="VND-014"/>
    <s v="Sustainability Disclosure"/>
    <s v="Yes"/>
    <s v="Yes"/>
    <d v="2025-06-17T00:00:00"/>
    <d v="2028-03-26T00:00:00"/>
    <n v="755"/>
    <x v="0"/>
    <n v="0"/>
    <x v="0"/>
  </r>
  <r>
    <s v="VND-015"/>
    <s v="ISO 14001"/>
    <s v="Yes"/>
    <s v="Yes"/>
    <d v="2024-06-05T00:00:00"/>
    <d v="2028-01-18T00:00:00"/>
    <n v="687"/>
    <x v="0"/>
    <n v="0"/>
    <x v="0"/>
  </r>
  <r>
    <s v="VND-015"/>
    <s v="Safety Certificate"/>
    <s v="Yes"/>
    <s v="Yes"/>
    <d v="2026-02-07T00:00:00"/>
    <d v="2027-11-10T00:00:00"/>
    <n v="618"/>
    <x v="0"/>
    <n v="0"/>
    <x v="1"/>
  </r>
  <r>
    <s v="VND-015"/>
    <s v="Environmental Policy"/>
    <s v="Yes"/>
    <s v="Yes"/>
    <d v="2026-01-22T00:00:00"/>
    <d v="2027-11-03T00:00:00"/>
    <n v="611"/>
    <x v="0"/>
    <n v="0"/>
    <x v="0"/>
  </r>
  <r>
    <s v="VND-015"/>
    <s v="Sustainability Disclosure"/>
    <s v="Yes"/>
    <s v="Yes"/>
    <d v="2025-01-09T00:00:00"/>
    <d v="2028-02-16T00:00:00"/>
    <n v="716"/>
    <x v="0"/>
    <n v="0"/>
    <x v="0"/>
  </r>
  <r>
    <s v="VND-016"/>
    <s v="ISO 14001"/>
    <s v="Yes"/>
    <s v="Yes"/>
    <d v="2024-07-16T00:00:00"/>
    <d v="2028-06-26T00:00:00"/>
    <n v="847"/>
    <x v="0"/>
    <n v="0"/>
    <x v="0"/>
  </r>
  <r>
    <s v="VND-016"/>
    <s v="Safety Certificate"/>
    <s v="Yes"/>
    <s v="Yes"/>
    <d v="2024-12-14T00:00:00"/>
    <d v="2027-11-20T00:00:00"/>
    <n v="628"/>
    <x v="0"/>
    <n v="0"/>
    <x v="1"/>
  </r>
  <r>
    <s v="VND-016"/>
    <s v="Environmental Policy"/>
    <s v="Yes"/>
    <s v="Yes"/>
    <d v="2025-01-04T00:00:00"/>
    <d v="2026-07-01T00:00:00"/>
    <n v="121"/>
    <x v="0"/>
    <n v="0"/>
    <x v="0"/>
  </r>
  <r>
    <s v="VND-016"/>
    <s v="Sustainability Disclosure"/>
    <s v="Yes"/>
    <s v="Yes"/>
    <d v="2025-02-07T00:00:00"/>
    <d v="2027-09-28T00:00:00"/>
    <n v="575"/>
    <x v="0"/>
    <n v="0"/>
    <x v="0"/>
  </r>
  <r>
    <s v="VND-017"/>
    <s v="ISO 14001"/>
    <s v="Yes"/>
    <s v="Yes"/>
    <d v="2025-08-14T00:00:00"/>
    <d v="2027-10-19T00:00:00"/>
    <n v="596"/>
    <x v="0"/>
    <n v="0"/>
    <x v="0"/>
  </r>
  <r>
    <s v="VND-017"/>
    <s v="Safety Certificate"/>
    <s v="Yes"/>
    <s v="Yes"/>
    <d v="2024-08-30T00:00:00"/>
    <d v="2028-06-14T00:00:00"/>
    <n v="835"/>
    <x v="0"/>
    <n v="0"/>
    <x v="1"/>
  </r>
  <r>
    <s v="VND-017"/>
    <s v="Environmental Policy"/>
    <s v="Yes"/>
    <s v="Yes"/>
    <d v="2025-04-10T00:00:00"/>
    <d v="2028-03-06T00:00:00"/>
    <n v="735"/>
    <x v="0"/>
    <n v="0"/>
    <x v="0"/>
  </r>
  <r>
    <s v="VND-017"/>
    <s v="Sustainability Disclosure"/>
    <s v="Yes"/>
    <s v="Yes"/>
    <d v="2025-03-13T00:00:00"/>
    <d v="2026-10-17T00:00:00"/>
    <n v="229"/>
    <x v="0"/>
    <n v="0"/>
    <x v="0"/>
  </r>
  <r>
    <s v="VND-018"/>
    <s v="ISO 14001"/>
    <s v="Yes"/>
    <s v="Yes"/>
    <d v="2024-06-07T00:00:00"/>
    <d v="2027-04-28T00:00:00"/>
    <n v="422"/>
    <x v="0"/>
    <n v="0"/>
    <x v="0"/>
  </r>
  <r>
    <s v="VND-018"/>
    <s v="Safety Certificate"/>
    <s v="Yes"/>
    <s v="Yes"/>
    <d v="2024-11-13T00:00:00"/>
    <d v="2027-04-17T00:00:00"/>
    <n v="411"/>
    <x v="0"/>
    <n v="0"/>
    <x v="1"/>
  </r>
  <r>
    <s v="VND-018"/>
    <s v="Environmental Policy"/>
    <s v="Yes"/>
    <s v="Yes"/>
    <d v="2024-10-17T00:00:00"/>
    <d v="2026-11-20T00:00:00"/>
    <n v="263"/>
    <x v="0"/>
    <n v="0"/>
    <x v="0"/>
  </r>
  <r>
    <s v="VND-018"/>
    <s v="Sustainability Disclosure"/>
    <s v="Yes"/>
    <s v="Yes"/>
    <d v="2025-12-04T00:00:00"/>
    <d v="2027-04-26T00:00:00"/>
    <n v="420"/>
    <x v="0"/>
    <n v="0"/>
    <x v="0"/>
  </r>
  <r>
    <s v="VND-019"/>
    <s v="ISO 14001"/>
    <s v="Yes"/>
    <s v="Yes"/>
    <d v="2026-01-30T00:00:00"/>
    <d v="2027-12-07T00:00:00"/>
    <n v="645"/>
    <x v="0"/>
    <n v="0"/>
    <x v="0"/>
  </r>
  <r>
    <s v="VND-019"/>
    <s v="Safety Certificate"/>
    <s v="Yes"/>
    <s v="Yes"/>
    <d v="2025-07-11T00:00:00"/>
    <d v="2027-02-22T00:00:00"/>
    <n v="357"/>
    <x v="0"/>
    <n v="0"/>
    <x v="1"/>
  </r>
  <r>
    <s v="VND-019"/>
    <s v="Environmental Policy"/>
    <s v="Yes"/>
    <s v="Yes"/>
    <d v="2025-05-01T00:00:00"/>
    <d v="2027-02-04T00:00:00"/>
    <n v="339"/>
    <x v="0"/>
    <n v="0"/>
    <x v="0"/>
  </r>
  <r>
    <s v="VND-019"/>
    <s v="Sustainability Disclosure"/>
    <s v="Yes"/>
    <s v="Yes"/>
    <d v="2024-06-02T00:00:00"/>
    <d v="2027-02-05T00:00:00"/>
    <n v="340"/>
    <x v="0"/>
    <n v="0"/>
    <x v="0"/>
  </r>
  <r>
    <s v="VND-020"/>
    <s v="ISO 14001"/>
    <s v="Yes"/>
    <s v="Yes"/>
    <d v="2024-04-12T00:00:00"/>
    <d v="2027-11-22T00:00:00"/>
    <n v="630"/>
    <x v="0"/>
    <n v="0"/>
    <x v="0"/>
  </r>
  <r>
    <s v="VND-020"/>
    <s v="Safety Certificate"/>
    <s v="Yes"/>
    <s v="Yes"/>
    <d v="2025-09-23T00:00:00"/>
    <d v="2028-01-27T00:00:00"/>
    <n v="696"/>
    <x v="0"/>
    <n v="0"/>
    <x v="1"/>
  </r>
  <r>
    <s v="VND-020"/>
    <s v="Environmental Policy"/>
    <s v="Yes"/>
    <s v="Yes"/>
    <d v="2024-06-19T00:00:00"/>
    <d v="2027-12-07T00:00:00"/>
    <n v="645"/>
    <x v="0"/>
    <n v="0"/>
    <x v="0"/>
  </r>
  <r>
    <s v="VND-020"/>
    <s v="Sustainability Disclosure"/>
    <s v="Yes"/>
    <s v="Yes"/>
    <d v="2025-07-23T00:00:00"/>
    <d v="2027-09-24T00:00:00"/>
    <n v="571"/>
    <x v="0"/>
    <n v="0"/>
    <x v="0"/>
  </r>
  <r>
    <s v="VND-021"/>
    <s v="ISO 14001"/>
    <s v="Yes"/>
    <s v="Yes"/>
    <d v="2024-08-10T00:00:00"/>
    <d v="2027-02-04T00:00:00"/>
    <n v="339"/>
    <x v="0"/>
    <n v="0"/>
    <x v="0"/>
  </r>
  <r>
    <s v="VND-021"/>
    <s v="Safety Certificate"/>
    <s v="Yes"/>
    <s v="Yes"/>
    <d v="2025-06-15T00:00:00"/>
    <d v="2026-09-19T00:00:00"/>
    <n v="201"/>
    <x v="0"/>
    <n v="0"/>
    <x v="1"/>
  </r>
  <r>
    <s v="VND-021"/>
    <s v="Environmental Policy"/>
    <s v="Yes"/>
    <s v="Yes"/>
    <d v="2025-08-16T00:00:00"/>
    <d v="2026-08-23T00:00:00"/>
    <n v="174"/>
    <x v="0"/>
    <n v="0"/>
    <x v="0"/>
  </r>
  <r>
    <s v="VND-021"/>
    <s v="Sustainability Disclosure"/>
    <s v="Yes"/>
    <s v="Yes"/>
    <d v="2025-07-09T00:00:00"/>
    <d v="2026-11-05T00:00:00"/>
    <n v="248"/>
    <x v="0"/>
    <n v="0"/>
    <x v="0"/>
  </r>
  <r>
    <s v="VND-022"/>
    <s v="ISO 14001"/>
    <s v="Yes"/>
    <s v="Yes"/>
    <d v="2025-10-01T00:00:00"/>
    <d v="2027-08-01T00:00:00"/>
    <n v="517"/>
    <x v="0"/>
    <n v="0"/>
    <x v="0"/>
  </r>
  <r>
    <s v="VND-022"/>
    <s v="Safety Certificate"/>
    <s v="Yes"/>
    <s v="Yes"/>
    <d v="2024-09-06T00:00:00"/>
    <d v="2027-10-12T00:00:00"/>
    <n v="589"/>
    <x v="0"/>
    <n v="0"/>
    <x v="1"/>
  </r>
  <r>
    <s v="VND-022"/>
    <s v="Environmental Policy"/>
    <s v="Yes"/>
    <s v="Yes"/>
    <d v="2026-01-11T00:00:00"/>
    <d v="2027-05-06T00:00:00"/>
    <n v="430"/>
    <x v="0"/>
    <n v="0"/>
    <x v="0"/>
  </r>
  <r>
    <s v="VND-022"/>
    <s v="Sustainability Disclosure"/>
    <s v="Yes"/>
    <s v="Yes"/>
    <d v="2024-06-19T00:00:00"/>
    <d v="2028-02-19T00:00:00"/>
    <n v="719"/>
    <x v="0"/>
    <n v="0"/>
    <x v="0"/>
  </r>
  <r>
    <s v="VND-023"/>
    <s v="ISO 14001"/>
    <s v="Yes"/>
    <s v="Yes"/>
    <d v="2025-03-09T00:00:00"/>
    <d v="2027-01-10T00:00:00"/>
    <n v="314"/>
    <x v="0"/>
    <n v="0"/>
    <x v="0"/>
  </r>
  <r>
    <s v="VND-023"/>
    <s v="Safety Certificate"/>
    <s v="Yes"/>
    <s v="Yes"/>
    <d v="2025-07-20T00:00:00"/>
    <d v="2027-05-27T00:00:00"/>
    <n v="451"/>
    <x v="0"/>
    <n v="0"/>
    <x v="1"/>
  </r>
  <r>
    <s v="VND-023"/>
    <s v="Environmental Policy"/>
    <s v="Yes"/>
    <s v="Yes"/>
    <d v="2024-10-18T00:00:00"/>
    <d v="2026-12-23T00:00:00"/>
    <n v="296"/>
    <x v="0"/>
    <n v="0"/>
    <x v="0"/>
  </r>
  <r>
    <s v="VND-023"/>
    <s v="Sustainability Disclosure"/>
    <s v="Yes"/>
    <s v="Yes"/>
    <d v="2025-09-17T00:00:00"/>
    <d v="2028-07-13T00:00:00"/>
    <n v="864"/>
    <x v="0"/>
    <n v="0"/>
    <x v="0"/>
  </r>
  <r>
    <s v="VND-024"/>
    <s v="ISO 14001"/>
    <s v="Yes"/>
    <s v="Yes"/>
    <d v="2024-04-27T00:00:00"/>
    <d v="2028-02-05T00:00:00"/>
    <n v="705"/>
    <x v="0"/>
    <n v="0"/>
    <x v="0"/>
  </r>
  <r>
    <s v="VND-024"/>
    <s v="Safety Certificate"/>
    <s v="Yes"/>
    <s v="Yes"/>
    <d v="2026-02-16T00:00:00"/>
    <d v="2027-06-09T00:00:00"/>
    <n v="464"/>
    <x v="0"/>
    <n v="0"/>
    <x v="1"/>
  </r>
  <r>
    <s v="VND-024"/>
    <s v="Environmental Policy"/>
    <s v="Yes"/>
    <s v="Yes"/>
    <d v="2024-12-02T00:00:00"/>
    <d v="2027-11-27T00:00:00"/>
    <n v="635"/>
    <x v="0"/>
    <n v="0"/>
    <x v="0"/>
  </r>
  <r>
    <s v="VND-024"/>
    <s v="Sustainability Disclosure"/>
    <s v="Yes"/>
    <s v="Yes"/>
    <d v="2025-10-12T00:00:00"/>
    <d v="2027-10-27T00:00:00"/>
    <n v="604"/>
    <x v="0"/>
    <n v="0"/>
    <x v="0"/>
  </r>
  <r>
    <s v="VND-025"/>
    <s v="ISO 14001"/>
    <s v="Yes"/>
    <s v="Yes"/>
    <d v="2025-04-06T00:00:00"/>
    <d v="2027-01-03T00:00:00"/>
    <n v="307"/>
    <x v="0"/>
    <n v="0"/>
    <x v="0"/>
  </r>
  <r>
    <s v="VND-025"/>
    <s v="Safety Certificate"/>
    <s v="Yes"/>
    <s v="Yes"/>
    <d v="2026-01-26T00:00:00"/>
    <d v="2028-04-10T00:00:00"/>
    <n v="770"/>
    <x v="0"/>
    <n v="0"/>
    <x v="1"/>
  </r>
  <r>
    <s v="VND-025"/>
    <s v="Environmental Policy"/>
    <s v="Yes"/>
    <s v="Yes"/>
    <d v="2024-07-28T00:00:00"/>
    <d v="2027-08-16T00:00:00"/>
    <n v="532"/>
    <x v="0"/>
    <n v="0"/>
    <x v="0"/>
  </r>
  <r>
    <s v="VND-025"/>
    <s v="Sustainability Disclosure"/>
    <s v="Yes"/>
    <s v="Yes"/>
    <d v="2025-04-02T00:00:00"/>
    <d v="2026-08-29T00:00:00"/>
    <n v="180"/>
    <x v="0"/>
    <n v="0"/>
    <x v="0"/>
  </r>
  <r>
    <s v="VND-026"/>
    <s v="ISO 14001"/>
    <s v="Yes"/>
    <s v="Yes"/>
    <d v="2026-01-07T00:00:00"/>
    <d v="2028-06-24T00:00:00"/>
    <n v="845"/>
    <x v="0"/>
    <n v="0"/>
    <x v="0"/>
  </r>
  <r>
    <s v="VND-026"/>
    <s v="Safety Certificate"/>
    <s v="Yes"/>
    <s v="Yes"/>
    <d v="2025-10-30T00:00:00"/>
    <d v="2027-11-11T00:00:00"/>
    <n v="619"/>
    <x v="0"/>
    <n v="0"/>
    <x v="1"/>
  </r>
  <r>
    <s v="VND-026"/>
    <s v="Environmental Policy"/>
    <s v="Yes"/>
    <s v="Yes"/>
    <d v="2024-12-16T00:00:00"/>
    <d v="2027-09-24T00:00:00"/>
    <n v="571"/>
    <x v="0"/>
    <n v="0"/>
    <x v="0"/>
  </r>
  <r>
    <s v="VND-026"/>
    <s v="Sustainability Disclosure"/>
    <s v="Yes"/>
    <s v="Yes"/>
    <d v="2024-04-01T00:00:00"/>
    <d v="2027-02-20T00:00:00"/>
    <n v="355"/>
    <x v="0"/>
    <n v="0"/>
    <x v="0"/>
  </r>
  <r>
    <s v="VND-027"/>
    <s v="ISO 14001"/>
    <s v="Yes"/>
    <s v="Yes"/>
    <d v="2025-10-22T00:00:00"/>
    <d v="2027-10-30T00:00:00"/>
    <n v="607"/>
    <x v="0"/>
    <n v="0"/>
    <x v="0"/>
  </r>
  <r>
    <s v="VND-027"/>
    <s v="Safety Certificate"/>
    <s v="Yes"/>
    <s v="Yes"/>
    <d v="2025-10-21T00:00:00"/>
    <d v="2028-08-09T00:00:00"/>
    <n v="891"/>
    <x v="0"/>
    <n v="0"/>
    <x v="1"/>
  </r>
  <r>
    <s v="VND-027"/>
    <s v="Environmental Policy"/>
    <s v="Yes"/>
    <s v="Yes"/>
    <d v="2024-08-08T00:00:00"/>
    <d v="2026-07-23T00:00:00"/>
    <n v="143"/>
    <x v="0"/>
    <n v="0"/>
    <x v="0"/>
  </r>
  <r>
    <s v="VND-027"/>
    <s v="Sustainability Disclosure"/>
    <s v="Yes"/>
    <s v="Yes"/>
    <d v="2025-08-08T00:00:00"/>
    <d v="2026-10-27T00:00:00"/>
    <n v="239"/>
    <x v="0"/>
    <n v="0"/>
    <x v="0"/>
  </r>
  <r>
    <s v="VND-028"/>
    <s v="ISO 14001"/>
    <s v="Yes"/>
    <s v="Yes"/>
    <d v="2025-12-07T00:00:00"/>
    <d v="2027-02-14T00:00:00"/>
    <n v="349"/>
    <x v="0"/>
    <n v="0"/>
    <x v="0"/>
  </r>
  <r>
    <s v="VND-028"/>
    <s v="Safety Certificate"/>
    <s v="Yes"/>
    <s v="Yes"/>
    <d v="2025-06-02T00:00:00"/>
    <d v="2027-10-21T00:00:00"/>
    <n v="598"/>
    <x v="0"/>
    <n v="0"/>
    <x v="1"/>
  </r>
  <r>
    <s v="VND-028"/>
    <s v="Environmental Policy"/>
    <s v="Yes"/>
    <s v="Yes"/>
    <d v="2024-11-06T00:00:00"/>
    <d v="2026-07-11T00:00:00"/>
    <n v="131"/>
    <x v="0"/>
    <n v="0"/>
    <x v="0"/>
  </r>
  <r>
    <s v="VND-028"/>
    <s v="Sustainability Disclosure"/>
    <s v="Yes"/>
    <s v="Yes"/>
    <d v="2024-07-20T00:00:00"/>
    <d v="2026-09-22T00:00:00"/>
    <n v="204"/>
    <x v="0"/>
    <n v="0"/>
    <x v="0"/>
  </r>
  <r>
    <s v="VND-029"/>
    <s v="ISO 14001"/>
    <s v="Yes"/>
    <s v="Yes"/>
    <d v="2025-03-15T00:00:00"/>
    <d v="2026-07-13T00:00:00"/>
    <n v="133"/>
    <x v="0"/>
    <n v="0"/>
    <x v="0"/>
  </r>
  <r>
    <s v="VND-029"/>
    <s v="Safety Certificate"/>
    <s v="Yes"/>
    <s v="Yes"/>
    <d v="2025-07-20T00:00:00"/>
    <d v="2026-08-17T00:00:00"/>
    <n v="168"/>
    <x v="0"/>
    <n v="0"/>
    <x v="1"/>
  </r>
  <r>
    <s v="VND-029"/>
    <s v="Environmental Policy"/>
    <s v="Yes"/>
    <s v="Yes"/>
    <d v="2025-06-22T00:00:00"/>
    <d v="2027-01-02T00:00:00"/>
    <n v="306"/>
    <x v="0"/>
    <n v="0"/>
    <x v="0"/>
  </r>
  <r>
    <s v="VND-029"/>
    <s v="Sustainability Disclosure"/>
    <s v="Yes"/>
    <s v="Yes"/>
    <d v="2025-08-22T00:00:00"/>
    <d v="2028-04-15T00:00:00"/>
    <n v="775"/>
    <x v="0"/>
    <n v="0"/>
    <x v="0"/>
  </r>
  <r>
    <s v="VND-030"/>
    <s v="ISO 14001"/>
    <s v="Yes"/>
    <s v="Yes"/>
    <d v="2024-03-31T00:00:00"/>
    <d v="2027-10-06T00:00:00"/>
    <n v="583"/>
    <x v="0"/>
    <n v="0"/>
    <x v="0"/>
  </r>
  <r>
    <s v="VND-030"/>
    <s v="Safety Certificate"/>
    <s v="Yes"/>
    <s v="Yes"/>
    <d v="2024-09-18T00:00:00"/>
    <d v="2028-01-05T00:00:00"/>
    <n v="674"/>
    <x v="0"/>
    <n v="0"/>
    <x v="1"/>
  </r>
  <r>
    <s v="VND-030"/>
    <s v="Environmental Policy"/>
    <s v="Yes"/>
    <s v="Yes"/>
    <d v="2024-12-27T00:00:00"/>
    <d v="2027-04-06T00:00:00"/>
    <n v="400"/>
    <x v="0"/>
    <n v="0"/>
    <x v="0"/>
  </r>
  <r>
    <s v="VND-030"/>
    <s v="Sustainability Disclosure"/>
    <s v="Yes"/>
    <s v="Yes"/>
    <d v="2024-08-24T00:00:00"/>
    <d v="2027-11-16T00:00:00"/>
    <n v="624"/>
    <x v="0"/>
    <n v="0"/>
    <x v="0"/>
  </r>
  <r>
    <s v="VND-031"/>
    <s v="ISO 14001"/>
    <s v="Yes"/>
    <s v="Yes"/>
    <d v="2025-11-01T00:00:00"/>
    <d v="2026-08-22T00:00:00"/>
    <n v="173"/>
    <x v="0"/>
    <n v="0"/>
    <x v="0"/>
  </r>
  <r>
    <s v="VND-031"/>
    <s v="Safety Certificate"/>
    <s v="Yes"/>
    <s v="Yes"/>
    <d v="2025-06-09T00:00:00"/>
    <d v="2028-05-11T00:00:00"/>
    <n v="801"/>
    <x v="0"/>
    <n v="0"/>
    <x v="1"/>
  </r>
  <r>
    <s v="VND-031"/>
    <s v="Environmental Policy"/>
    <s v="Yes"/>
    <s v="Yes"/>
    <d v="2024-10-20T00:00:00"/>
    <d v="2026-10-10T00:00:00"/>
    <n v="222"/>
    <x v="0"/>
    <n v="0"/>
    <x v="0"/>
  </r>
  <r>
    <s v="VND-031"/>
    <s v="Sustainability Disclosure"/>
    <s v="Yes"/>
    <s v="Yes"/>
    <d v="2024-05-22T00:00:00"/>
    <d v="2028-07-25T00:00:00"/>
    <n v="876"/>
    <x v="0"/>
    <n v="0"/>
    <x v="0"/>
  </r>
  <r>
    <s v="VND-032"/>
    <s v="ISO 14001"/>
    <s v="Yes"/>
    <s v="Yes"/>
    <d v="2025-03-07T00:00:00"/>
    <d v="2028-05-15T00:00:00"/>
    <n v="805"/>
    <x v="0"/>
    <n v="0"/>
    <x v="0"/>
  </r>
  <r>
    <s v="VND-032"/>
    <s v="Safety Certificate"/>
    <s v="Yes"/>
    <s v="Yes"/>
    <d v="2025-05-15T00:00:00"/>
    <d v="2026-07-11T00:00:00"/>
    <n v="131"/>
    <x v="0"/>
    <n v="0"/>
    <x v="1"/>
  </r>
  <r>
    <s v="VND-032"/>
    <s v="Environmental Policy"/>
    <s v="Yes"/>
    <s v="Yes"/>
    <d v="2025-05-24T00:00:00"/>
    <d v="2027-02-20T00:00:00"/>
    <n v="355"/>
    <x v="0"/>
    <n v="0"/>
    <x v="0"/>
  </r>
  <r>
    <s v="VND-032"/>
    <s v="Sustainability Disclosure"/>
    <s v="Yes"/>
    <s v="Yes"/>
    <d v="2025-06-20T00:00:00"/>
    <d v="2027-11-28T00:00:00"/>
    <n v="636"/>
    <x v="0"/>
    <n v="0"/>
    <x v="0"/>
  </r>
  <r>
    <s v="VND-033"/>
    <s v="ISO 14001"/>
    <s v="Yes"/>
    <s v="Yes"/>
    <d v="2025-08-04T00:00:00"/>
    <d v="2026-09-19T00:00:00"/>
    <n v="201"/>
    <x v="0"/>
    <n v="0"/>
    <x v="0"/>
  </r>
  <r>
    <s v="VND-033"/>
    <s v="Safety Certificate"/>
    <s v="Yes"/>
    <s v="Yes"/>
    <d v="2024-11-25T00:00:00"/>
    <d v="2028-07-04T00:00:00"/>
    <n v="855"/>
    <x v="0"/>
    <n v="0"/>
    <x v="1"/>
  </r>
  <r>
    <s v="VND-033"/>
    <s v="Environmental Policy"/>
    <s v="Yes"/>
    <s v="Yes"/>
    <d v="2024-06-15T00:00:00"/>
    <d v="2026-07-06T00:00:00"/>
    <n v="126"/>
    <x v="0"/>
    <n v="0"/>
    <x v="0"/>
  </r>
  <r>
    <s v="VND-033"/>
    <s v="Sustainability Disclosure"/>
    <s v="Yes"/>
    <s v="Yes"/>
    <d v="2025-09-15T00:00:00"/>
    <d v="2027-09-23T00:00:00"/>
    <n v="570"/>
    <x v="0"/>
    <n v="0"/>
    <x v="0"/>
  </r>
  <r>
    <s v="VND-034"/>
    <s v="ISO 14001"/>
    <s v="Yes"/>
    <s v="Yes"/>
    <d v="2024-07-12T00:00:00"/>
    <d v="2028-04-30T00:00:00"/>
    <n v="790"/>
    <x v="0"/>
    <n v="0"/>
    <x v="0"/>
  </r>
  <r>
    <s v="VND-034"/>
    <s v="Safety Certificate"/>
    <s v="Yes"/>
    <s v="Yes"/>
    <d v="2025-03-29T00:00:00"/>
    <d v="2028-03-04T00:00:00"/>
    <n v="733"/>
    <x v="0"/>
    <n v="0"/>
    <x v="1"/>
  </r>
  <r>
    <s v="VND-034"/>
    <s v="Environmental Policy"/>
    <s v="Yes"/>
    <s v="Yes"/>
    <d v="2024-06-17T00:00:00"/>
    <d v="2027-07-03T00:00:00"/>
    <n v="488"/>
    <x v="0"/>
    <n v="0"/>
    <x v="0"/>
  </r>
  <r>
    <s v="VND-034"/>
    <s v="Sustainability Disclosure"/>
    <s v="Yes"/>
    <s v="Yes"/>
    <d v="2024-08-02T00:00:00"/>
    <d v="2027-08-22T00:00:00"/>
    <n v="538"/>
    <x v="0"/>
    <n v="0"/>
    <x v="0"/>
  </r>
  <r>
    <s v="VND-035"/>
    <s v="ISO 14001"/>
    <s v="Yes"/>
    <s v="Yes"/>
    <d v="2025-10-05T00:00:00"/>
    <d v="2027-12-28T00:00:00"/>
    <n v="666"/>
    <x v="0"/>
    <n v="0"/>
    <x v="0"/>
  </r>
  <r>
    <s v="VND-035"/>
    <s v="Safety Certificate"/>
    <s v="Yes"/>
    <s v="Yes"/>
    <d v="2026-01-06T00:00:00"/>
    <d v="2026-10-12T00:00:00"/>
    <n v="224"/>
    <x v="0"/>
    <n v="0"/>
    <x v="1"/>
  </r>
  <r>
    <s v="VND-035"/>
    <s v="Environmental Policy"/>
    <s v="Yes"/>
    <s v="Yes"/>
    <d v="2024-09-08T00:00:00"/>
    <d v="2027-05-30T00:00:00"/>
    <n v="454"/>
    <x v="0"/>
    <n v="0"/>
    <x v="0"/>
  </r>
  <r>
    <s v="VND-035"/>
    <s v="Sustainability Disclosure"/>
    <s v="Yes"/>
    <s v="Yes"/>
    <d v="2024-08-09T00:00:00"/>
    <d v="2027-03-14T00:00:00"/>
    <n v="377"/>
    <x v="0"/>
    <n v="0"/>
    <x v="0"/>
  </r>
  <r>
    <s v="VND-036"/>
    <s v="ISO 14001"/>
    <s v="Yes"/>
    <s v="Yes"/>
    <d v="2024-05-13T00:00:00"/>
    <d v="2026-10-28T00:00:00"/>
    <n v="240"/>
    <x v="0"/>
    <n v="0"/>
    <x v="0"/>
  </r>
  <r>
    <s v="VND-036"/>
    <s v="Safety Certificate"/>
    <s v="Yes"/>
    <s v="Yes"/>
    <d v="2025-12-28T00:00:00"/>
    <d v="2028-06-20T00:00:00"/>
    <n v="841"/>
    <x v="0"/>
    <n v="0"/>
    <x v="1"/>
  </r>
  <r>
    <s v="VND-036"/>
    <s v="Environmental Policy"/>
    <s v="Yes"/>
    <s v="Yes"/>
    <d v="2025-10-17T00:00:00"/>
    <d v="2027-01-25T00:00:00"/>
    <n v="329"/>
    <x v="0"/>
    <n v="0"/>
    <x v="0"/>
  </r>
  <r>
    <s v="VND-036"/>
    <s v="Sustainability Disclosure"/>
    <s v="Yes"/>
    <s v="Yes"/>
    <d v="2024-11-02T00:00:00"/>
    <d v="2027-11-28T00:00:00"/>
    <n v="636"/>
    <x v="0"/>
    <n v="0"/>
    <x v="0"/>
  </r>
  <r>
    <s v="VND-037"/>
    <s v="ISO 14001"/>
    <s v="Yes"/>
    <s v="Yes"/>
    <d v="2026-01-07T00:00:00"/>
    <d v="2028-07-13T00:00:00"/>
    <n v="864"/>
    <x v="0"/>
    <n v="0"/>
    <x v="0"/>
  </r>
  <r>
    <s v="VND-037"/>
    <s v="Safety Certificate"/>
    <s v="Yes"/>
    <s v="Yes"/>
    <d v="2025-09-06T00:00:00"/>
    <d v="2026-08-18T00:00:00"/>
    <n v="169"/>
    <x v="0"/>
    <n v="0"/>
    <x v="1"/>
  </r>
  <r>
    <s v="VND-037"/>
    <s v="Environmental Policy"/>
    <s v="Yes"/>
    <s v="Yes"/>
    <d v="2024-12-11T00:00:00"/>
    <d v="2027-03-16T00:00:00"/>
    <n v="379"/>
    <x v="0"/>
    <n v="0"/>
    <x v="0"/>
  </r>
  <r>
    <s v="VND-037"/>
    <s v="Sustainability Disclosure"/>
    <s v="Yes"/>
    <s v="Yes"/>
    <d v="2024-11-30T00:00:00"/>
    <d v="2027-03-24T00:00:00"/>
    <n v="387"/>
    <x v="0"/>
    <n v="0"/>
    <x v="0"/>
  </r>
  <r>
    <s v="VND-038"/>
    <s v="ISO 14001"/>
    <s v="Yes"/>
    <s v="Yes"/>
    <d v="2024-07-23T00:00:00"/>
    <d v="2028-03-17T00:00:00"/>
    <n v="746"/>
    <x v="0"/>
    <n v="0"/>
    <x v="0"/>
  </r>
  <r>
    <s v="VND-038"/>
    <s v="Safety Certificate"/>
    <s v="Yes"/>
    <s v="Yes"/>
    <d v="2025-12-26T00:00:00"/>
    <d v="2027-12-17T00:00:00"/>
    <n v="655"/>
    <x v="0"/>
    <n v="0"/>
    <x v="1"/>
  </r>
  <r>
    <s v="VND-038"/>
    <s v="Environmental Policy"/>
    <s v="Yes"/>
    <s v="Yes"/>
    <d v="2025-04-02T00:00:00"/>
    <d v="2026-12-25T00:00:00"/>
    <n v="298"/>
    <x v="0"/>
    <n v="0"/>
    <x v="0"/>
  </r>
  <r>
    <s v="VND-038"/>
    <s v="Sustainability Disclosure"/>
    <s v="Yes"/>
    <s v="Yes"/>
    <d v="2025-11-08T00:00:00"/>
    <d v="2028-01-19T00:00:00"/>
    <n v="688"/>
    <x v="0"/>
    <n v="0"/>
    <x v="0"/>
  </r>
  <r>
    <s v="VND-039"/>
    <s v="ISO 14001"/>
    <s v="Yes"/>
    <s v="Yes"/>
    <d v="2024-09-22T00:00:00"/>
    <d v="2027-05-26T00:00:00"/>
    <n v="450"/>
    <x v="0"/>
    <n v="0"/>
    <x v="0"/>
  </r>
  <r>
    <s v="VND-039"/>
    <s v="Safety Certificate"/>
    <s v="Yes"/>
    <s v="Yes"/>
    <d v="2024-06-11T00:00:00"/>
    <d v="2027-08-24T00:00:00"/>
    <n v="540"/>
    <x v="0"/>
    <n v="0"/>
    <x v="1"/>
  </r>
  <r>
    <s v="VND-039"/>
    <s v="Environmental Policy"/>
    <s v="Yes"/>
    <s v="Yes"/>
    <d v="2024-12-29T00:00:00"/>
    <d v="2027-12-30T00:00:00"/>
    <n v="668"/>
    <x v="0"/>
    <n v="0"/>
    <x v="0"/>
  </r>
  <r>
    <s v="VND-039"/>
    <s v="Sustainability Disclosure"/>
    <s v="Yes"/>
    <s v="Yes"/>
    <d v="2026-01-04T00:00:00"/>
    <d v="2028-08-07T00:00:00"/>
    <n v="889"/>
    <x v="0"/>
    <n v="0"/>
    <x v="0"/>
  </r>
  <r>
    <s v="VND-040"/>
    <s v="ISO 14001"/>
    <s v="Yes"/>
    <s v="Yes"/>
    <d v="2025-05-13T00:00:00"/>
    <d v="2027-12-16T00:00:00"/>
    <n v="654"/>
    <x v="0"/>
    <n v="0"/>
    <x v="0"/>
  </r>
  <r>
    <s v="VND-040"/>
    <s v="Safety Certificate"/>
    <s v="Yes"/>
    <s v="Yes"/>
    <d v="2024-07-29T00:00:00"/>
    <d v="2028-06-13T00:00:00"/>
    <n v="834"/>
    <x v="0"/>
    <n v="0"/>
    <x v="1"/>
  </r>
  <r>
    <s v="VND-040"/>
    <s v="Environmental Policy"/>
    <s v="Yes"/>
    <s v="Yes"/>
    <d v="2026-02-18T00:00:00"/>
    <d v="2028-02-29T00:00:00"/>
    <n v="729"/>
    <x v="0"/>
    <n v="0"/>
    <x v="0"/>
  </r>
  <r>
    <s v="VND-040"/>
    <s v="Sustainability Disclosure"/>
    <s v="Yes"/>
    <s v="Yes"/>
    <d v="2025-07-23T00:00:00"/>
    <d v="2028-06-01T00:00:00"/>
    <n v="822"/>
    <x v="0"/>
    <n v="0"/>
    <x v="0"/>
  </r>
  <r>
    <s v="VND-041"/>
    <s v="ISO 14001"/>
    <s v="Yes"/>
    <s v="Yes"/>
    <d v="2024-12-17T00:00:00"/>
    <d v="2028-01-30T00:00:00"/>
    <n v="699"/>
    <x v="0"/>
    <n v="0"/>
    <x v="0"/>
  </r>
  <r>
    <s v="VND-041"/>
    <s v="Safety Certificate"/>
    <s v="Yes"/>
    <s v="Yes"/>
    <d v="2024-04-20T00:00:00"/>
    <d v="2027-07-25T00:00:00"/>
    <n v="510"/>
    <x v="0"/>
    <n v="0"/>
    <x v="1"/>
  </r>
  <r>
    <s v="VND-041"/>
    <s v="Environmental Policy"/>
    <s v="Yes"/>
    <s v="Yes"/>
    <d v="2024-09-15T00:00:00"/>
    <d v="2027-01-05T00:00:00"/>
    <n v="309"/>
    <x v="0"/>
    <n v="0"/>
    <x v="0"/>
  </r>
  <r>
    <s v="VND-041"/>
    <s v="Sustainability Disclosure"/>
    <s v="Yes"/>
    <s v="Yes"/>
    <d v="2025-06-26T00:00:00"/>
    <d v="2027-08-31T00:00:00"/>
    <n v="547"/>
    <x v="0"/>
    <n v="0"/>
    <x v="0"/>
  </r>
  <r>
    <s v="VND-042"/>
    <s v="ISO 14001"/>
    <s v="Yes"/>
    <s v="Yes"/>
    <d v="2024-06-20T00:00:00"/>
    <d v="2027-03-02T00:00:00"/>
    <n v="365"/>
    <x v="0"/>
    <n v="0"/>
    <x v="0"/>
  </r>
  <r>
    <s v="VND-042"/>
    <s v="Safety Certificate"/>
    <s v="Yes"/>
    <s v="Yes"/>
    <d v="2025-04-22T00:00:00"/>
    <d v="2027-06-01T00:00:00"/>
    <n v="456"/>
    <x v="0"/>
    <n v="0"/>
    <x v="1"/>
  </r>
  <r>
    <s v="VND-042"/>
    <s v="Environmental Policy"/>
    <s v="Yes"/>
    <s v="Yes"/>
    <d v="2026-01-09T00:00:00"/>
    <d v="2027-10-03T00:00:00"/>
    <n v="580"/>
    <x v="0"/>
    <n v="0"/>
    <x v="0"/>
  </r>
  <r>
    <s v="VND-042"/>
    <s v="Sustainability Disclosure"/>
    <s v="Yes"/>
    <s v="Yes"/>
    <d v="2025-04-10T00:00:00"/>
    <d v="2026-11-27T00:00:00"/>
    <n v="270"/>
    <x v="0"/>
    <n v="0"/>
    <x v="0"/>
  </r>
  <r>
    <s v="VND-043"/>
    <s v="ISO 14001"/>
    <s v="Yes"/>
    <s v="Yes"/>
    <d v="2025-08-08T00:00:00"/>
    <d v="2027-08-02T00:00:00"/>
    <n v="518"/>
    <x v="0"/>
    <n v="0"/>
    <x v="0"/>
  </r>
  <r>
    <s v="VND-043"/>
    <s v="Safety Certificate"/>
    <s v="Yes"/>
    <s v="Yes"/>
    <d v="2024-11-18T00:00:00"/>
    <d v="2028-05-09T00:00:00"/>
    <n v="799"/>
    <x v="0"/>
    <n v="0"/>
    <x v="1"/>
  </r>
  <r>
    <s v="VND-043"/>
    <s v="Environmental Policy"/>
    <s v="Yes"/>
    <s v="Yes"/>
    <d v="2024-09-26T00:00:00"/>
    <d v="2027-01-12T00:00:00"/>
    <n v="316"/>
    <x v="0"/>
    <n v="0"/>
    <x v="0"/>
  </r>
  <r>
    <s v="VND-043"/>
    <s v="Sustainability Disclosure"/>
    <s v="Yes"/>
    <s v="Yes"/>
    <d v="2024-10-31T00:00:00"/>
    <d v="2026-11-19T00:00:00"/>
    <n v="262"/>
    <x v="0"/>
    <n v="0"/>
    <x v="0"/>
  </r>
  <r>
    <s v="VND-044"/>
    <s v="ISO 14001"/>
    <s v="Yes"/>
    <s v="Yes"/>
    <d v="2026-01-20T00:00:00"/>
    <d v="2026-12-17T00:00:00"/>
    <n v="290"/>
    <x v="0"/>
    <n v="0"/>
    <x v="0"/>
  </r>
  <r>
    <s v="VND-044"/>
    <s v="Safety Certificate"/>
    <s v="Yes"/>
    <s v="Yes"/>
    <d v="2024-09-18T00:00:00"/>
    <d v="2028-02-07T00:00:00"/>
    <n v="707"/>
    <x v="0"/>
    <n v="0"/>
    <x v="1"/>
  </r>
  <r>
    <s v="VND-044"/>
    <s v="Environmental Policy"/>
    <s v="Yes"/>
    <s v="Yes"/>
    <d v="2025-09-10T00:00:00"/>
    <d v="2026-07-17T00:00:00"/>
    <n v="137"/>
    <x v="0"/>
    <n v="0"/>
    <x v="0"/>
  </r>
  <r>
    <s v="VND-044"/>
    <s v="Sustainability Disclosure"/>
    <s v="Yes"/>
    <s v="Yes"/>
    <d v="2025-09-08T00:00:00"/>
    <d v="2026-09-18T00:00:00"/>
    <n v="200"/>
    <x v="0"/>
    <n v="0"/>
    <x v="0"/>
  </r>
  <r>
    <s v="VND-045"/>
    <s v="ISO 14001"/>
    <s v="Yes"/>
    <s v="Yes"/>
    <d v="2025-06-17T00:00:00"/>
    <d v="2027-04-17T00:00:00"/>
    <n v="411"/>
    <x v="0"/>
    <n v="0"/>
    <x v="0"/>
  </r>
  <r>
    <s v="VND-045"/>
    <s v="Safety Certificate"/>
    <s v="Yes"/>
    <s v="Yes"/>
    <d v="2024-09-29T00:00:00"/>
    <d v="2027-09-10T00:00:00"/>
    <n v="557"/>
    <x v="0"/>
    <n v="0"/>
    <x v="1"/>
  </r>
  <r>
    <s v="VND-045"/>
    <s v="Environmental Policy"/>
    <s v="Yes"/>
    <s v="Yes"/>
    <d v="2025-09-17T00:00:00"/>
    <d v="2028-04-14T00:00:00"/>
    <n v="774"/>
    <x v="0"/>
    <n v="0"/>
    <x v="0"/>
  </r>
  <r>
    <s v="VND-045"/>
    <s v="Sustainability Disclosure"/>
    <s v="Yes"/>
    <s v="Yes"/>
    <d v="2025-12-24T00:00:00"/>
    <d v="2028-05-21T00:00:00"/>
    <n v="811"/>
    <x v="0"/>
    <n v="0"/>
    <x v="0"/>
  </r>
  <r>
    <s v="VND-046"/>
    <s v="ISO 14001"/>
    <s v="Yes"/>
    <s v="Yes"/>
    <d v="2025-08-02T00:00:00"/>
    <d v="2027-03-02T00:00:00"/>
    <n v="365"/>
    <x v="0"/>
    <n v="0"/>
    <x v="0"/>
  </r>
  <r>
    <s v="VND-046"/>
    <s v="Safety Certificate"/>
    <s v="Yes"/>
    <s v="Yes"/>
    <d v="2024-09-30T00:00:00"/>
    <d v="2027-04-22T00:00:00"/>
    <n v="416"/>
    <x v="0"/>
    <n v="0"/>
    <x v="1"/>
  </r>
  <r>
    <s v="VND-046"/>
    <s v="Environmental Policy"/>
    <s v="Yes"/>
    <s v="Yes"/>
    <d v="2025-05-04T00:00:00"/>
    <d v="2026-12-13T00:00:00"/>
    <n v="286"/>
    <x v="0"/>
    <n v="0"/>
    <x v="0"/>
  </r>
  <r>
    <s v="VND-046"/>
    <s v="Sustainability Disclosure"/>
    <s v="Yes"/>
    <s v="Yes"/>
    <d v="2025-12-07T00:00:00"/>
    <d v="2026-10-29T00:00:00"/>
    <n v="241"/>
    <x v="0"/>
    <n v="0"/>
    <x v="0"/>
  </r>
  <r>
    <s v="VND-047"/>
    <s v="ISO 14001"/>
    <s v="Yes"/>
    <s v="Yes"/>
    <d v="2024-10-27T00:00:00"/>
    <d v="2027-08-25T00:00:00"/>
    <n v="541"/>
    <x v="0"/>
    <n v="0"/>
    <x v="0"/>
  </r>
  <r>
    <s v="VND-047"/>
    <s v="Safety Certificate"/>
    <s v="Yes"/>
    <s v="Yes"/>
    <d v="2025-01-15T00:00:00"/>
    <d v="2027-04-03T00:00:00"/>
    <n v="397"/>
    <x v="0"/>
    <n v="0"/>
    <x v="1"/>
  </r>
  <r>
    <s v="VND-047"/>
    <s v="Environmental Policy"/>
    <s v="Yes"/>
    <s v="Yes"/>
    <d v="2024-04-02T00:00:00"/>
    <d v="2026-10-10T00:00:00"/>
    <n v="222"/>
    <x v="0"/>
    <n v="0"/>
    <x v="0"/>
  </r>
  <r>
    <s v="VND-047"/>
    <s v="Sustainability Disclosure"/>
    <s v="Yes"/>
    <s v="Yes"/>
    <d v="2025-02-21T00:00:00"/>
    <d v="2027-02-26T00:00:00"/>
    <n v="361"/>
    <x v="0"/>
    <n v="0"/>
    <x v="0"/>
  </r>
  <r>
    <s v="VND-048"/>
    <s v="ISO 14001"/>
    <s v="Yes"/>
    <s v="Yes"/>
    <d v="2025-05-14T00:00:00"/>
    <d v="2027-04-17T00:00:00"/>
    <n v="411"/>
    <x v="0"/>
    <n v="0"/>
    <x v="0"/>
  </r>
  <r>
    <s v="VND-048"/>
    <s v="Safety Certificate"/>
    <s v="Yes"/>
    <s v="Yes"/>
    <d v="2024-04-13T00:00:00"/>
    <d v="2028-06-30T00:00:00"/>
    <n v="851"/>
    <x v="0"/>
    <n v="0"/>
    <x v="1"/>
  </r>
  <r>
    <s v="VND-048"/>
    <s v="Environmental Policy"/>
    <s v="Yes"/>
    <s v="Yes"/>
    <d v="2025-08-29T00:00:00"/>
    <d v="2028-05-05T00:00:00"/>
    <n v="795"/>
    <x v="0"/>
    <n v="0"/>
    <x v="0"/>
  </r>
  <r>
    <s v="VND-048"/>
    <s v="Sustainability Disclosure"/>
    <s v="Yes"/>
    <s v="Yes"/>
    <d v="2025-09-18T00:00:00"/>
    <d v="2026-07-24T00:00:00"/>
    <n v="144"/>
    <x v="0"/>
    <n v="0"/>
    <x v="0"/>
  </r>
  <r>
    <s v="VND-049"/>
    <s v="ISO 14001"/>
    <s v="Yes"/>
    <s v="Yes"/>
    <d v="2025-02-10T00:00:00"/>
    <d v="2028-06-21T00:00:00"/>
    <n v="842"/>
    <x v="0"/>
    <n v="0"/>
    <x v="0"/>
  </r>
  <r>
    <s v="VND-049"/>
    <s v="Safety Certificate"/>
    <s v="Yes"/>
    <s v="Yes"/>
    <d v="2025-06-11T00:00:00"/>
    <d v="2026-11-06T00:00:00"/>
    <n v="249"/>
    <x v="0"/>
    <n v="0"/>
    <x v="1"/>
  </r>
  <r>
    <s v="VND-049"/>
    <s v="Environmental Policy"/>
    <s v="Yes"/>
    <s v="Yes"/>
    <d v="2025-06-19T00:00:00"/>
    <d v="2027-05-04T00:00:00"/>
    <n v="428"/>
    <x v="0"/>
    <n v="0"/>
    <x v="0"/>
  </r>
  <r>
    <s v="VND-049"/>
    <s v="Sustainability Disclosure"/>
    <s v="Yes"/>
    <s v="Yes"/>
    <d v="2024-11-29T00:00:00"/>
    <d v="2027-05-21T00:00:00"/>
    <n v="445"/>
    <x v="0"/>
    <n v="0"/>
    <x v="0"/>
  </r>
  <r>
    <s v="VND-050"/>
    <s v="ISO 14001"/>
    <s v="Yes"/>
    <s v="Yes"/>
    <d v="2025-06-05T00:00:00"/>
    <d v="2027-05-31T00:00:00"/>
    <n v="455"/>
    <x v="0"/>
    <n v="0"/>
    <x v="0"/>
  </r>
  <r>
    <s v="VND-050"/>
    <s v="Safety Certificate"/>
    <s v="Yes"/>
    <s v="Yes"/>
    <d v="2025-08-01T00:00:00"/>
    <d v="2027-02-07T00:00:00"/>
    <n v="342"/>
    <x v="0"/>
    <n v="0"/>
    <x v="1"/>
  </r>
  <r>
    <s v="VND-050"/>
    <s v="Environmental Policy"/>
    <s v="Yes"/>
    <s v="Yes"/>
    <d v="2024-06-13T00:00:00"/>
    <d v="2027-09-16T00:00:00"/>
    <n v="563"/>
    <x v="0"/>
    <n v="0"/>
    <x v="0"/>
  </r>
  <r>
    <s v="VND-050"/>
    <s v="Sustainability Disclosure"/>
    <s v="Yes"/>
    <s v="Yes"/>
    <d v="2025-05-30T00:00:00"/>
    <d v="2027-02-17T00:00:00"/>
    <n v="352"/>
    <x v="0"/>
    <n v="0"/>
    <x v="0"/>
  </r>
  <r>
    <s v="VND-051"/>
    <s v="ISO 14001"/>
    <s v="Yes"/>
    <s v="Yes"/>
    <d v="2025-07-31T00:00:00"/>
    <d v="2027-10-17T00:00:00"/>
    <n v="594"/>
    <x v="0"/>
    <n v="0"/>
    <x v="0"/>
  </r>
  <r>
    <s v="VND-051"/>
    <s v="Safety Certificate"/>
    <s v="Yes"/>
    <s v="Yes"/>
    <d v="2025-02-24T00:00:00"/>
    <d v="2026-09-04T00:00:00"/>
    <n v="186"/>
    <x v="0"/>
    <n v="0"/>
    <x v="1"/>
  </r>
  <r>
    <s v="VND-051"/>
    <s v="Environmental Policy"/>
    <s v="Yes"/>
    <s v="Yes"/>
    <d v="2026-02-12T00:00:00"/>
    <d v="2027-12-03T00:00:00"/>
    <n v="641"/>
    <x v="0"/>
    <n v="0"/>
    <x v="0"/>
  </r>
  <r>
    <s v="VND-051"/>
    <s v="Sustainability Disclosure"/>
    <s v="Yes"/>
    <s v="Yes"/>
    <d v="2025-01-31T00:00:00"/>
    <d v="2026-12-03T00:00:00"/>
    <n v="276"/>
    <x v="0"/>
    <n v="0"/>
    <x v="0"/>
  </r>
  <r>
    <s v="VND-052"/>
    <s v="ISO 14001"/>
    <s v="Yes"/>
    <s v="Yes"/>
    <d v="2024-10-26T00:00:00"/>
    <d v="2026-10-02T00:00:00"/>
    <n v="214"/>
    <x v="0"/>
    <n v="0"/>
    <x v="0"/>
  </r>
  <r>
    <s v="VND-052"/>
    <s v="Safety Certificate"/>
    <s v="Yes"/>
    <s v="Yes"/>
    <d v="2024-05-31T00:00:00"/>
    <d v="2026-07-19T00:00:00"/>
    <n v="139"/>
    <x v="0"/>
    <n v="0"/>
    <x v="1"/>
  </r>
  <r>
    <s v="VND-052"/>
    <s v="Environmental Policy"/>
    <s v="Yes"/>
    <s v="Yes"/>
    <d v="2025-07-07T00:00:00"/>
    <d v="2028-05-29T00:00:00"/>
    <n v="819"/>
    <x v="0"/>
    <n v="0"/>
    <x v="0"/>
  </r>
  <r>
    <s v="VND-052"/>
    <s v="Sustainability Disclosure"/>
    <s v="Yes"/>
    <s v="Yes"/>
    <d v="2024-08-26T00:00:00"/>
    <d v="2026-12-20T00:00:00"/>
    <n v="293"/>
    <x v="0"/>
    <n v="0"/>
    <x v="0"/>
  </r>
  <r>
    <s v="VND-053"/>
    <s v="ISO 14001"/>
    <s v="Yes"/>
    <s v="Yes"/>
    <d v="2025-03-19T00:00:00"/>
    <d v="2026-09-19T00:00:00"/>
    <n v="201"/>
    <x v="0"/>
    <n v="0"/>
    <x v="0"/>
  </r>
  <r>
    <s v="VND-053"/>
    <s v="Safety Certificate"/>
    <s v="Yes"/>
    <s v="Yes"/>
    <d v="2024-09-29T00:00:00"/>
    <d v="2028-01-11T00:00:00"/>
    <n v="680"/>
    <x v="0"/>
    <n v="0"/>
    <x v="1"/>
  </r>
  <r>
    <s v="VND-053"/>
    <s v="Environmental Policy"/>
    <s v="Yes"/>
    <s v="Yes"/>
    <d v="2024-05-17T00:00:00"/>
    <d v="2026-12-22T00:00:00"/>
    <n v="295"/>
    <x v="0"/>
    <n v="0"/>
    <x v="0"/>
  </r>
  <r>
    <s v="VND-053"/>
    <s v="Sustainability Disclosure"/>
    <s v="Yes"/>
    <s v="Yes"/>
    <d v="2026-02-01T00:00:00"/>
    <d v="2027-03-05T00:00:00"/>
    <n v="368"/>
    <x v="0"/>
    <n v="0"/>
    <x v="0"/>
  </r>
  <r>
    <s v="VND-054"/>
    <s v="ISO 14001"/>
    <s v="Yes"/>
    <s v="Yes"/>
    <d v="2024-11-20T00:00:00"/>
    <d v="2028-04-08T00:00:00"/>
    <n v="768"/>
    <x v="0"/>
    <n v="0"/>
    <x v="0"/>
  </r>
  <r>
    <s v="VND-054"/>
    <s v="Safety Certificate"/>
    <s v="Yes"/>
    <s v="Yes"/>
    <d v="2025-07-03T00:00:00"/>
    <d v="2028-07-22T00:00:00"/>
    <n v="873"/>
    <x v="0"/>
    <n v="0"/>
    <x v="1"/>
  </r>
  <r>
    <s v="VND-054"/>
    <s v="Environmental Policy"/>
    <s v="Yes"/>
    <s v="Yes"/>
    <d v="2025-06-13T00:00:00"/>
    <d v="2026-09-09T00:00:00"/>
    <n v="191"/>
    <x v="0"/>
    <n v="0"/>
    <x v="0"/>
  </r>
  <r>
    <s v="VND-054"/>
    <s v="Sustainability Disclosure"/>
    <s v="Yes"/>
    <s v="Yes"/>
    <d v="2024-09-28T00:00:00"/>
    <d v="2027-06-12T00:00:00"/>
    <n v="467"/>
    <x v="0"/>
    <n v="0"/>
    <x v="0"/>
  </r>
  <r>
    <s v="VND-055"/>
    <s v="ISO 14001"/>
    <s v="Yes"/>
    <s v="Yes"/>
    <d v="2025-06-20T00:00:00"/>
    <d v="2026-09-11T00:00:00"/>
    <n v="193"/>
    <x v="0"/>
    <n v="0"/>
    <x v="0"/>
  </r>
  <r>
    <s v="VND-055"/>
    <s v="Safety Certificate"/>
    <s v="Yes"/>
    <s v="Yes"/>
    <d v="2025-05-01T00:00:00"/>
    <d v="2028-05-29T00:00:00"/>
    <n v="819"/>
    <x v="0"/>
    <n v="0"/>
    <x v="1"/>
  </r>
  <r>
    <s v="VND-055"/>
    <s v="Environmental Policy"/>
    <s v="Yes"/>
    <s v="Yes"/>
    <d v="2024-11-02T00:00:00"/>
    <d v="2027-11-22T00:00:00"/>
    <n v="630"/>
    <x v="0"/>
    <n v="0"/>
    <x v="0"/>
  </r>
  <r>
    <s v="VND-055"/>
    <s v="Sustainability Disclosure"/>
    <s v="Yes"/>
    <s v="Yes"/>
    <d v="2024-10-15T00:00:00"/>
    <d v="2028-02-07T00:00:00"/>
    <n v="707"/>
    <x v="0"/>
    <n v="0"/>
    <x v="0"/>
  </r>
  <r>
    <s v="VND-056"/>
    <s v="ISO 14001"/>
    <s v="Yes"/>
    <s v="Yes"/>
    <d v="2024-07-16T00:00:00"/>
    <d v="2026-07-20T00:00:00"/>
    <n v="140"/>
    <x v="0"/>
    <n v="0"/>
    <x v="0"/>
  </r>
  <r>
    <s v="VND-056"/>
    <s v="Safety Certificate"/>
    <s v="Yes"/>
    <s v="Yes"/>
    <d v="2025-11-11T00:00:00"/>
    <d v="2026-10-27T00:00:00"/>
    <n v="239"/>
    <x v="0"/>
    <n v="0"/>
    <x v="1"/>
  </r>
  <r>
    <s v="VND-056"/>
    <s v="Environmental Policy"/>
    <s v="Yes"/>
    <s v="Yes"/>
    <d v="2025-04-12T00:00:00"/>
    <d v="2028-06-05T00:00:00"/>
    <n v="826"/>
    <x v="0"/>
    <n v="0"/>
    <x v="0"/>
  </r>
  <r>
    <s v="VND-056"/>
    <s v="Sustainability Disclosure"/>
    <s v="Yes"/>
    <s v="Yes"/>
    <d v="2025-09-03T00:00:00"/>
    <d v="2026-08-24T00:00:00"/>
    <n v="175"/>
    <x v="0"/>
    <n v="0"/>
    <x v="0"/>
  </r>
  <r>
    <s v="VND-057"/>
    <s v="ISO 14001"/>
    <s v="Yes"/>
    <s v="Yes"/>
    <d v="2025-11-22T00:00:00"/>
    <d v="2026-12-01T00:00:00"/>
    <n v="274"/>
    <x v="0"/>
    <n v="0"/>
    <x v="0"/>
  </r>
  <r>
    <s v="VND-057"/>
    <s v="Safety Certificate"/>
    <s v="Yes"/>
    <s v="Yes"/>
    <d v="2025-11-10T00:00:00"/>
    <d v="2027-05-22T00:00:00"/>
    <n v="446"/>
    <x v="0"/>
    <n v="0"/>
    <x v="1"/>
  </r>
  <r>
    <s v="VND-057"/>
    <s v="Environmental Policy"/>
    <s v="Yes"/>
    <s v="Yes"/>
    <d v="2025-08-02T00:00:00"/>
    <d v="2027-12-24T00:00:00"/>
    <n v="662"/>
    <x v="0"/>
    <n v="0"/>
    <x v="0"/>
  </r>
  <r>
    <s v="VND-057"/>
    <s v="Sustainability Disclosure"/>
    <s v="Yes"/>
    <s v="Yes"/>
    <d v="2025-12-01T00:00:00"/>
    <d v="2027-12-06T00:00:00"/>
    <n v="644"/>
    <x v="0"/>
    <n v="0"/>
    <x v="0"/>
  </r>
  <r>
    <s v="VND-058"/>
    <s v="ISO 14001"/>
    <s v="Yes"/>
    <s v="Yes"/>
    <d v="2025-06-04T00:00:00"/>
    <d v="2028-07-10T00:00:00"/>
    <n v="861"/>
    <x v="0"/>
    <n v="0"/>
    <x v="0"/>
  </r>
  <r>
    <s v="VND-058"/>
    <s v="Safety Certificate"/>
    <s v="Yes"/>
    <s v="Yes"/>
    <d v="2025-10-27T00:00:00"/>
    <d v="2026-11-16T00:00:00"/>
    <n v="259"/>
    <x v="0"/>
    <n v="0"/>
    <x v="1"/>
  </r>
  <r>
    <s v="VND-058"/>
    <s v="Environmental Policy"/>
    <s v="Yes"/>
    <s v="Yes"/>
    <d v="2026-02-14T00:00:00"/>
    <d v="2028-02-16T00:00:00"/>
    <n v="716"/>
    <x v="0"/>
    <n v="0"/>
    <x v="0"/>
  </r>
  <r>
    <s v="VND-058"/>
    <s v="Sustainability Disclosure"/>
    <s v="Yes"/>
    <s v="Yes"/>
    <d v="2025-03-04T00:00:00"/>
    <d v="2026-11-17T00:00:00"/>
    <n v="260"/>
    <x v="0"/>
    <n v="0"/>
    <x v="0"/>
  </r>
  <r>
    <s v="VND-059"/>
    <s v="ISO 14001"/>
    <s v="Yes"/>
    <s v="Yes"/>
    <d v="2024-04-10T00:00:00"/>
    <d v="2027-03-12T00:00:00"/>
    <n v="375"/>
    <x v="0"/>
    <n v="0"/>
    <x v="0"/>
  </r>
  <r>
    <s v="VND-059"/>
    <s v="Safety Certificate"/>
    <s v="Yes"/>
    <s v="Yes"/>
    <d v="2024-03-31T00:00:00"/>
    <d v="2027-12-26T00:00:00"/>
    <n v="664"/>
    <x v="0"/>
    <n v="0"/>
    <x v="1"/>
  </r>
  <r>
    <s v="VND-059"/>
    <s v="Environmental Policy"/>
    <s v="Yes"/>
    <s v="Yes"/>
    <d v="2025-11-27T00:00:00"/>
    <d v="2027-06-04T00:00:00"/>
    <n v="459"/>
    <x v="0"/>
    <n v="0"/>
    <x v="0"/>
  </r>
  <r>
    <s v="VND-059"/>
    <s v="Sustainability Disclosure"/>
    <s v="Yes"/>
    <s v="Yes"/>
    <d v="2024-04-02T00:00:00"/>
    <d v="2026-11-07T00:00:00"/>
    <n v="250"/>
    <x v="0"/>
    <n v="0"/>
    <x v="0"/>
  </r>
  <r>
    <s v="VND-060"/>
    <s v="ISO 14001"/>
    <s v="Yes"/>
    <s v="Yes"/>
    <d v="2024-10-13T00:00:00"/>
    <d v="2026-11-29T00:00:00"/>
    <n v="272"/>
    <x v="0"/>
    <n v="0"/>
    <x v="0"/>
  </r>
  <r>
    <s v="VND-060"/>
    <s v="Safety Certificate"/>
    <s v="Yes"/>
    <s v="Yes"/>
    <d v="2024-09-12T00:00:00"/>
    <d v="2026-09-15T00:00:00"/>
    <n v="197"/>
    <x v="0"/>
    <n v="0"/>
    <x v="1"/>
  </r>
  <r>
    <s v="VND-060"/>
    <s v="Environmental Policy"/>
    <s v="Yes"/>
    <s v="Yes"/>
    <d v="2024-04-01T00:00:00"/>
    <d v="2028-02-20T00:00:00"/>
    <n v="720"/>
    <x v="0"/>
    <n v="0"/>
    <x v="0"/>
  </r>
  <r>
    <s v="VND-060"/>
    <s v="Sustainability Disclosure"/>
    <s v="Yes"/>
    <s v="Yes"/>
    <d v="2025-12-12T00:00:00"/>
    <d v="2027-11-12T00:00:00"/>
    <n v="620"/>
    <x v="0"/>
    <n v="0"/>
    <x v="0"/>
  </r>
  <r>
    <s v="VND-061"/>
    <s v="ISO 14001"/>
    <s v="Yes"/>
    <s v="Yes"/>
    <d v="2026-01-31T00:00:00"/>
    <d v="2028-08-14T00:00:00"/>
    <n v="896"/>
    <x v="0"/>
    <n v="0"/>
    <x v="0"/>
  </r>
  <r>
    <s v="VND-061"/>
    <s v="Safety Certificate"/>
    <s v="Yes"/>
    <s v="Yes"/>
    <d v="2024-12-29T00:00:00"/>
    <d v="2026-11-25T00:00:00"/>
    <n v="268"/>
    <x v="0"/>
    <n v="0"/>
    <x v="1"/>
  </r>
  <r>
    <s v="VND-061"/>
    <s v="Environmental Policy"/>
    <s v="Yes"/>
    <s v="Yes"/>
    <d v="2025-02-20T00:00:00"/>
    <d v="2027-11-10T00:00:00"/>
    <n v="618"/>
    <x v="0"/>
    <n v="0"/>
    <x v="0"/>
  </r>
  <r>
    <s v="VND-061"/>
    <s v="Sustainability Disclosure"/>
    <s v="Yes"/>
    <s v="Yes"/>
    <d v="2024-07-06T00:00:00"/>
    <d v="2027-07-27T00:00:00"/>
    <n v="512"/>
    <x v="0"/>
    <n v="0"/>
    <x v="0"/>
  </r>
  <r>
    <s v="VND-062"/>
    <s v="ISO 14001"/>
    <s v="Yes"/>
    <s v="Yes"/>
    <d v="2025-04-27T00:00:00"/>
    <d v="2027-12-03T00:00:00"/>
    <n v="641"/>
    <x v="0"/>
    <n v="0"/>
    <x v="0"/>
  </r>
  <r>
    <s v="VND-062"/>
    <s v="Safety Certificate"/>
    <s v="Yes"/>
    <s v="Yes"/>
    <d v="2026-01-06T00:00:00"/>
    <d v="2027-08-12T00:00:00"/>
    <n v="528"/>
    <x v="0"/>
    <n v="0"/>
    <x v="1"/>
  </r>
  <r>
    <s v="VND-062"/>
    <s v="Environmental Policy"/>
    <s v="Yes"/>
    <s v="Yes"/>
    <d v="2025-08-31T00:00:00"/>
    <d v="2027-05-07T00:00:00"/>
    <n v="431"/>
    <x v="0"/>
    <n v="0"/>
    <x v="0"/>
  </r>
  <r>
    <s v="VND-062"/>
    <s v="Sustainability Disclosure"/>
    <s v="Yes"/>
    <s v="Yes"/>
    <d v="2024-11-14T00:00:00"/>
    <d v="2027-01-01T00:00:00"/>
    <n v="305"/>
    <x v="0"/>
    <n v="0"/>
    <x v="0"/>
  </r>
  <r>
    <s v="VND-063"/>
    <s v="ISO 14001"/>
    <s v="Yes"/>
    <s v="Yes"/>
    <d v="2025-06-21T00:00:00"/>
    <d v="2027-04-02T00:00:00"/>
    <n v="396"/>
    <x v="0"/>
    <n v="0"/>
    <x v="0"/>
  </r>
  <r>
    <s v="VND-063"/>
    <s v="Safety Certificate"/>
    <s v="Yes"/>
    <s v="Yes"/>
    <d v="2025-06-16T00:00:00"/>
    <d v="2026-11-30T00:00:00"/>
    <n v="273"/>
    <x v="0"/>
    <n v="0"/>
    <x v="1"/>
  </r>
  <r>
    <s v="VND-063"/>
    <s v="Environmental Policy"/>
    <s v="Yes"/>
    <s v="Yes"/>
    <d v="2025-08-10T00:00:00"/>
    <d v="2027-10-17T00:00:00"/>
    <n v="594"/>
    <x v="0"/>
    <n v="0"/>
    <x v="0"/>
  </r>
  <r>
    <s v="VND-063"/>
    <s v="Sustainability Disclosure"/>
    <s v="Yes"/>
    <s v="Yes"/>
    <d v="2024-08-17T00:00:00"/>
    <d v="2028-01-18T00:00:00"/>
    <n v="687"/>
    <x v="0"/>
    <n v="0"/>
    <x v="0"/>
  </r>
  <r>
    <s v="VND-064"/>
    <s v="ISO 14001"/>
    <s v="Yes"/>
    <s v="Yes"/>
    <d v="2025-01-22T00:00:00"/>
    <d v="2028-03-25T00:00:00"/>
    <n v="754"/>
    <x v="0"/>
    <n v="0"/>
    <x v="0"/>
  </r>
  <r>
    <s v="VND-064"/>
    <s v="Safety Certificate"/>
    <s v="Yes"/>
    <s v="Yes"/>
    <d v="2025-08-13T00:00:00"/>
    <d v="2027-08-23T00:00:00"/>
    <n v="539"/>
    <x v="0"/>
    <n v="0"/>
    <x v="1"/>
  </r>
  <r>
    <s v="VND-064"/>
    <s v="Environmental Policy"/>
    <s v="Yes"/>
    <s v="Yes"/>
    <d v="2024-08-14T00:00:00"/>
    <d v="2027-05-29T00:00:00"/>
    <n v="453"/>
    <x v="0"/>
    <n v="0"/>
    <x v="0"/>
  </r>
  <r>
    <s v="VND-064"/>
    <s v="Sustainability Disclosure"/>
    <s v="Yes"/>
    <s v="Yes"/>
    <d v="2024-12-03T00:00:00"/>
    <d v="2026-06-28T00:00:00"/>
    <n v="118"/>
    <x v="0"/>
    <n v="0"/>
    <x v="0"/>
  </r>
  <r>
    <s v="VND-065"/>
    <s v="ISO 14001"/>
    <s v="Yes"/>
    <s v="Yes"/>
    <d v="2024-04-17T00:00:00"/>
    <d v="2028-02-19T00:00:00"/>
    <n v="719"/>
    <x v="0"/>
    <n v="0"/>
    <x v="0"/>
  </r>
  <r>
    <s v="VND-065"/>
    <s v="Safety Certificate"/>
    <s v="Yes"/>
    <s v="Yes"/>
    <d v="2024-08-24T00:00:00"/>
    <d v="2028-05-19T00:00:00"/>
    <n v="809"/>
    <x v="0"/>
    <n v="0"/>
    <x v="1"/>
  </r>
  <r>
    <s v="VND-065"/>
    <s v="Environmental Policy"/>
    <s v="Yes"/>
    <s v="Yes"/>
    <d v="2024-06-27T00:00:00"/>
    <d v="2028-05-11T00:00:00"/>
    <n v="801"/>
    <x v="0"/>
    <n v="0"/>
    <x v="0"/>
  </r>
  <r>
    <s v="VND-065"/>
    <s v="Sustainability Disclosure"/>
    <s v="Yes"/>
    <s v="Yes"/>
    <d v="2024-04-18T00:00:00"/>
    <d v="2027-07-27T00:00:00"/>
    <n v="512"/>
    <x v="0"/>
    <n v="0"/>
    <x v="0"/>
  </r>
  <r>
    <s v="VND-066"/>
    <s v="ISO 14001"/>
    <s v="Yes"/>
    <s v="Yes"/>
    <d v="2025-02-10T00:00:00"/>
    <d v="2028-01-28T00:00:00"/>
    <n v="697"/>
    <x v="0"/>
    <n v="0"/>
    <x v="0"/>
  </r>
  <r>
    <s v="VND-066"/>
    <s v="Safety Certificate"/>
    <s v="Yes"/>
    <s v="Yes"/>
    <d v="2024-09-12T00:00:00"/>
    <d v="2027-06-18T00:00:00"/>
    <n v="473"/>
    <x v="0"/>
    <n v="0"/>
    <x v="1"/>
  </r>
  <r>
    <s v="VND-066"/>
    <s v="Environmental Policy"/>
    <s v="Yes"/>
    <s v="Yes"/>
    <d v="2024-06-09T00:00:00"/>
    <d v="2027-02-06T00:00:00"/>
    <n v="341"/>
    <x v="0"/>
    <n v="0"/>
    <x v="0"/>
  </r>
  <r>
    <s v="VND-066"/>
    <s v="Sustainability Disclosure"/>
    <s v="Yes"/>
    <s v="Yes"/>
    <d v="2025-01-29T00:00:00"/>
    <d v="2028-05-15T00:00:00"/>
    <n v="805"/>
    <x v="0"/>
    <n v="0"/>
    <x v="0"/>
  </r>
  <r>
    <s v="VND-067"/>
    <s v="ISO 14001"/>
    <s v="Yes"/>
    <s v="Yes"/>
    <d v="2026-01-26T00:00:00"/>
    <d v="2027-11-15T00:00:00"/>
    <n v="623"/>
    <x v="0"/>
    <n v="0"/>
    <x v="0"/>
  </r>
  <r>
    <s v="VND-067"/>
    <s v="Safety Certificate"/>
    <s v="Yes"/>
    <s v="Yes"/>
    <d v="2025-01-08T00:00:00"/>
    <d v="2027-12-21T00:00:00"/>
    <n v="659"/>
    <x v="0"/>
    <n v="0"/>
    <x v="1"/>
  </r>
  <r>
    <s v="VND-067"/>
    <s v="Environmental Policy"/>
    <s v="Yes"/>
    <s v="Yes"/>
    <d v="2025-01-24T00:00:00"/>
    <d v="2027-02-08T00:00:00"/>
    <n v="343"/>
    <x v="0"/>
    <n v="0"/>
    <x v="0"/>
  </r>
  <r>
    <s v="VND-067"/>
    <s v="Sustainability Disclosure"/>
    <s v="Yes"/>
    <s v="Yes"/>
    <d v="2025-01-18T00:00:00"/>
    <d v="2026-08-07T00:00:00"/>
    <n v="158"/>
    <x v="0"/>
    <n v="0"/>
    <x v="0"/>
  </r>
  <r>
    <s v="VND-068"/>
    <s v="ISO 14001"/>
    <s v="Yes"/>
    <s v="Yes"/>
    <d v="2025-06-05T00:00:00"/>
    <d v="2028-01-12T00:00:00"/>
    <n v="681"/>
    <x v="0"/>
    <n v="0"/>
    <x v="0"/>
  </r>
  <r>
    <s v="VND-068"/>
    <s v="Safety Certificate"/>
    <s v="Yes"/>
    <s v="Yes"/>
    <d v="2025-04-24T00:00:00"/>
    <d v="2028-02-24T00:00:00"/>
    <n v="724"/>
    <x v="0"/>
    <n v="0"/>
    <x v="1"/>
  </r>
  <r>
    <s v="VND-068"/>
    <s v="Environmental Policy"/>
    <s v="Yes"/>
    <s v="Yes"/>
    <d v="2024-06-10T00:00:00"/>
    <d v="2027-06-01T00:00:00"/>
    <n v="456"/>
    <x v="0"/>
    <n v="0"/>
    <x v="0"/>
  </r>
  <r>
    <s v="VND-068"/>
    <s v="Sustainability Disclosure"/>
    <s v="Yes"/>
    <s v="Yes"/>
    <d v="2025-05-16T00:00:00"/>
    <d v="2026-11-14T00:00:00"/>
    <n v="257"/>
    <x v="0"/>
    <n v="0"/>
    <x v="0"/>
  </r>
  <r>
    <s v="VND-069"/>
    <s v="ISO 14001"/>
    <s v="Yes"/>
    <s v="Yes"/>
    <d v="2025-02-06T00:00:00"/>
    <d v="2027-10-06T00:00:00"/>
    <n v="583"/>
    <x v="0"/>
    <n v="0"/>
    <x v="0"/>
  </r>
  <r>
    <s v="VND-069"/>
    <s v="Safety Certificate"/>
    <s v="Yes"/>
    <s v="Yes"/>
    <d v="2025-01-18T00:00:00"/>
    <d v="2027-12-05T00:00:00"/>
    <n v="643"/>
    <x v="0"/>
    <n v="0"/>
    <x v="1"/>
  </r>
  <r>
    <s v="VND-069"/>
    <s v="Environmental Policy"/>
    <s v="Yes"/>
    <s v="Yes"/>
    <d v="2025-12-26T00:00:00"/>
    <d v="2027-12-24T00:00:00"/>
    <n v="662"/>
    <x v="0"/>
    <n v="0"/>
    <x v="0"/>
  </r>
  <r>
    <s v="VND-069"/>
    <s v="Sustainability Disclosure"/>
    <s v="Yes"/>
    <s v="Yes"/>
    <d v="2024-09-08T00:00:00"/>
    <d v="2028-06-27T00:00:00"/>
    <n v="848"/>
    <x v="0"/>
    <n v="0"/>
    <x v="0"/>
  </r>
  <r>
    <s v="VND-070"/>
    <s v="ISO 14001"/>
    <s v="Yes"/>
    <s v="Yes"/>
    <d v="2025-05-18T00:00:00"/>
    <d v="2026-07-25T00:00:00"/>
    <n v="145"/>
    <x v="0"/>
    <n v="0"/>
    <x v="0"/>
  </r>
  <r>
    <s v="VND-070"/>
    <s v="Safety Certificate"/>
    <s v="Yes"/>
    <s v="Yes"/>
    <d v="2026-01-02T00:00:00"/>
    <d v="2027-03-11T00:00:00"/>
    <n v="374"/>
    <x v="0"/>
    <n v="0"/>
    <x v="1"/>
  </r>
  <r>
    <s v="VND-070"/>
    <s v="Environmental Policy"/>
    <s v="Yes"/>
    <s v="Yes"/>
    <d v="2025-11-12T00:00:00"/>
    <d v="2026-11-09T00:00:00"/>
    <n v="252"/>
    <x v="0"/>
    <n v="0"/>
    <x v="0"/>
  </r>
  <r>
    <s v="VND-070"/>
    <s v="Sustainability Disclosure"/>
    <s v="Yes"/>
    <s v="Yes"/>
    <d v="2025-12-27T00:00:00"/>
    <d v="2026-11-07T00:00:00"/>
    <n v="250"/>
    <x v="0"/>
    <n v="0"/>
    <x v="0"/>
  </r>
  <r>
    <s v="VND-071"/>
    <s v="ISO 14001"/>
    <s v="Yes"/>
    <s v="Yes"/>
    <d v="2024-11-09T00:00:00"/>
    <d v="2026-08-31T00:00:00"/>
    <n v="182"/>
    <x v="0"/>
    <n v="0"/>
    <x v="0"/>
  </r>
  <r>
    <s v="VND-071"/>
    <s v="Safety Certificate"/>
    <s v="Yes"/>
    <s v="Yes"/>
    <d v="2024-04-24T00:00:00"/>
    <d v="2027-01-29T00:00:00"/>
    <n v="333"/>
    <x v="0"/>
    <n v="0"/>
    <x v="1"/>
  </r>
  <r>
    <s v="VND-071"/>
    <s v="Environmental Policy"/>
    <s v="Yes"/>
    <s v="Yes"/>
    <d v="2025-11-30T00:00:00"/>
    <d v="2027-04-22T00:00:00"/>
    <n v="416"/>
    <x v="0"/>
    <n v="0"/>
    <x v="0"/>
  </r>
  <r>
    <s v="VND-071"/>
    <s v="Sustainability Disclosure"/>
    <s v="Yes"/>
    <s v="Yes"/>
    <d v="2025-04-13T00:00:00"/>
    <d v="2026-10-11T00:00:00"/>
    <n v="223"/>
    <x v="0"/>
    <n v="0"/>
    <x v="0"/>
  </r>
  <r>
    <s v="VND-072"/>
    <s v="ISO 14001"/>
    <s v="Yes"/>
    <s v="Yes"/>
    <d v="2025-07-08T00:00:00"/>
    <d v="2027-09-22T00:00:00"/>
    <n v="569"/>
    <x v="0"/>
    <n v="0"/>
    <x v="0"/>
  </r>
  <r>
    <s v="VND-072"/>
    <s v="Safety Certificate"/>
    <s v="Yes"/>
    <s v="Yes"/>
    <d v="2024-04-09T00:00:00"/>
    <d v="2027-05-13T00:00:00"/>
    <n v="437"/>
    <x v="0"/>
    <n v="0"/>
    <x v="1"/>
  </r>
  <r>
    <s v="VND-072"/>
    <s v="Environmental Policy"/>
    <s v="Yes"/>
    <s v="Yes"/>
    <d v="2025-01-01T00:00:00"/>
    <d v="2026-06-28T00:00:00"/>
    <n v="118"/>
    <x v="0"/>
    <n v="0"/>
    <x v="0"/>
  </r>
  <r>
    <s v="VND-072"/>
    <s v="Sustainability Disclosure"/>
    <s v="Yes"/>
    <s v="Yes"/>
    <d v="2025-05-17T00:00:00"/>
    <d v="2026-09-24T00:00:00"/>
    <n v="206"/>
    <x v="0"/>
    <n v="0"/>
    <x v="0"/>
  </r>
  <r>
    <s v="VND-073"/>
    <s v="ISO 14001"/>
    <s v="Yes"/>
    <s v="Yes"/>
    <d v="2025-06-03T00:00:00"/>
    <d v="2028-01-23T00:00:00"/>
    <n v="692"/>
    <x v="0"/>
    <n v="0"/>
    <x v="0"/>
  </r>
  <r>
    <s v="VND-073"/>
    <s v="Safety Certificate"/>
    <s v="Yes"/>
    <s v="Yes"/>
    <d v="2025-02-15T00:00:00"/>
    <d v="2028-01-23T00:00:00"/>
    <n v="692"/>
    <x v="0"/>
    <n v="0"/>
    <x v="1"/>
  </r>
  <r>
    <s v="VND-073"/>
    <s v="Environmental Policy"/>
    <s v="Yes"/>
    <s v="Yes"/>
    <d v="2024-08-31T00:00:00"/>
    <d v="2028-06-12T00:00:00"/>
    <n v="833"/>
    <x v="0"/>
    <n v="0"/>
    <x v="0"/>
  </r>
  <r>
    <s v="VND-073"/>
    <s v="Sustainability Disclosure"/>
    <s v="Yes"/>
    <s v="Yes"/>
    <d v="2025-12-12T00:00:00"/>
    <d v="2026-11-20T00:00:00"/>
    <n v="263"/>
    <x v="0"/>
    <n v="0"/>
    <x v="0"/>
  </r>
  <r>
    <s v="VND-074"/>
    <s v="ISO 14001"/>
    <s v="Yes"/>
    <s v="Yes"/>
    <d v="2025-06-24T00:00:00"/>
    <d v="2028-01-07T00:00:00"/>
    <n v="676"/>
    <x v="0"/>
    <n v="0"/>
    <x v="0"/>
  </r>
  <r>
    <s v="VND-074"/>
    <s v="Safety Certificate"/>
    <s v="Yes"/>
    <s v="Yes"/>
    <d v="2024-08-23T00:00:00"/>
    <d v="2027-09-05T00:00:00"/>
    <n v="552"/>
    <x v="0"/>
    <n v="0"/>
    <x v="1"/>
  </r>
  <r>
    <s v="VND-074"/>
    <s v="Environmental Policy"/>
    <s v="Yes"/>
    <s v="Yes"/>
    <d v="2024-11-28T00:00:00"/>
    <d v="2028-03-20T00:00:00"/>
    <n v="749"/>
    <x v="0"/>
    <n v="0"/>
    <x v="0"/>
  </r>
  <r>
    <s v="VND-074"/>
    <s v="Sustainability Disclosure"/>
    <s v="Yes"/>
    <s v="Yes"/>
    <d v="2026-01-15T00:00:00"/>
    <d v="2027-05-16T00:00:00"/>
    <n v="440"/>
    <x v="0"/>
    <n v="0"/>
    <x v="0"/>
  </r>
  <r>
    <s v="VND-075"/>
    <s v="ISO 14001"/>
    <s v="Yes"/>
    <s v="Yes"/>
    <d v="2026-02-07T00:00:00"/>
    <d v="2027-07-20T00:00:00"/>
    <n v="505"/>
    <x v="0"/>
    <n v="0"/>
    <x v="0"/>
  </r>
  <r>
    <s v="VND-075"/>
    <s v="Safety Certificate"/>
    <s v="Yes"/>
    <s v="Yes"/>
    <d v="2025-05-31T00:00:00"/>
    <d v="2028-02-23T00:00:00"/>
    <n v="723"/>
    <x v="0"/>
    <n v="0"/>
    <x v="1"/>
  </r>
  <r>
    <s v="VND-075"/>
    <s v="Environmental Policy"/>
    <s v="Yes"/>
    <s v="Yes"/>
    <d v="2025-08-12T00:00:00"/>
    <d v="2027-07-21T00:00:00"/>
    <n v="506"/>
    <x v="0"/>
    <n v="0"/>
    <x v="0"/>
  </r>
  <r>
    <s v="VND-075"/>
    <s v="Sustainability Disclosure"/>
    <s v="Yes"/>
    <s v="Yes"/>
    <d v="2024-06-10T00:00:00"/>
    <d v="2027-04-10T00:00:00"/>
    <n v="404"/>
    <x v="0"/>
    <n v="0"/>
    <x v="0"/>
  </r>
  <r>
    <s v="VND-076"/>
    <s v="ISO 14001"/>
    <s v="Yes"/>
    <s v="Yes"/>
    <d v="2025-12-17T00:00:00"/>
    <d v="2026-08-05T00:00:00"/>
    <n v="156"/>
    <x v="0"/>
    <n v="0"/>
    <x v="0"/>
  </r>
  <r>
    <s v="VND-076"/>
    <s v="Safety Certificate"/>
    <s v="Yes"/>
    <s v="Yes"/>
    <d v="2025-11-26T00:00:00"/>
    <d v="2027-12-08T00:00:00"/>
    <n v="646"/>
    <x v="0"/>
    <n v="0"/>
    <x v="1"/>
  </r>
  <r>
    <s v="VND-076"/>
    <s v="Environmental Policy"/>
    <s v="Yes"/>
    <s v="Yes"/>
    <d v="2024-12-09T00:00:00"/>
    <d v="2027-12-19T00:00:00"/>
    <n v="657"/>
    <x v="0"/>
    <n v="0"/>
    <x v="0"/>
  </r>
  <r>
    <s v="VND-076"/>
    <s v="Sustainability Disclosure"/>
    <s v="Yes"/>
    <s v="Yes"/>
    <d v="2024-08-25T00:00:00"/>
    <d v="2027-07-14T00:00:00"/>
    <n v="499"/>
    <x v="0"/>
    <n v="0"/>
    <x v="0"/>
  </r>
  <r>
    <s v="VND-077"/>
    <s v="ISO 14001"/>
    <s v="Yes"/>
    <s v="Yes"/>
    <d v="2024-07-31T00:00:00"/>
    <d v="2026-12-04T00:00:00"/>
    <n v="277"/>
    <x v="0"/>
    <n v="0"/>
    <x v="0"/>
  </r>
  <r>
    <s v="VND-077"/>
    <s v="Safety Certificate"/>
    <s v="Yes"/>
    <s v="Yes"/>
    <d v="2024-06-02T00:00:00"/>
    <d v="2028-07-13T00:00:00"/>
    <n v="864"/>
    <x v="0"/>
    <n v="0"/>
    <x v="1"/>
  </r>
  <r>
    <s v="VND-077"/>
    <s v="Environmental Policy"/>
    <s v="Yes"/>
    <s v="Yes"/>
    <d v="2025-01-15T00:00:00"/>
    <d v="2028-01-15T00:00:00"/>
    <n v="684"/>
    <x v="0"/>
    <n v="0"/>
    <x v="0"/>
  </r>
  <r>
    <s v="VND-077"/>
    <s v="Sustainability Disclosure"/>
    <s v="Yes"/>
    <s v="Yes"/>
    <d v="2024-04-25T00:00:00"/>
    <d v="2028-03-06T00:00:00"/>
    <n v="735"/>
    <x v="0"/>
    <n v="0"/>
    <x v="0"/>
  </r>
  <r>
    <s v="VND-078"/>
    <s v="ISO 14001"/>
    <s v="Yes"/>
    <s v="Yes"/>
    <d v="2025-02-28T00:00:00"/>
    <d v="2028-08-07T00:00:00"/>
    <n v="889"/>
    <x v="0"/>
    <n v="0"/>
    <x v="0"/>
  </r>
  <r>
    <s v="VND-078"/>
    <s v="Safety Certificate"/>
    <s v="Yes"/>
    <s v="Yes"/>
    <d v="2025-06-26T00:00:00"/>
    <d v="2026-12-04T00:00:00"/>
    <n v="277"/>
    <x v="0"/>
    <n v="0"/>
    <x v="1"/>
  </r>
  <r>
    <s v="VND-078"/>
    <s v="Environmental Policy"/>
    <s v="Yes"/>
    <s v="Yes"/>
    <d v="2025-11-23T00:00:00"/>
    <d v="2027-09-28T00:00:00"/>
    <n v="575"/>
    <x v="0"/>
    <n v="0"/>
    <x v="0"/>
  </r>
  <r>
    <s v="VND-078"/>
    <s v="Sustainability Disclosure"/>
    <s v="Yes"/>
    <s v="Yes"/>
    <d v="2025-01-27T00:00:00"/>
    <d v="2027-08-26T00:00:00"/>
    <n v="542"/>
    <x v="0"/>
    <n v="0"/>
    <x v="0"/>
  </r>
  <r>
    <s v="VND-079"/>
    <s v="ISO 14001"/>
    <s v="Yes"/>
    <s v="Yes"/>
    <d v="2024-05-08T00:00:00"/>
    <d v="2028-01-27T00:00:00"/>
    <n v="696"/>
    <x v="0"/>
    <n v="0"/>
    <x v="0"/>
  </r>
  <r>
    <s v="VND-079"/>
    <s v="Safety Certificate"/>
    <s v="Yes"/>
    <s v="Yes"/>
    <d v="2025-04-15T00:00:00"/>
    <d v="2027-01-18T00:00:00"/>
    <n v="322"/>
    <x v="0"/>
    <n v="0"/>
    <x v="1"/>
  </r>
  <r>
    <s v="VND-079"/>
    <s v="Environmental Policy"/>
    <s v="Yes"/>
    <s v="Yes"/>
    <d v="2025-02-28T00:00:00"/>
    <d v="2026-12-10T00:00:00"/>
    <n v="283"/>
    <x v="0"/>
    <n v="0"/>
    <x v="0"/>
  </r>
  <r>
    <s v="VND-079"/>
    <s v="Sustainability Disclosure"/>
    <s v="Yes"/>
    <s v="Yes"/>
    <d v="2024-05-08T00:00:00"/>
    <d v="2027-11-30T00:00:00"/>
    <n v="638"/>
    <x v="0"/>
    <n v="0"/>
    <x v="0"/>
  </r>
  <r>
    <s v="VND-080"/>
    <s v="ISO 14001"/>
    <s v="Yes"/>
    <s v="Yes"/>
    <d v="2025-09-15T00:00:00"/>
    <d v="2027-12-18T00:00:00"/>
    <n v="656"/>
    <x v="0"/>
    <n v="0"/>
    <x v="0"/>
  </r>
  <r>
    <s v="VND-080"/>
    <s v="Safety Certificate"/>
    <s v="Yes"/>
    <s v="Yes"/>
    <d v="2025-02-04T00:00:00"/>
    <d v="2026-09-05T00:00:00"/>
    <n v="187"/>
    <x v="0"/>
    <n v="0"/>
    <x v="1"/>
  </r>
  <r>
    <s v="VND-080"/>
    <s v="Environmental Policy"/>
    <s v="Yes"/>
    <s v="Yes"/>
    <d v="2024-06-06T00:00:00"/>
    <d v="2026-10-17T00:00:00"/>
    <n v="229"/>
    <x v="0"/>
    <n v="0"/>
    <x v="0"/>
  </r>
  <r>
    <s v="VND-080"/>
    <s v="Sustainability Disclosure"/>
    <s v="Yes"/>
    <s v="Yes"/>
    <d v="2025-01-22T00:00:00"/>
    <d v="2027-12-24T00:00:00"/>
    <n v="662"/>
    <x v="0"/>
    <n v="0"/>
    <x v="0"/>
  </r>
  <r>
    <s v="VND-081"/>
    <s v="ISO 14001"/>
    <s v="Yes"/>
    <s v="Yes"/>
    <d v="2025-07-13T00:00:00"/>
    <d v="2026-10-01T00:00:00"/>
    <n v="213"/>
    <x v="0"/>
    <n v="0"/>
    <x v="0"/>
  </r>
  <r>
    <s v="VND-081"/>
    <s v="Safety Certificate"/>
    <s v="Yes"/>
    <s v="Yes"/>
    <d v="2025-11-13T00:00:00"/>
    <d v="2027-11-03T00:00:00"/>
    <n v="611"/>
    <x v="0"/>
    <n v="0"/>
    <x v="1"/>
  </r>
  <r>
    <s v="VND-081"/>
    <s v="Environmental Policy"/>
    <s v="Yes"/>
    <s v="Yes"/>
    <d v="2025-02-09T00:00:00"/>
    <d v="2028-04-04T00:00:00"/>
    <n v="764"/>
    <x v="0"/>
    <n v="0"/>
    <x v="0"/>
  </r>
  <r>
    <s v="VND-081"/>
    <s v="Sustainability Disclosure"/>
    <s v="Yes"/>
    <s v="Yes"/>
    <d v="2025-08-30T00:00:00"/>
    <d v="2027-04-26T00:00:00"/>
    <n v="420"/>
    <x v="0"/>
    <n v="0"/>
    <x v="0"/>
  </r>
  <r>
    <s v="VND-082"/>
    <s v="ISO 14001"/>
    <s v="Yes"/>
    <s v="Yes"/>
    <d v="2025-10-07T00:00:00"/>
    <d v="2028-02-03T00:00:00"/>
    <n v="703"/>
    <x v="0"/>
    <n v="0"/>
    <x v="0"/>
  </r>
  <r>
    <s v="VND-082"/>
    <s v="Safety Certificate"/>
    <s v="Yes"/>
    <s v="Yes"/>
    <d v="2025-10-05T00:00:00"/>
    <d v="2026-08-27T00:00:00"/>
    <n v="178"/>
    <x v="0"/>
    <n v="0"/>
    <x v="1"/>
  </r>
  <r>
    <s v="VND-082"/>
    <s v="Environmental Policy"/>
    <s v="Yes"/>
    <s v="Yes"/>
    <d v="2025-01-20T00:00:00"/>
    <d v="2027-10-03T00:00:00"/>
    <n v="580"/>
    <x v="0"/>
    <n v="0"/>
    <x v="0"/>
  </r>
  <r>
    <s v="VND-082"/>
    <s v="Sustainability Disclosure"/>
    <s v="Yes"/>
    <s v="Yes"/>
    <d v="2026-02-17T00:00:00"/>
    <d v="2027-08-20T00:00:00"/>
    <n v="536"/>
    <x v="0"/>
    <n v="0"/>
    <x v="0"/>
  </r>
  <r>
    <s v="VND-083"/>
    <s v="ISO 14001"/>
    <s v="Yes"/>
    <s v="Yes"/>
    <d v="2025-05-13T00:00:00"/>
    <d v="2027-10-24T00:00:00"/>
    <n v="601"/>
    <x v="0"/>
    <n v="0"/>
    <x v="0"/>
  </r>
  <r>
    <s v="VND-083"/>
    <s v="Safety Certificate"/>
    <s v="Yes"/>
    <s v="Yes"/>
    <d v="2025-08-24T00:00:00"/>
    <d v="2027-04-08T00:00:00"/>
    <n v="402"/>
    <x v="0"/>
    <n v="0"/>
    <x v="1"/>
  </r>
  <r>
    <s v="VND-083"/>
    <s v="Environmental Policy"/>
    <s v="Yes"/>
    <s v="Yes"/>
    <d v="2025-03-08T00:00:00"/>
    <d v="2027-06-16T00:00:00"/>
    <n v="471"/>
    <x v="0"/>
    <n v="0"/>
    <x v="0"/>
  </r>
  <r>
    <s v="VND-083"/>
    <s v="Sustainability Disclosure"/>
    <s v="Yes"/>
    <s v="Yes"/>
    <d v="2024-03-30T00:00:00"/>
    <d v="2027-05-09T00:00:00"/>
    <n v="433"/>
    <x v="0"/>
    <n v="0"/>
    <x v="0"/>
  </r>
  <r>
    <s v="VND-084"/>
    <s v="ISO 14001"/>
    <s v="Yes"/>
    <s v="Yes"/>
    <d v="2025-01-21T00:00:00"/>
    <d v="2028-06-17T00:00:00"/>
    <n v="838"/>
    <x v="0"/>
    <n v="0"/>
    <x v="0"/>
  </r>
  <r>
    <s v="VND-084"/>
    <s v="Safety Certificate"/>
    <s v="Yes"/>
    <s v="Yes"/>
    <d v="2025-10-27T00:00:00"/>
    <d v="2027-12-18T00:00:00"/>
    <n v="656"/>
    <x v="0"/>
    <n v="0"/>
    <x v="1"/>
  </r>
  <r>
    <s v="VND-084"/>
    <s v="Environmental Policy"/>
    <s v="Yes"/>
    <s v="Yes"/>
    <d v="2025-06-09T00:00:00"/>
    <d v="2028-04-24T00:00:00"/>
    <n v="784"/>
    <x v="0"/>
    <n v="0"/>
    <x v="0"/>
  </r>
  <r>
    <s v="VND-084"/>
    <s v="Sustainability Disclosure"/>
    <s v="Yes"/>
    <s v="Yes"/>
    <d v="2025-07-26T00:00:00"/>
    <d v="2027-01-02T00:00:00"/>
    <n v="306"/>
    <x v="0"/>
    <n v="0"/>
    <x v="0"/>
  </r>
  <r>
    <s v="VND-085"/>
    <s v="ISO 14001"/>
    <s v="Yes"/>
    <s v="Yes"/>
    <d v="2025-01-08T00:00:00"/>
    <d v="2028-02-29T00:00:00"/>
    <n v="729"/>
    <x v="0"/>
    <n v="0"/>
    <x v="0"/>
  </r>
  <r>
    <s v="VND-085"/>
    <s v="Safety Certificate"/>
    <s v="Yes"/>
    <s v="Yes"/>
    <d v="2026-01-30T00:00:00"/>
    <d v="2026-08-14T00:00:00"/>
    <n v="165"/>
    <x v="0"/>
    <n v="0"/>
    <x v="1"/>
  </r>
  <r>
    <s v="VND-085"/>
    <s v="Environmental Policy"/>
    <s v="Yes"/>
    <s v="Yes"/>
    <d v="2025-12-02T00:00:00"/>
    <d v="2027-10-11T00:00:00"/>
    <n v="588"/>
    <x v="0"/>
    <n v="0"/>
    <x v="0"/>
  </r>
  <r>
    <s v="VND-085"/>
    <s v="Sustainability Disclosure"/>
    <s v="Yes"/>
    <s v="Yes"/>
    <d v="2025-10-29T00:00:00"/>
    <d v="2026-12-11T00:00:00"/>
    <n v="284"/>
    <x v="0"/>
    <n v="0"/>
    <x v="0"/>
  </r>
  <r>
    <s v="VND-086"/>
    <s v="ISO 14001"/>
    <s v="Yes"/>
    <s v="Yes"/>
    <d v="2024-07-15T00:00:00"/>
    <d v="2027-06-03T00:00:00"/>
    <n v="458"/>
    <x v="0"/>
    <n v="0"/>
    <x v="0"/>
  </r>
  <r>
    <s v="VND-086"/>
    <s v="Safety Certificate"/>
    <s v="Yes"/>
    <s v="Yes"/>
    <d v="2026-02-18T00:00:00"/>
    <d v="2027-08-28T00:00:00"/>
    <n v="544"/>
    <x v="0"/>
    <n v="0"/>
    <x v="1"/>
  </r>
  <r>
    <s v="VND-086"/>
    <s v="Environmental Policy"/>
    <s v="Yes"/>
    <s v="Yes"/>
    <d v="2025-12-24T00:00:00"/>
    <d v="2027-09-27T00:00:00"/>
    <n v="574"/>
    <x v="0"/>
    <n v="0"/>
    <x v="0"/>
  </r>
  <r>
    <s v="VND-086"/>
    <s v="Sustainability Disclosure"/>
    <s v="Yes"/>
    <s v="Yes"/>
    <d v="2024-05-28T00:00:00"/>
    <d v="2026-10-24T00:00:00"/>
    <n v="236"/>
    <x v="0"/>
    <n v="0"/>
    <x v="0"/>
  </r>
  <r>
    <s v="VND-087"/>
    <s v="ISO 14001"/>
    <s v="Yes"/>
    <s v="Yes"/>
    <d v="2025-04-17T00:00:00"/>
    <d v="2026-07-19T00:00:00"/>
    <n v="139"/>
    <x v="0"/>
    <n v="0"/>
    <x v="0"/>
  </r>
  <r>
    <s v="VND-087"/>
    <s v="Safety Certificate"/>
    <s v="Yes"/>
    <s v="Yes"/>
    <d v="2024-08-19T00:00:00"/>
    <d v="2026-09-02T00:00:00"/>
    <n v="184"/>
    <x v="0"/>
    <n v="0"/>
    <x v="1"/>
  </r>
  <r>
    <s v="VND-087"/>
    <s v="Environmental Policy"/>
    <s v="Yes"/>
    <s v="Yes"/>
    <d v="2024-07-27T00:00:00"/>
    <d v="2027-08-20T00:00:00"/>
    <n v="536"/>
    <x v="0"/>
    <n v="0"/>
    <x v="0"/>
  </r>
  <r>
    <s v="VND-087"/>
    <s v="Sustainability Disclosure"/>
    <s v="Yes"/>
    <s v="Yes"/>
    <d v="2025-07-08T00:00:00"/>
    <d v="2028-04-01T00:00:00"/>
    <n v="761"/>
    <x v="0"/>
    <n v="0"/>
    <x v="0"/>
  </r>
  <r>
    <s v="VND-088"/>
    <s v="ISO 14001"/>
    <s v="Yes"/>
    <s v="Yes"/>
    <d v="2025-09-07T00:00:00"/>
    <d v="2028-02-16T00:00:00"/>
    <n v="716"/>
    <x v="0"/>
    <n v="0"/>
    <x v="0"/>
  </r>
  <r>
    <s v="VND-088"/>
    <s v="Safety Certificate"/>
    <s v="Yes"/>
    <s v="Yes"/>
    <d v="2025-06-23T00:00:00"/>
    <d v="2027-10-09T00:00:00"/>
    <n v="586"/>
    <x v="0"/>
    <n v="0"/>
    <x v="1"/>
  </r>
  <r>
    <s v="VND-088"/>
    <s v="Environmental Policy"/>
    <s v="Yes"/>
    <s v="Yes"/>
    <d v="2024-06-08T00:00:00"/>
    <d v="2027-05-31T00:00:00"/>
    <n v="455"/>
    <x v="0"/>
    <n v="0"/>
    <x v="0"/>
  </r>
  <r>
    <s v="VND-088"/>
    <s v="Sustainability Disclosure"/>
    <s v="Yes"/>
    <s v="Yes"/>
    <d v="2025-12-07T00:00:00"/>
    <d v="2027-11-15T00:00:00"/>
    <n v="623"/>
    <x v="0"/>
    <n v="0"/>
    <x v="0"/>
  </r>
  <r>
    <s v="VND-089"/>
    <s v="ISO 14001"/>
    <s v="Yes"/>
    <s v="Yes"/>
    <d v="2024-08-25T00:00:00"/>
    <d v="2028-01-16T00:00:00"/>
    <n v="685"/>
    <x v="0"/>
    <n v="0"/>
    <x v="0"/>
  </r>
  <r>
    <s v="VND-089"/>
    <s v="Safety Certificate"/>
    <s v="Yes"/>
    <s v="Yes"/>
    <d v="2025-01-09T00:00:00"/>
    <d v="2028-08-10T00:00:00"/>
    <n v="892"/>
    <x v="0"/>
    <n v="0"/>
    <x v="1"/>
  </r>
  <r>
    <s v="VND-089"/>
    <s v="Environmental Policy"/>
    <s v="Yes"/>
    <s v="Yes"/>
    <d v="2025-04-05T00:00:00"/>
    <d v="2028-07-02T00:00:00"/>
    <n v="853"/>
    <x v="0"/>
    <n v="0"/>
    <x v="0"/>
  </r>
  <r>
    <s v="VND-089"/>
    <s v="Sustainability Disclosure"/>
    <s v="Yes"/>
    <s v="Yes"/>
    <d v="2025-05-16T00:00:00"/>
    <d v="2027-10-17T00:00:00"/>
    <n v="594"/>
    <x v="0"/>
    <n v="0"/>
    <x v="0"/>
  </r>
  <r>
    <s v="VND-090"/>
    <s v="ISO 14001"/>
    <s v="Yes"/>
    <s v="Yes"/>
    <d v="2025-05-08T00:00:00"/>
    <d v="2027-08-28T00:00:00"/>
    <n v="544"/>
    <x v="0"/>
    <n v="0"/>
    <x v="0"/>
  </r>
  <r>
    <s v="VND-090"/>
    <s v="Safety Certificate"/>
    <s v="Yes"/>
    <s v="Yes"/>
    <d v="2025-10-02T00:00:00"/>
    <d v="2027-03-05T00:00:00"/>
    <n v="368"/>
    <x v="0"/>
    <n v="0"/>
    <x v="1"/>
  </r>
  <r>
    <s v="VND-090"/>
    <s v="Environmental Policy"/>
    <s v="Yes"/>
    <s v="Yes"/>
    <d v="2025-07-15T00:00:00"/>
    <d v="2026-08-28T00:00:00"/>
    <n v="179"/>
    <x v="0"/>
    <n v="0"/>
    <x v="0"/>
  </r>
  <r>
    <s v="VND-090"/>
    <s v="Sustainability Disclosure"/>
    <s v="Yes"/>
    <s v="Yes"/>
    <d v="2024-12-27T00:00:00"/>
    <d v="2027-09-22T00:00:00"/>
    <n v="569"/>
    <x v="0"/>
    <n v="0"/>
    <x v="0"/>
  </r>
  <r>
    <s v="VND-091"/>
    <s v="ISO 14001"/>
    <s v="Yes"/>
    <s v="Yes"/>
    <d v="2025-04-30T00:00:00"/>
    <d v="2027-06-20T00:00:00"/>
    <n v="475"/>
    <x v="0"/>
    <n v="0"/>
    <x v="0"/>
  </r>
  <r>
    <s v="VND-091"/>
    <s v="Safety Certificate"/>
    <s v="Yes"/>
    <s v="Yes"/>
    <d v="2025-10-11T00:00:00"/>
    <d v="2026-11-12T00:00:00"/>
    <n v="255"/>
    <x v="0"/>
    <n v="0"/>
    <x v="1"/>
  </r>
  <r>
    <s v="VND-091"/>
    <s v="Environmental Policy"/>
    <s v="Yes"/>
    <s v="Yes"/>
    <d v="2025-11-24T00:00:00"/>
    <d v="2027-06-19T00:00:00"/>
    <n v="474"/>
    <x v="0"/>
    <n v="0"/>
    <x v="0"/>
  </r>
  <r>
    <s v="VND-091"/>
    <s v="Sustainability Disclosure"/>
    <s v="Yes"/>
    <s v="Yes"/>
    <d v="2026-01-08T00:00:00"/>
    <d v="2027-11-07T00:00:00"/>
    <n v="615"/>
    <x v="0"/>
    <n v="0"/>
    <x v="0"/>
  </r>
  <r>
    <s v="VND-092"/>
    <s v="ISO 14001"/>
    <s v="Yes"/>
    <s v="Yes"/>
    <d v="2024-09-22T00:00:00"/>
    <d v="2027-09-11T00:00:00"/>
    <n v="558"/>
    <x v="0"/>
    <n v="0"/>
    <x v="0"/>
  </r>
  <r>
    <s v="VND-092"/>
    <s v="Safety Certificate"/>
    <s v="Yes"/>
    <s v="Yes"/>
    <d v="2024-05-14T00:00:00"/>
    <d v="2028-07-24T00:00:00"/>
    <n v="875"/>
    <x v="0"/>
    <n v="0"/>
    <x v="1"/>
  </r>
  <r>
    <s v="VND-092"/>
    <s v="Environmental Policy"/>
    <s v="Yes"/>
    <s v="Yes"/>
    <d v="2025-07-14T00:00:00"/>
    <d v="2026-10-23T00:00:00"/>
    <n v="235"/>
    <x v="0"/>
    <n v="0"/>
    <x v="0"/>
  </r>
  <r>
    <s v="VND-092"/>
    <s v="Sustainability Disclosure"/>
    <s v="Yes"/>
    <s v="Yes"/>
    <d v="2026-02-13T00:00:00"/>
    <d v="2028-05-26T00:00:00"/>
    <n v="816"/>
    <x v="0"/>
    <n v="0"/>
    <x v="0"/>
  </r>
  <r>
    <s v="VND-093"/>
    <s v="ISO 14001"/>
    <s v="Yes"/>
    <s v="Yes"/>
    <d v="2024-09-17T00:00:00"/>
    <d v="2027-06-25T00:00:00"/>
    <n v="480"/>
    <x v="0"/>
    <n v="0"/>
    <x v="0"/>
  </r>
  <r>
    <s v="VND-093"/>
    <s v="Safety Certificate"/>
    <s v="Yes"/>
    <s v="Yes"/>
    <d v="2025-07-07T00:00:00"/>
    <d v="2028-05-09T00:00:00"/>
    <n v="799"/>
    <x v="0"/>
    <n v="0"/>
    <x v="1"/>
  </r>
  <r>
    <s v="VND-093"/>
    <s v="Environmental Policy"/>
    <s v="Yes"/>
    <s v="Yes"/>
    <d v="2025-01-23T00:00:00"/>
    <d v="2027-05-25T00:00:00"/>
    <n v="449"/>
    <x v="0"/>
    <n v="0"/>
    <x v="0"/>
  </r>
  <r>
    <s v="VND-093"/>
    <s v="Sustainability Disclosure"/>
    <s v="Yes"/>
    <s v="Yes"/>
    <d v="2024-05-13T00:00:00"/>
    <d v="2028-06-24T00:00:00"/>
    <n v="845"/>
    <x v="0"/>
    <n v="0"/>
    <x v="0"/>
  </r>
  <r>
    <s v="VND-094"/>
    <s v="ISO 14001"/>
    <s v="Yes"/>
    <s v="Yes"/>
    <d v="2024-10-16T00:00:00"/>
    <d v="2026-11-17T00:00:00"/>
    <n v="260"/>
    <x v="0"/>
    <n v="0"/>
    <x v="0"/>
  </r>
  <r>
    <s v="VND-094"/>
    <s v="Safety Certificate"/>
    <s v="Yes"/>
    <s v="Yes"/>
    <d v="2024-11-30T00:00:00"/>
    <d v="2028-03-03T00:00:00"/>
    <n v="732"/>
    <x v="0"/>
    <n v="0"/>
    <x v="1"/>
  </r>
  <r>
    <s v="VND-094"/>
    <s v="Environmental Policy"/>
    <s v="Yes"/>
    <s v="Yes"/>
    <d v="2026-01-13T00:00:00"/>
    <d v="2026-10-19T00:00:00"/>
    <n v="231"/>
    <x v="0"/>
    <n v="0"/>
    <x v="0"/>
  </r>
  <r>
    <s v="VND-094"/>
    <s v="Sustainability Disclosure"/>
    <s v="Yes"/>
    <s v="Yes"/>
    <d v="2024-08-10T00:00:00"/>
    <d v="2026-07-15T00:00:00"/>
    <n v="135"/>
    <x v="0"/>
    <n v="0"/>
    <x v="0"/>
  </r>
  <r>
    <s v="VND-095"/>
    <s v="ISO 14001"/>
    <s v="Yes"/>
    <s v="Yes"/>
    <d v="2025-12-18T00:00:00"/>
    <d v="2027-12-14T00:00:00"/>
    <n v="652"/>
    <x v="0"/>
    <n v="0"/>
    <x v="0"/>
  </r>
  <r>
    <s v="VND-095"/>
    <s v="Safety Certificate"/>
    <s v="Yes"/>
    <s v="Yes"/>
    <d v="2024-08-17T00:00:00"/>
    <d v="2028-04-08T00:00:00"/>
    <n v="768"/>
    <x v="0"/>
    <n v="0"/>
    <x v="1"/>
  </r>
  <r>
    <s v="VND-095"/>
    <s v="Environmental Policy"/>
    <s v="Yes"/>
    <s v="Yes"/>
    <d v="2025-12-24T00:00:00"/>
    <d v="2027-10-23T00:00:00"/>
    <n v="600"/>
    <x v="0"/>
    <n v="0"/>
    <x v="0"/>
  </r>
  <r>
    <s v="VND-095"/>
    <s v="Sustainability Disclosure"/>
    <s v="Yes"/>
    <s v="Yes"/>
    <d v="2024-05-11T00:00:00"/>
    <d v="2027-08-25T00:00:00"/>
    <n v="541"/>
    <x v="0"/>
    <n v="0"/>
    <x v="0"/>
  </r>
  <r>
    <s v="VND-096"/>
    <s v="ISO 14001"/>
    <s v="Yes"/>
    <s v="Yes"/>
    <d v="2025-10-07T00:00:00"/>
    <d v="2028-01-20T00:00:00"/>
    <n v="689"/>
    <x v="0"/>
    <n v="0"/>
    <x v="0"/>
  </r>
  <r>
    <s v="VND-096"/>
    <s v="Safety Certificate"/>
    <s v="Yes"/>
    <s v="Yes"/>
    <d v="2025-06-21T00:00:00"/>
    <d v="2027-01-10T00:00:00"/>
    <n v="314"/>
    <x v="0"/>
    <n v="0"/>
    <x v="1"/>
  </r>
  <r>
    <s v="VND-096"/>
    <s v="Environmental Policy"/>
    <s v="Yes"/>
    <s v="Yes"/>
    <d v="2025-04-27T00:00:00"/>
    <d v="2026-07-04T00:00:00"/>
    <n v="124"/>
    <x v="0"/>
    <n v="0"/>
    <x v="0"/>
  </r>
  <r>
    <s v="VND-096"/>
    <s v="Sustainability Disclosure"/>
    <s v="Yes"/>
    <s v="Yes"/>
    <d v="2025-10-24T00:00:00"/>
    <d v="2026-08-01T00:00:00"/>
    <n v="152"/>
    <x v="0"/>
    <n v="0"/>
    <x v="0"/>
  </r>
  <r>
    <s v="VND-097"/>
    <s v="ISO 14001"/>
    <s v="Yes"/>
    <s v="Yes"/>
    <d v="2024-08-07T00:00:00"/>
    <d v="2028-03-05T00:00:00"/>
    <n v="734"/>
    <x v="0"/>
    <n v="0"/>
    <x v="0"/>
  </r>
  <r>
    <s v="VND-097"/>
    <s v="Safety Certificate"/>
    <s v="Yes"/>
    <s v="Yes"/>
    <d v="2024-08-26T00:00:00"/>
    <d v="2028-02-28T00:00:00"/>
    <n v="728"/>
    <x v="0"/>
    <n v="0"/>
    <x v="1"/>
  </r>
  <r>
    <s v="VND-097"/>
    <s v="Environmental Policy"/>
    <s v="Yes"/>
    <s v="Yes"/>
    <d v="2025-10-14T00:00:00"/>
    <d v="2027-03-21T00:00:00"/>
    <n v="384"/>
    <x v="0"/>
    <n v="0"/>
    <x v="0"/>
  </r>
  <r>
    <s v="VND-097"/>
    <s v="Sustainability Disclosure"/>
    <s v="Yes"/>
    <s v="Yes"/>
    <d v="2024-07-22T00:00:00"/>
    <d v="2026-10-24T00:00:00"/>
    <n v="236"/>
    <x v="0"/>
    <n v="0"/>
    <x v="0"/>
  </r>
  <r>
    <s v="VND-098"/>
    <s v="ISO 14001"/>
    <s v="Yes"/>
    <s v="Yes"/>
    <d v="2025-03-07T00:00:00"/>
    <d v="2027-04-27T00:00:00"/>
    <n v="421"/>
    <x v="0"/>
    <n v="0"/>
    <x v="0"/>
  </r>
  <r>
    <s v="VND-098"/>
    <s v="Safety Certificate"/>
    <s v="Yes"/>
    <s v="Yes"/>
    <d v="2024-11-16T00:00:00"/>
    <d v="2027-01-16T00:00:00"/>
    <n v="320"/>
    <x v="0"/>
    <n v="0"/>
    <x v="1"/>
  </r>
  <r>
    <s v="VND-098"/>
    <s v="Environmental Policy"/>
    <s v="Yes"/>
    <s v="Yes"/>
    <d v="2026-02-03T00:00:00"/>
    <d v="2027-11-06T00:00:00"/>
    <n v="614"/>
    <x v="0"/>
    <n v="0"/>
    <x v="0"/>
  </r>
  <r>
    <s v="VND-098"/>
    <s v="Sustainability Disclosure"/>
    <s v="Yes"/>
    <s v="Yes"/>
    <d v="2025-09-12T00:00:00"/>
    <d v="2026-08-28T00:00:00"/>
    <n v="179"/>
    <x v="0"/>
    <n v="0"/>
    <x v="0"/>
  </r>
  <r>
    <s v="VND-099"/>
    <s v="ISO 14001"/>
    <s v="Yes"/>
    <s v="Yes"/>
    <d v="2024-09-17T00:00:00"/>
    <d v="2027-08-28T00:00:00"/>
    <n v="544"/>
    <x v="0"/>
    <n v="0"/>
    <x v="0"/>
  </r>
  <r>
    <s v="VND-099"/>
    <s v="Safety Certificate"/>
    <s v="Yes"/>
    <s v="Yes"/>
    <d v="2025-10-04T00:00:00"/>
    <d v="2028-06-10T00:00:00"/>
    <n v="831"/>
    <x v="0"/>
    <n v="0"/>
    <x v="1"/>
  </r>
  <r>
    <s v="VND-099"/>
    <s v="Environmental Policy"/>
    <s v="Yes"/>
    <s v="Yes"/>
    <d v="2025-07-16T00:00:00"/>
    <d v="2027-08-21T00:00:00"/>
    <n v="537"/>
    <x v="0"/>
    <n v="0"/>
    <x v="0"/>
  </r>
  <r>
    <s v="VND-099"/>
    <s v="Sustainability Disclosure"/>
    <s v="Yes"/>
    <s v="Yes"/>
    <d v="2025-04-06T00:00:00"/>
    <d v="2028-05-07T00:00:00"/>
    <n v="797"/>
    <x v="0"/>
    <n v="0"/>
    <x v="0"/>
  </r>
  <r>
    <s v="VND-100"/>
    <s v="ISO 14001"/>
    <s v="Yes"/>
    <s v="Yes"/>
    <d v="2025-04-24T00:00:00"/>
    <d v="2027-07-06T00:00:00"/>
    <n v="491"/>
    <x v="0"/>
    <n v="0"/>
    <x v="0"/>
  </r>
  <r>
    <s v="VND-100"/>
    <s v="Safety Certificate"/>
    <s v="Yes"/>
    <s v="Yes"/>
    <d v="2024-04-01T00:00:00"/>
    <d v="2027-11-22T00:00:00"/>
    <n v="630"/>
    <x v="0"/>
    <n v="0"/>
    <x v="1"/>
  </r>
  <r>
    <s v="VND-100"/>
    <s v="Environmental Policy"/>
    <s v="Yes"/>
    <s v="Yes"/>
    <d v="2024-06-19T00:00:00"/>
    <d v="2028-02-14T00:00:00"/>
    <n v="714"/>
    <x v="0"/>
    <n v="0"/>
    <x v="0"/>
  </r>
  <r>
    <s v="VND-100"/>
    <s v="Sustainability Disclosure"/>
    <s v="Yes"/>
    <s v="Yes"/>
    <d v="2025-12-05T00:00:00"/>
    <d v="2026-08-31T00:00:00"/>
    <n v="182"/>
    <x v="0"/>
    <n v="0"/>
    <x v="0"/>
  </r>
  <r>
    <s v="VND-101"/>
    <s v="ISO 14001"/>
    <s v="Yes"/>
    <s v="Yes"/>
    <d v="2024-07-31T00:00:00"/>
    <d v="2028-03-22T00:00:00"/>
    <n v="751"/>
    <x v="0"/>
    <n v="0"/>
    <x v="0"/>
  </r>
  <r>
    <s v="VND-101"/>
    <s v="Safety Certificate"/>
    <s v="Yes"/>
    <s v="Yes"/>
    <d v="2024-05-09T00:00:00"/>
    <d v="2027-11-25T00:00:00"/>
    <n v="633"/>
    <x v="0"/>
    <n v="0"/>
    <x v="1"/>
  </r>
  <r>
    <s v="VND-101"/>
    <s v="Environmental Policy"/>
    <s v="Yes"/>
    <s v="Yes"/>
    <d v="2024-11-27T00:00:00"/>
    <d v="2028-05-08T00:00:00"/>
    <n v="798"/>
    <x v="0"/>
    <n v="0"/>
    <x v="0"/>
  </r>
  <r>
    <s v="VND-101"/>
    <s v="Sustainability Disclosure"/>
    <s v="Yes"/>
    <s v="Yes"/>
    <d v="2024-05-06T00:00:00"/>
    <d v="2026-09-19T00:00:00"/>
    <n v="201"/>
    <x v="0"/>
    <n v="0"/>
    <x v="0"/>
  </r>
  <r>
    <s v="VND-102"/>
    <s v="ISO 14001"/>
    <s v="Yes"/>
    <s v="Yes"/>
    <d v="2025-08-27T00:00:00"/>
    <d v="2026-08-05T00:00:00"/>
    <n v="156"/>
    <x v="0"/>
    <n v="0"/>
    <x v="0"/>
  </r>
  <r>
    <s v="VND-102"/>
    <s v="Safety Certificate"/>
    <s v="Yes"/>
    <s v="Yes"/>
    <d v="2025-02-04T00:00:00"/>
    <d v="2026-12-20T00:00:00"/>
    <n v="293"/>
    <x v="0"/>
    <n v="0"/>
    <x v="1"/>
  </r>
  <r>
    <s v="VND-102"/>
    <s v="Environmental Policy"/>
    <s v="Yes"/>
    <s v="Yes"/>
    <d v="2025-12-11T00:00:00"/>
    <d v="2027-02-02T00:00:00"/>
    <n v="337"/>
    <x v="0"/>
    <n v="0"/>
    <x v="0"/>
  </r>
  <r>
    <s v="VND-102"/>
    <s v="Sustainability Disclosure"/>
    <s v="Yes"/>
    <s v="Yes"/>
    <d v="2024-11-05T00:00:00"/>
    <d v="2028-06-05T00:00:00"/>
    <n v="826"/>
    <x v="0"/>
    <n v="0"/>
    <x v="0"/>
  </r>
  <r>
    <s v="VND-103"/>
    <s v="ISO 14001"/>
    <s v="Yes"/>
    <s v="Yes"/>
    <d v="2024-09-07T00:00:00"/>
    <d v="2026-10-09T00:00:00"/>
    <n v="221"/>
    <x v="0"/>
    <n v="0"/>
    <x v="0"/>
  </r>
  <r>
    <s v="VND-103"/>
    <s v="Safety Certificate"/>
    <s v="Yes"/>
    <s v="Yes"/>
    <d v="2025-02-03T00:00:00"/>
    <d v="2026-10-25T00:00:00"/>
    <n v="237"/>
    <x v="0"/>
    <n v="0"/>
    <x v="1"/>
  </r>
  <r>
    <s v="VND-103"/>
    <s v="Environmental Policy"/>
    <s v="Yes"/>
    <s v="Yes"/>
    <d v="2025-03-13T00:00:00"/>
    <d v="2027-04-14T00:00:00"/>
    <n v="408"/>
    <x v="0"/>
    <n v="0"/>
    <x v="0"/>
  </r>
  <r>
    <s v="VND-103"/>
    <s v="Sustainability Disclosure"/>
    <s v="Yes"/>
    <s v="Yes"/>
    <d v="2024-07-15T00:00:00"/>
    <d v="2027-01-25T00:00:00"/>
    <n v="329"/>
    <x v="0"/>
    <n v="0"/>
    <x v="0"/>
  </r>
  <r>
    <s v="VND-104"/>
    <s v="ISO 14001"/>
    <s v="Yes"/>
    <s v="Yes"/>
    <d v="2025-03-26T00:00:00"/>
    <d v="2026-10-07T00:00:00"/>
    <n v="219"/>
    <x v="0"/>
    <n v="0"/>
    <x v="0"/>
  </r>
  <r>
    <s v="VND-104"/>
    <s v="Safety Certificate"/>
    <s v="Yes"/>
    <s v="Yes"/>
    <d v="2024-05-30T00:00:00"/>
    <d v="2026-07-18T00:00:00"/>
    <n v="138"/>
    <x v="0"/>
    <n v="0"/>
    <x v="1"/>
  </r>
  <r>
    <s v="VND-104"/>
    <s v="Environmental Policy"/>
    <s v="Yes"/>
    <s v="Yes"/>
    <d v="2025-10-06T00:00:00"/>
    <d v="2027-08-01T00:00:00"/>
    <n v="517"/>
    <x v="0"/>
    <n v="0"/>
    <x v="0"/>
  </r>
  <r>
    <s v="VND-104"/>
    <s v="Sustainability Disclosure"/>
    <s v="Yes"/>
    <s v="Yes"/>
    <d v="2024-09-20T00:00:00"/>
    <d v="2027-07-01T00:00:00"/>
    <n v="486"/>
    <x v="0"/>
    <n v="0"/>
    <x v="0"/>
  </r>
  <r>
    <s v="VND-105"/>
    <s v="ISO 14001"/>
    <s v="Yes"/>
    <s v="Yes"/>
    <d v="2024-11-06T00:00:00"/>
    <d v="2027-04-10T00:00:00"/>
    <n v="404"/>
    <x v="0"/>
    <n v="0"/>
    <x v="0"/>
  </r>
  <r>
    <s v="VND-105"/>
    <s v="Safety Certificate"/>
    <s v="Yes"/>
    <s v="Yes"/>
    <d v="2026-02-10T00:00:00"/>
    <d v="2026-07-23T00:00:00"/>
    <n v="143"/>
    <x v="0"/>
    <n v="0"/>
    <x v="1"/>
  </r>
  <r>
    <s v="VND-105"/>
    <s v="Environmental Policy"/>
    <s v="Yes"/>
    <s v="Yes"/>
    <d v="2025-06-07T00:00:00"/>
    <d v="2027-10-24T00:00:00"/>
    <n v="601"/>
    <x v="0"/>
    <n v="0"/>
    <x v="0"/>
  </r>
  <r>
    <s v="VND-105"/>
    <s v="Sustainability Disclosure"/>
    <s v="Yes"/>
    <s v="Yes"/>
    <d v="2025-10-28T00:00:00"/>
    <d v="2026-12-06T00:00:00"/>
    <n v="279"/>
    <x v="0"/>
    <n v="0"/>
    <x v="0"/>
  </r>
  <r>
    <s v="VND-106"/>
    <s v="ISO 14001"/>
    <s v="Yes"/>
    <s v="Yes"/>
    <d v="2025-08-03T00:00:00"/>
    <d v="2027-03-05T00:00:00"/>
    <n v="368"/>
    <x v="0"/>
    <n v="0"/>
    <x v="0"/>
  </r>
  <r>
    <s v="VND-106"/>
    <s v="Safety Certificate"/>
    <s v="Yes"/>
    <s v="Yes"/>
    <d v="2024-07-21T00:00:00"/>
    <d v="2027-05-08T00:00:00"/>
    <n v="432"/>
    <x v="0"/>
    <n v="0"/>
    <x v="1"/>
  </r>
  <r>
    <s v="VND-106"/>
    <s v="Environmental Policy"/>
    <s v="Yes"/>
    <s v="Yes"/>
    <d v="2025-05-14T00:00:00"/>
    <d v="2028-05-28T00:00:00"/>
    <n v="818"/>
    <x v="0"/>
    <n v="0"/>
    <x v="0"/>
  </r>
  <r>
    <s v="VND-106"/>
    <s v="Sustainability Disclosure"/>
    <s v="Yes"/>
    <s v="Yes"/>
    <d v="2025-11-21T00:00:00"/>
    <d v="2028-04-09T00:00:00"/>
    <n v="769"/>
    <x v="0"/>
    <n v="0"/>
    <x v="0"/>
  </r>
  <r>
    <s v="VND-107"/>
    <s v="ISO 14001"/>
    <s v="Yes"/>
    <s v="Yes"/>
    <d v="2025-03-22T00:00:00"/>
    <d v="2026-12-06T00:00:00"/>
    <n v="279"/>
    <x v="0"/>
    <n v="0"/>
    <x v="0"/>
  </r>
  <r>
    <s v="VND-107"/>
    <s v="Safety Certificate"/>
    <s v="Yes"/>
    <s v="Yes"/>
    <d v="2025-10-18T00:00:00"/>
    <d v="2026-12-20T00:00:00"/>
    <n v="293"/>
    <x v="0"/>
    <n v="0"/>
    <x v="1"/>
  </r>
  <r>
    <s v="VND-107"/>
    <s v="Environmental Policy"/>
    <s v="Yes"/>
    <s v="Yes"/>
    <d v="2025-09-27T00:00:00"/>
    <d v="2026-09-05T00:00:00"/>
    <n v="187"/>
    <x v="0"/>
    <n v="0"/>
    <x v="0"/>
  </r>
  <r>
    <s v="VND-107"/>
    <s v="Sustainability Disclosure"/>
    <s v="Yes"/>
    <s v="Yes"/>
    <d v="2024-07-22T00:00:00"/>
    <d v="2027-07-04T00:00:00"/>
    <n v="489"/>
    <x v="0"/>
    <n v="0"/>
    <x v="0"/>
  </r>
  <r>
    <s v="VND-108"/>
    <s v="ISO 14001"/>
    <s v="Yes"/>
    <s v="Yes"/>
    <d v="2024-04-27T00:00:00"/>
    <d v="2028-01-22T00:00:00"/>
    <n v="691"/>
    <x v="0"/>
    <n v="0"/>
    <x v="0"/>
  </r>
  <r>
    <s v="VND-108"/>
    <s v="Safety Certificate"/>
    <s v="Yes"/>
    <s v="Yes"/>
    <d v="2025-06-21T00:00:00"/>
    <d v="2028-03-16T00:00:00"/>
    <n v="745"/>
    <x v="0"/>
    <n v="0"/>
    <x v="1"/>
  </r>
  <r>
    <s v="VND-108"/>
    <s v="Environmental Policy"/>
    <s v="Yes"/>
    <s v="Yes"/>
    <d v="2025-07-18T00:00:00"/>
    <d v="2026-10-07T00:00:00"/>
    <n v="219"/>
    <x v="0"/>
    <n v="0"/>
    <x v="0"/>
  </r>
  <r>
    <s v="VND-108"/>
    <s v="Sustainability Disclosure"/>
    <s v="Yes"/>
    <s v="Yes"/>
    <d v="2026-01-05T00:00:00"/>
    <d v="2027-09-25T00:00:00"/>
    <n v="572"/>
    <x v="0"/>
    <n v="0"/>
    <x v="0"/>
  </r>
  <r>
    <s v="VND-109"/>
    <s v="ISO 14001"/>
    <s v="Yes"/>
    <s v="Yes"/>
    <d v="2025-06-21T00:00:00"/>
    <d v="2027-06-20T00:00:00"/>
    <n v="475"/>
    <x v="0"/>
    <n v="0"/>
    <x v="0"/>
  </r>
  <r>
    <s v="VND-109"/>
    <s v="Safety Certificate"/>
    <s v="Yes"/>
    <s v="Yes"/>
    <d v="2024-07-29T00:00:00"/>
    <d v="2028-05-15T00:00:00"/>
    <n v="805"/>
    <x v="0"/>
    <n v="0"/>
    <x v="1"/>
  </r>
  <r>
    <s v="VND-109"/>
    <s v="Environmental Policy"/>
    <s v="Yes"/>
    <s v="Yes"/>
    <d v="2026-02-11T00:00:00"/>
    <d v="2027-08-08T00:00:00"/>
    <n v="524"/>
    <x v="0"/>
    <n v="0"/>
    <x v="0"/>
  </r>
  <r>
    <s v="VND-109"/>
    <s v="Sustainability Disclosure"/>
    <s v="Yes"/>
    <s v="Yes"/>
    <d v="2025-04-22T00:00:00"/>
    <d v="2028-04-28T00:00:00"/>
    <n v="788"/>
    <x v="0"/>
    <n v="0"/>
    <x v="0"/>
  </r>
  <r>
    <s v="VND-110"/>
    <s v="ISO 14001"/>
    <s v="Yes"/>
    <s v="Yes"/>
    <d v="2024-10-31T00:00:00"/>
    <d v="2027-04-07T00:00:00"/>
    <n v="401"/>
    <x v="0"/>
    <n v="0"/>
    <x v="0"/>
  </r>
  <r>
    <s v="VND-110"/>
    <s v="Safety Certificate"/>
    <s v="Yes"/>
    <s v="Yes"/>
    <d v="2026-01-10T00:00:00"/>
    <d v="2027-03-11T00:00:00"/>
    <n v="374"/>
    <x v="0"/>
    <n v="0"/>
    <x v="1"/>
  </r>
  <r>
    <s v="VND-110"/>
    <s v="Environmental Policy"/>
    <s v="Yes"/>
    <s v="Yes"/>
    <d v="2024-12-30T00:00:00"/>
    <d v="2027-04-22T00:00:00"/>
    <n v="416"/>
    <x v="0"/>
    <n v="0"/>
    <x v="0"/>
  </r>
  <r>
    <s v="VND-110"/>
    <s v="Sustainability Disclosure"/>
    <s v="Yes"/>
    <s v="Yes"/>
    <d v="2025-02-01T00:00:00"/>
    <d v="2028-08-02T00:00:00"/>
    <n v="884"/>
    <x v="0"/>
    <n v="0"/>
    <x v="0"/>
  </r>
  <r>
    <s v="VND-111"/>
    <s v="ISO 14001"/>
    <s v="Yes"/>
    <s v="Yes"/>
    <d v="2024-04-14T00:00:00"/>
    <d v="2026-10-30T00:00:00"/>
    <n v="242"/>
    <x v="0"/>
    <n v="0"/>
    <x v="0"/>
  </r>
  <r>
    <s v="VND-111"/>
    <s v="Safety Certificate"/>
    <s v="Yes"/>
    <s v="Yes"/>
    <d v="2025-12-26T00:00:00"/>
    <d v="2028-05-15T00:00:00"/>
    <n v="805"/>
    <x v="0"/>
    <n v="0"/>
    <x v="1"/>
  </r>
  <r>
    <s v="VND-111"/>
    <s v="Environmental Policy"/>
    <s v="Yes"/>
    <s v="Yes"/>
    <d v="2025-07-26T00:00:00"/>
    <d v="2026-07-08T00:00:00"/>
    <n v="128"/>
    <x v="0"/>
    <n v="0"/>
    <x v="0"/>
  </r>
  <r>
    <s v="VND-111"/>
    <s v="Sustainability Disclosure"/>
    <s v="Yes"/>
    <s v="Yes"/>
    <d v="2025-11-27T00:00:00"/>
    <d v="2027-07-21T00:00:00"/>
    <n v="506"/>
    <x v="0"/>
    <n v="0"/>
    <x v="0"/>
  </r>
  <r>
    <s v="VND-112"/>
    <s v="ISO 14001"/>
    <s v="Yes"/>
    <s v="Yes"/>
    <d v="2024-11-08T00:00:00"/>
    <d v="2026-10-09T00:00:00"/>
    <n v="221"/>
    <x v="0"/>
    <n v="0"/>
    <x v="0"/>
  </r>
  <r>
    <s v="VND-112"/>
    <s v="Safety Certificate"/>
    <s v="Yes"/>
    <s v="Yes"/>
    <d v="2025-11-28T00:00:00"/>
    <d v="2026-10-12T00:00:00"/>
    <n v="224"/>
    <x v="0"/>
    <n v="0"/>
    <x v="1"/>
  </r>
  <r>
    <s v="VND-112"/>
    <s v="Environmental Policy"/>
    <s v="Yes"/>
    <s v="Yes"/>
    <d v="2024-11-12T00:00:00"/>
    <d v="2028-07-23T00:00:00"/>
    <n v="874"/>
    <x v="0"/>
    <n v="0"/>
    <x v="0"/>
  </r>
  <r>
    <s v="VND-112"/>
    <s v="Sustainability Disclosure"/>
    <s v="Yes"/>
    <s v="Yes"/>
    <d v="2024-08-28T00:00:00"/>
    <d v="2026-10-07T00:00:00"/>
    <n v="219"/>
    <x v="0"/>
    <n v="0"/>
    <x v="0"/>
  </r>
  <r>
    <s v="VND-113"/>
    <s v="ISO 14001"/>
    <s v="Yes"/>
    <s v="Yes"/>
    <d v="2024-05-29T00:00:00"/>
    <d v="2026-09-21T00:00:00"/>
    <n v="203"/>
    <x v="0"/>
    <n v="0"/>
    <x v="0"/>
  </r>
  <r>
    <s v="VND-113"/>
    <s v="Safety Certificate"/>
    <s v="Yes"/>
    <s v="Yes"/>
    <d v="2026-02-09T00:00:00"/>
    <d v="2027-06-18T00:00:00"/>
    <n v="473"/>
    <x v="0"/>
    <n v="0"/>
    <x v="1"/>
  </r>
  <r>
    <s v="VND-113"/>
    <s v="Environmental Policy"/>
    <s v="Yes"/>
    <s v="Yes"/>
    <d v="2025-06-06T00:00:00"/>
    <d v="2026-07-09T00:00:00"/>
    <n v="129"/>
    <x v="0"/>
    <n v="0"/>
    <x v="0"/>
  </r>
  <r>
    <s v="VND-113"/>
    <s v="Sustainability Disclosure"/>
    <s v="Yes"/>
    <s v="Yes"/>
    <d v="2025-12-28T00:00:00"/>
    <d v="2028-04-23T00:00:00"/>
    <n v="783"/>
    <x v="0"/>
    <n v="0"/>
    <x v="0"/>
  </r>
  <r>
    <s v="VND-114"/>
    <s v="ISO 14001"/>
    <s v="Yes"/>
    <s v="Yes"/>
    <d v="2025-02-09T00:00:00"/>
    <d v="2027-10-07T00:00:00"/>
    <n v="584"/>
    <x v="0"/>
    <n v="0"/>
    <x v="0"/>
  </r>
  <r>
    <s v="VND-114"/>
    <s v="Safety Certificate"/>
    <s v="Yes"/>
    <s v="Yes"/>
    <d v="2025-08-17T00:00:00"/>
    <d v="2028-01-11T00:00:00"/>
    <n v="680"/>
    <x v="0"/>
    <n v="0"/>
    <x v="1"/>
  </r>
  <r>
    <s v="VND-114"/>
    <s v="Environmental Policy"/>
    <s v="Yes"/>
    <s v="Yes"/>
    <d v="2024-09-19T00:00:00"/>
    <d v="2027-06-16T00:00:00"/>
    <n v="471"/>
    <x v="0"/>
    <n v="0"/>
    <x v="0"/>
  </r>
  <r>
    <s v="VND-114"/>
    <s v="Sustainability Disclosure"/>
    <s v="Yes"/>
    <s v="Yes"/>
    <d v="2025-10-23T00:00:00"/>
    <d v="2027-04-02T00:00:00"/>
    <n v="396"/>
    <x v="0"/>
    <n v="0"/>
    <x v="0"/>
  </r>
  <r>
    <s v="VND-115"/>
    <s v="ISO 14001"/>
    <s v="Yes"/>
    <s v="Yes"/>
    <d v="2025-01-21T00:00:00"/>
    <d v="2027-12-14T00:00:00"/>
    <n v="652"/>
    <x v="0"/>
    <n v="0"/>
    <x v="0"/>
  </r>
  <r>
    <s v="VND-115"/>
    <s v="Safety Certificate"/>
    <s v="Yes"/>
    <s v="Yes"/>
    <d v="2024-05-27T00:00:00"/>
    <d v="2026-09-03T00:00:00"/>
    <n v="185"/>
    <x v="0"/>
    <n v="0"/>
    <x v="1"/>
  </r>
  <r>
    <s v="VND-115"/>
    <s v="Environmental Policy"/>
    <s v="Yes"/>
    <s v="Yes"/>
    <d v="2026-01-20T00:00:00"/>
    <d v="2027-10-02T00:00:00"/>
    <n v="579"/>
    <x v="0"/>
    <n v="0"/>
    <x v="0"/>
  </r>
  <r>
    <s v="VND-115"/>
    <s v="Sustainability Disclosure"/>
    <s v="Yes"/>
    <s v="Yes"/>
    <d v="2025-10-11T00:00:00"/>
    <d v="2027-07-13T00:00:00"/>
    <n v="498"/>
    <x v="0"/>
    <n v="0"/>
    <x v="0"/>
  </r>
  <r>
    <s v="VND-116"/>
    <s v="ISO 14001"/>
    <s v="Yes"/>
    <s v="Yes"/>
    <d v="2025-03-24T00:00:00"/>
    <d v="2026-12-12T00:00:00"/>
    <n v="285"/>
    <x v="0"/>
    <n v="0"/>
    <x v="0"/>
  </r>
  <r>
    <s v="VND-116"/>
    <s v="Safety Certificate"/>
    <s v="Yes"/>
    <s v="Yes"/>
    <d v="2024-04-13T00:00:00"/>
    <d v="2028-06-10T00:00:00"/>
    <n v="831"/>
    <x v="0"/>
    <n v="0"/>
    <x v="1"/>
  </r>
  <r>
    <s v="VND-116"/>
    <s v="Environmental Policy"/>
    <s v="Yes"/>
    <s v="Yes"/>
    <d v="2024-12-09T00:00:00"/>
    <d v="2028-03-25T00:00:00"/>
    <n v="754"/>
    <x v="0"/>
    <n v="0"/>
    <x v="0"/>
  </r>
  <r>
    <s v="VND-116"/>
    <s v="Sustainability Disclosure"/>
    <s v="Yes"/>
    <s v="Yes"/>
    <d v="2025-10-31T00:00:00"/>
    <d v="2027-10-26T00:00:00"/>
    <n v="603"/>
    <x v="0"/>
    <n v="0"/>
    <x v="0"/>
  </r>
  <r>
    <s v="VND-117"/>
    <s v="ISO 14001"/>
    <s v="Yes"/>
    <s v="Yes"/>
    <d v="2025-10-16T00:00:00"/>
    <d v="2028-07-30T00:00:00"/>
    <n v="881"/>
    <x v="0"/>
    <n v="0"/>
    <x v="0"/>
  </r>
  <r>
    <s v="VND-117"/>
    <s v="Safety Certificate"/>
    <s v="Yes"/>
    <s v="Yes"/>
    <d v="2024-12-10T00:00:00"/>
    <d v="2028-06-26T00:00:00"/>
    <n v="847"/>
    <x v="0"/>
    <n v="0"/>
    <x v="1"/>
  </r>
  <r>
    <s v="VND-117"/>
    <s v="Environmental Policy"/>
    <s v="Yes"/>
    <s v="Yes"/>
    <d v="2025-10-30T00:00:00"/>
    <d v="2027-11-10T00:00:00"/>
    <n v="618"/>
    <x v="0"/>
    <n v="0"/>
    <x v="0"/>
  </r>
  <r>
    <s v="VND-117"/>
    <s v="Sustainability Disclosure"/>
    <s v="Yes"/>
    <s v="Yes"/>
    <d v="2025-11-06T00:00:00"/>
    <d v="2028-06-03T00:00:00"/>
    <n v="824"/>
    <x v="0"/>
    <n v="0"/>
    <x v="0"/>
  </r>
  <r>
    <s v="VND-118"/>
    <s v="ISO 14001"/>
    <s v="Yes"/>
    <s v="Yes"/>
    <d v="2025-03-07T00:00:00"/>
    <d v="2026-09-23T00:00:00"/>
    <n v="205"/>
    <x v="0"/>
    <n v="0"/>
    <x v="0"/>
  </r>
  <r>
    <s v="VND-118"/>
    <s v="Safety Certificate"/>
    <s v="Yes"/>
    <s v="Yes"/>
    <d v="2024-12-09T00:00:00"/>
    <d v="2027-02-03T00:00:00"/>
    <n v="338"/>
    <x v="0"/>
    <n v="0"/>
    <x v="1"/>
  </r>
  <r>
    <s v="VND-118"/>
    <s v="Environmental Policy"/>
    <s v="Yes"/>
    <s v="Yes"/>
    <d v="2024-12-30T00:00:00"/>
    <d v="2028-01-26T00:00:00"/>
    <n v="695"/>
    <x v="0"/>
    <n v="0"/>
    <x v="0"/>
  </r>
  <r>
    <s v="VND-118"/>
    <s v="Sustainability Disclosure"/>
    <s v="Yes"/>
    <s v="Yes"/>
    <d v="2025-10-20T00:00:00"/>
    <d v="2027-12-26T00:00:00"/>
    <n v="664"/>
    <x v="0"/>
    <n v="0"/>
    <x v="0"/>
  </r>
  <r>
    <s v="VND-119"/>
    <s v="ISO 14001"/>
    <s v="Yes"/>
    <s v="Yes"/>
    <d v="2024-08-17T00:00:00"/>
    <d v="2027-10-14T00:00:00"/>
    <n v="591"/>
    <x v="0"/>
    <n v="0"/>
    <x v="0"/>
  </r>
  <r>
    <s v="VND-119"/>
    <s v="Safety Certificate"/>
    <s v="Yes"/>
    <s v="Yes"/>
    <d v="2025-06-11T00:00:00"/>
    <d v="2027-06-02T00:00:00"/>
    <n v="457"/>
    <x v="0"/>
    <n v="0"/>
    <x v="1"/>
  </r>
  <r>
    <s v="VND-119"/>
    <s v="Environmental Policy"/>
    <s v="Yes"/>
    <s v="Yes"/>
    <d v="2024-07-07T00:00:00"/>
    <d v="2028-07-10T00:00:00"/>
    <n v="861"/>
    <x v="0"/>
    <n v="0"/>
    <x v="0"/>
  </r>
  <r>
    <s v="VND-119"/>
    <s v="Sustainability Disclosure"/>
    <s v="Yes"/>
    <s v="Yes"/>
    <d v="2025-04-06T00:00:00"/>
    <d v="2027-11-13T00:00:00"/>
    <n v="621"/>
    <x v="0"/>
    <n v="0"/>
    <x v="0"/>
  </r>
  <r>
    <s v="VND-120"/>
    <s v="ISO 14001"/>
    <s v="Yes"/>
    <s v="Yes"/>
    <d v="2026-02-17T00:00:00"/>
    <d v="2027-09-05T00:00:00"/>
    <n v="552"/>
    <x v="0"/>
    <n v="0"/>
    <x v="0"/>
  </r>
  <r>
    <s v="VND-120"/>
    <s v="Safety Certificate"/>
    <s v="Yes"/>
    <s v="Yes"/>
    <d v="2025-04-23T00:00:00"/>
    <d v="2026-08-10T00:00:00"/>
    <n v="161"/>
    <x v="0"/>
    <n v="0"/>
    <x v="1"/>
  </r>
  <r>
    <s v="VND-120"/>
    <s v="Environmental Policy"/>
    <s v="Yes"/>
    <s v="Yes"/>
    <d v="2024-04-24T00:00:00"/>
    <d v="2028-08-07T00:00:00"/>
    <n v="889"/>
    <x v="0"/>
    <n v="0"/>
    <x v="0"/>
  </r>
  <r>
    <s v="VND-120"/>
    <s v="Sustainability Disclosure"/>
    <s v="Yes"/>
    <s v="Yes"/>
    <d v="2024-06-12T00:00:00"/>
    <d v="2027-06-29T00:00:00"/>
    <n v="484"/>
    <x v="0"/>
    <n v="0"/>
    <x v="0"/>
  </r>
  <r>
    <s v="VND-121"/>
    <s v="ISO 14001"/>
    <s v="Yes"/>
    <s v="Yes"/>
    <d v="2025-02-17T00:00:00"/>
    <d v="2026-08-20T00:00:00"/>
    <n v="171"/>
    <x v="0"/>
    <n v="0"/>
    <x v="0"/>
  </r>
  <r>
    <s v="VND-121"/>
    <s v="Safety Certificate"/>
    <s v="Yes"/>
    <s v="Yes"/>
    <d v="2025-09-02T00:00:00"/>
    <d v="2027-01-08T00:00:00"/>
    <n v="312"/>
    <x v="0"/>
    <n v="0"/>
    <x v="1"/>
  </r>
  <r>
    <s v="VND-121"/>
    <s v="Environmental Policy"/>
    <s v="Yes"/>
    <s v="Yes"/>
    <d v="2025-09-11T00:00:00"/>
    <d v="2028-04-02T00:00:00"/>
    <n v="762"/>
    <x v="0"/>
    <n v="0"/>
    <x v="0"/>
  </r>
  <r>
    <s v="VND-121"/>
    <s v="Sustainability Disclosure"/>
    <s v="Yes"/>
    <s v="Yes"/>
    <d v="2024-08-18T00:00:00"/>
    <d v="2028-07-13T00:00:00"/>
    <n v="864"/>
    <x v="0"/>
    <n v="0"/>
    <x v="0"/>
  </r>
  <r>
    <s v="VND-122"/>
    <s v="ISO 14001"/>
    <s v="Yes"/>
    <s v="Yes"/>
    <d v="2024-06-01T00:00:00"/>
    <d v="2027-04-10T00:00:00"/>
    <n v="404"/>
    <x v="0"/>
    <n v="0"/>
    <x v="0"/>
  </r>
  <r>
    <s v="VND-122"/>
    <s v="Safety Certificate"/>
    <s v="Yes"/>
    <s v="Yes"/>
    <d v="2024-12-13T00:00:00"/>
    <d v="2028-01-25T00:00:00"/>
    <n v="694"/>
    <x v="0"/>
    <n v="0"/>
    <x v="1"/>
  </r>
  <r>
    <s v="VND-122"/>
    <s v="Environmental Policy"/>
    <s v="Yes"/>
    <s v="Yes"/>
    <d v="2024-06-17T00:00:00"/>
    <d v="2028-06-13T00:00:00"/>
    <n v="834"/>
    <x v="0"/>
    <n v="0"/>
    <x v="0"/>
  </r>
  <r>
    <s v="VND-122"/>
    <s v="Sustainability Disclosure"/>
    <s v="Yes"/>
    <s v="Yes"/>
    <d v="2024-11-12T00:00:00"/>
    <d v="2027-02-26T00:00:00"/>
    <n v="361"/>
    <x v="0"/>
    <n v="0"/>
    <x v="0"/>
  </r>
  <r>
    <s v="VND-123"/>
    <s v="ISO 14001"/>
    <s v="Yes"/>
    <s v="Yes"/>
    <d v="2024-05-18T00:00:00"/>
    <d v="2028-03-02T00:00:00"/>
    <n v="731"/>
    <x v="0"/>
    <n v="0"/>
    <x v="0"/>
  </r>
  <r>
    <s v="VND-123"/>
    <s v="Safety Certificate"/>
    <s v="Yes"/>
    <s v="Yes"/>
    <d v="2024-12-17T00:00:00"/>
    <d v="2026-09-23T00:00:00"/>
    <n v="205"/>
    <x v="0"/>
    <n v="0"/>
    <x v="1"/>
  </r>
  <r>
    <s v="VND-123"/>
    <s v="Environmental Policy"/>
    <s v="Yes"/>
    <s v="Yes"/>
    <d v="2024-06-02T00:00:00"/>
    <d v="2027-06-29T00:00:00"/>
    <n v="484"/>
    <x v="0"/>
    <n v="0"/>
    <x v="0"/>
  </r>
  <r>
    <s v="VND-123"/>
    <s v="Sustainability Disclosure"/>
    <s v="Yes"/>
    <s v="Yes"/>
    <d v="2024-09-30T00:00:00"/>
    <d v="2026-09-04T00:00:00"/>
    <n v="186"/>
    <x v="0"/>
    <n v="0"/>
    <x v="0"/>
  </r>
  <r>
    <s v="VND-124"/>
    <s v="ISO 14001"/>
    <s v="Yes"/>
    <s v="Yes"/>
    <d v="2025-09-20T00:00:00"/>
    <d v="2026-12-15T00:00:00"/>
    <n v="288"/>
    <x v="0"/>
    <n v="0"/>
    <x v="0"/>
  </r>
  <r>
    <s v="VND-124"/>
    <s v="Safety Certificate"/>
    <s v="Yes"/>
    <s v="Yes"/>
    <d v="2024-10-31T00:00:00"/>
    <d v="2026-08-01T00:00:00"/>
    <n v="152"/>
    <x v="0"/>
    <n v="0"/>
    <x v="1"/>
  </r>
  <r>
    <s v="VND-124"/>
    <s v="Environmental Policy"/>
    <s v="Yes"/>
    <s v="Yes"/>
    <d v="2025-01-28T00:00:00"/>
    <d v="2026-12-06T00:00:00"/>
    <n v="279"/>
    <x v="0"/>
    <n v="0"/>
    <x v="0"/>
  </r>
  <r>
    <s v="VND-124"/>
    <s v="Sustainability Disclosure"/>
    <s v="Yes"/>
    <s v="Yes"/>
    <d v="2025-03-15T00:00:00"/>
    <d v="2028-01-25T00:00:00"/>
    <n v="694"/>
    <x v="0"/>
    <n v="0"/>
    <x v="0"/>
  </r>
  <r>
    <s v="VND-125"/>
    <s v="ISO 14001"/>
    <s v="Yes"/>
    <s v="Yes"/>
    <d v="2024-08-28T00:00:00"/>
    <d v="2027-02-05T00:00:00"/>
    <n v="340"/>
    <x v="0"/>
    <n v="0"/>
    <x v="0"/>
  </r>
  <r>
    <s v="VND-125"/>
    <s v="Safety Certificate"/>
    <s v="Yes"/>
    <s v="Yes"/>
    <d v="2025-06-03T00:00:00"/>
    <d v="2027-06-12T00:00:00"/>
    <n v="467"/>
    <x v="0"/>
    <n v="0"/>
    <x v="1"/>
  </r>
  <r>
    <s v="VND-125"/>
    <s v="Environmental Policy"/>
    <s v="Yes"/>
    <s v="Yes"/>
    <d v="2024-04-04T00:00:00"/>
    <d v="2028-02-11T00:00:00"/>
    <n v="711"/>
    <x v="0"/>
    <n v="0"/>
    <x v="0"/>
  </r>
  <r>
    <s v="VND-125"/>
    <s v="Sustainability Disclosure"/>
    <s v="Yes"/>
    <s v="Yes"/>
    <d v="2024-08-15T00:00:00"/>
    <d v="2026-08-26T00:00:00"/>
    <n v="177"/>
    <x v="0"/>
    <n v="0"/>
    <x v="0"/>
  </r>
  <r>
    <s v="VND-126"/>
    <s v="ISO 14001"/>
    <s v="Yes"/>
    <s v="Yes"/>
    <d v="2024-04-12T00:00:00"/>
    <d v="2027-06-05T00:00:00"/>
    <n v="460"/>
    <x v="0"/>
    <n v="0"/>
    <x v="0"/>
  </r>
  <r>
    <s v="VND-126"/>
    <s v="Safety Certificate"/>
    <s v="Yes"/>
    <s v="Yes"/>
    <d v="2025-06-21T00:00:00"/>
    <d v="2028-07-29T00:00:00"/>
    <n v="880"/>
    <x v="0"/>
    <n v="0"/>
    <x v="1"/>
  </r>
  <r>
    <s v="VND-126"/>
    <s v="Environmental Policy"/>
    <s v="Yes"/>
    <s v="Yes"/>
    <d v="2025-10-24T00:00:00"/>
    <d v="2027-01-24T00:00:00"/>
    <n v="328"/>
    <x v="0"/>
    <n v="0"/>
    <x v="0"/>
  </r>
  <r>
    <s v="VND-126"/>
    <s v="Sustainability Disclosure"/>
    <s v="Yes"/>
    <s v="Yes"/>
    <d v="2025-09-24T00:00:00"/>
    <d v="2027-10-23T00:00:00"/>
    <n v="600"/>
    <x v="0"/>
    <n v="0"/>
    <x v="0"/>
  </r>
  <r>
    <s v="VND-127"/>
    <s v="ISO 14001"/>
    <s v="Yes"/>
    <s v="Yes"/>
    <d v="2024-08-30T00:00:00"/>
    <d v="2028-04-02T00:00:00"/>
    <n v="762"/>
    <x v="0"/>
    <n v="0"/>
    <x v="0"/>
  </r>
  <r>
    <s v="VND-127"/>
    <s v="Safety Certificate"/>
    <s v="Yes"/>
    <s v="Yes"/>
    <d v="2025-06-16T00:00:00"/>
    <d v="2028-01-19T00:00:00"/>
    <n v="688"/>
    <x v="0"/>
    <n v="0"/>
    <x v="1"/>
  </r>
  <r>
    <s v="VND-127"/>
    <s v="Environmental Policy"/>
    <s v="Yes"/>
    <s v="Yes"/>
    <d v="2026-02-07T00:00:00"/>
    <d v="2028-08-16T00:00:00"/>
    <n v="898"/>
    <x v="0"/>
    <n v="0"/>
    <x v="0"/>
  </r>
  <r>
    <s v="VND-127"/>
    <s v="Sustainability Disclosure"/>
    <s v="Yes"/>
    <s v="Yes"/>
    <d v="2024-09-21T00:00:00"/>
    <d v="2027-05-27T00:00:00"/>
    <n v="451"/>
    <x v="0"/>
    <n v="0"/>
    <x v="0"/>
  </r>
  <r>
    <s v="VND-128"/>
    <s v="ISO 14001"/>
    <s v="Yes"/>
    <s v="Yes"/>
    <d v="2024-11-09T00:00:00"/>
    <d v="2028-04-28T00:00:00"/>
    <n v="788"/>
    <x v="0"/>
    <n v="0"/>
    <x v="0"/>
  </r>
  <r>
    <s v="VND-128"/>
    <s v="Safety Certificate"/>
    <s v="Yes"/>
    <s v="Yes"/>
    <d v="2025-09-18T00:00:00"/>
    <d v="2026-06-30T00:00:00"/>
    <n v="120"/>
    <x v="0"/>
    <n v="0"/>
    <x v="1"/>
  </r>
  <r>
    <s v="VND-128"/>
    <s v="Environmental Policy"/>
    <s v="Yes"/>
    <s v="Yes"/>
    <d v="2024-12-13T00:00:00"/>
    <d v="2028-08-04T00:00:00"/>
    <n v="886"/>
    <x v="0"/>
    <n v="0"/>
    <x v="0"/>
  </r>
  <r>
    <s v="VND-128"/>
    <s v="Sustainability Disclosure"/>
    <s v="Yes"/>
    <s v="Yes"/>
    <d v="2025-09-06T00:00:00"/>
    <d v="2028-04-12T00:00:00"/>
    <n v="772"/>
    <x v="0"/>
    <n v="0"/>
    <x v="0"/>
  </r>
  <r>
    <s v="VND-129"/>
    <s v="ISO 14001"/>
    <s v="Yes"/>
    <s v="Yes"/>
    <d v="2026-02-02T00:00:00"/>
    <d v="2027-11-13T00:00:00"/>
    <n v="621"/>
    <x v="0"/>
    <n v="0"/>
    <x v="0"/>
  </r>
  <r>
    <s v="VND-129"/>
    <s v="Safety Certificate"/>
    <s v="Yes"/>
    <s v="Yes"/>
    <d v="2025-08-04T00:00:00"/>
    <d v="2027-09-30T00:00:00"/>
    <n v="577"/>
    <x v="0"/>
    <n v="0"/>
    <x v="1"/>
  </r>
  <r>
    <s v="VND-129"/>
    <s v="Environmental Policy"/>
    <s v="Yes"/>
    <s v="Yes"/>
    <d v="2024-07-24T00:00:00"/>
    <d v="2026-07-20T00:00:00"/>
    <n v="140"/>
    <x v="0"/>
    <n v="0"/>
    <x v="0"/>
  </r>
  <r>
    <s v="VND-129"/>
    <s v="Sustainability Disclosure"/>
    <s v="Yes"/>
    <s v="Yes"/>
    <d v="2024-11-23T00:00:00"/>
    <d v="2027-11-13T00:00:00"/>
    <n v="621"/>
    <x v="0"/>
    <n v="0"/>
    <x v="0"/>
  </r>
  <r>
    <s v="VND-130"/>
    <s v="ISO 14001"/>
    <s v="Yes"/>
    <s v="Yes"/>
    <d v="2025-04-30T00:00:00"/>
    <d v="2027-11-16T00:00:00"/>
    <n v="624"/>
    <x v="0"/>
    <n v="0"/>
    <x v="0"/>
  </r>
  <r>
    <s v="VND-130"/>
    <s v="Safety Certificate"/>
    <s v="Yes"/>
    <s v="Yes"/>
    <d v="2024-09-09T00:00:00"/>
    <d v="2028-03-17T00:00:00"/>
    <n v="746"/>
    <x v="0"/>
    <n v="0"/>
    <x v="1"/>
  </r>
  <r>
    <s v="VND-130"/>
    <s v="Environmental Policy"/>
    <s v="Yes"/>
    <s v="Yes"/>
    <d v="2024-12-02T00:00:00"/>
    <d v="2028-05-20T00:00:00"/>
    <n v="810"/>
    <x v="0"/>
    <n v="0"/>
    <x v="0"/>
  </r>
  <r>
    <s v="VND-130"/>
    <s v="Sustainability Disclosure"/>
    <s v="Yes"/>
    <s v="Yes"/>
    <d v="2025-01-04T00:00:00"/>
    <d v="2026-09-15T00:00:00"/>
    <n v="197"/>
    <x v="0"/>
    <n v="0"/>
    <x v="0"/>
  </r>
  <r>
    <s v="VND-131"/>
    <s v="ISO 14001"/>
    <s v="Yes"/>
    <s v="Yes"/>
    <d v="2025-08-07T00:00:00"/>
    <d v="2028-07-21T00:00:00"/>
    <n v="872"/>
    <x v="0"/>
    <n v="0"/>
    <x v="0"/>
  </r>
  <r>
    <s v="VND-131"/>
    <s v="Safety Certificate"/>
    <s v="Yes"/>
    <s v="Yes"/>
    <d v="2025-06-09T00:00:00"/>
    <d v="2026-11-29T00:00:00"/>
    <n v="272"/>
    <x v="0"/>
    <n v="0"/>
    <x v="1"/>
  </r>
  <r>
    <s v="VND-131"/>
    <s v="Environmental Policy"/>
    <s v="Yes"/>
    <s v="Yes"/>
    <d v="2025-07-03T00:00:00"/>
    <d v="2026-12-22T00:00:00"/>
    <n v="295"/>
    <x v="0"/>
    <n v="0"/>
    <x v="0"/>
  </r>
  <r>
    <s v="VND-131"/>
    <s v="Sustainability Disclosure"/>
    <s v="Yes"/>
    <s v="Yes"/>
    <d v="2025-03-03T00:00:00"/>
    <d v="2027-09-16T00:00:00"/>
    <n v="563"/>
    <x v="0"/>
    <n v="0"/>
    <x v="0"/>
  </r>
  <r>
    <s v="VND-132"/>
    <s v="ISO 14001"/>
    <s v="Yes"/>
    <s v="Yes"/>
    <d v="2025-03-07T00:00:00"/>
    <d v="2028-02-11T00:00:00"/>
    <n v="711"/>
    <x v="0"/>
    <n v="0"/>
    <x v="0"/>
  </r>
  <r>
    <s v="VND-132"/>
    <s v="Safety Certificate"/>
    <s v="Yes"/>
    <s v="Yes"/>
    <d v="2024-09-09T00:00:00"/>
    <d v="2026-11-23T00:00:00"/>
    <n v="266"/>
    <x v="0"/>
    <n v="0"/>
    <x v="1"/>
  </r>
  <r>
    <s v="VND-132"/>
    <s v="Environmental Policy"/>
    <s v="Yes"/>
    <s v="Yes"/>
    <d v="2024-11-01T00:00:00"/>
    <d v="2028-07-18T00:00:00"/>
    <n v="869"/>
    <x v="0"/>
    <n v="0"/>
    <x v="0"/>
  </r>
  <r>
    <s v="VND-132"/>
    <s v="Sustainability Disclosure"/>
    <s v="Yes"/>
    <s v="Yes"/>
    <d v="2024-04-03T00:00:00"/>
    <d v="2026-10-05T00:00:00"/>
    <n v="217"/>
    <x v="0"/>
    <n v="0"/>
    <x v="0"/>
  </r>
  <r>
    <s v="VND-133"/>
    <s v="ISO 14001"/>
    <s v="Yes"/>
    <s v="Yes"/>
    <d v="2024-08-16T00:00:00"/>
    <d v="2027-01-29T00:00:00"/>
    <n v="333"/>
    <x v="0"/>
    <n v="0"/>
    <x v="0"/>
  </r>
  <r>
    <s v="VND-133"/>
    <s v="Safety Certificate"/>
    <s v="Yes"/>
    <s v="Yes"/>
    <d v="2025-09-07T00:00:00"/>
    <d v="2027-06-10T00:00:00"/>
    <n v="465"/>
    <x v="0"/>
    <n v="0"/>
    <x v="1"/>
  </r>
  <r>
    <s v="VND-133"/>
    <s v="Environmental Policy"/>
    <s v="Yes"/>
    <s v="Yes"/>
    <d v="2024-05-01T00:00:00"/>
    <d v="2027-09-18T00:00:00"/>
    <n v="565"/>
    <x v="0"/>
    <n v="0"/>
    <x v="0"/>
  </r>
  <r>
    <s v="VND-133"/>
    <s v="Sustainability Disclosure"/>
    <s v="Yes"/>
    <s v="Yes"/>
    <d v="2025-07-09T00:00:00"/>
    <d v="2027-01-06T00:00:00"/>
    <n v="310"/>
    <x v="0"/>
    <n v="0"/>
    <x v="0"/>
  </r>
  <r>
    <s v="VND-134"/>
    <s v="ISO 14001"/>
    <s v="Yes"/>
    <s v="Yes"/>
    <d v="2025-05-18T00:00:00"/>
    <d v="2027-06-09T00:00:00"/>
    <n v="464"/>
    <x v="0"/>
    <n v="0"/>
    <x v="0"/>
  </r>
  <r>
    <s v="VND-134"/>
    <s v="Safety Certificate"/>
    <s v="Yes"/>
    <s v="Yes"/>
    <d v="2025-05-28T00:00:00"/>
    <d v="2026-08-17T00:00:00"/>
    <n v="168"/>
    <x v="0"/>
    <n v="0"/>
    <x v="1"/>
  </r>
  <r>
    <s v="VND-134"/>
    <s v="Environmental Policy"/>
    <s v="Yes"/>
    <s v="Yes"/>
    <d v="2024-08-30T00:00:00"/>
    <d v="2028-01-27T00:00:00"/>
    <n v="696"/>
    <x v="0"/>
    <n v="0"/>
    <x v="0"/>
  </r>
  <r>
    <s v="VND-134"/>
    <s v="Sustainability Disclosure"/>
    <s v="Yes"/>
    <s v="Yes"/>
    <d v="2025-05-07T00:00:00"/>
    <d v="2027-06-11T00:00:00"/>
    <n v="466"/>
    <x v="0"/>
    <n v="0"/>
    <x v="0"/>
  </r>
  <r>
    <s v="VND-135"/>
    <s v="ISO 14001"/>
    <s v="Yes"/>
    <s v="Yes"/>
    <d v="2024-12-31T00:00:00"/>
    <d v="2027-10-06T00:00:00"/>
    <n v="583"/>
    <x v="0"/>
    <n v="0"/>
    <x v="0"/>
  </r>
  <r>
    <s v="VND-135"/>
    <s v="Safety Certificate"/>
    <s v="Yes"/>
    <s v="Yes"/>
    <d v="2025-02-15T00:00:00"/>
    <d v="2028-03-09T00:00:00"/>
    <n v="738"/>
    <x v="0"/>
    <n v="0"/>
    <x v="1"/>
  </r>
  <r>
    <s v="VND-135"/>
    <s v="Environmental Policy"/>
    <s v="Yes"/>
    <s v="Yes"/>
    <d v="2026-01-30T00:00:00"/>
    <d v="2028-03-20T00:00:00"/>
    <n v="749"/>
    <x v="0"/>
    <n v="0"/>
    <x v="0"/>
  </r>
  <r>
    <s v="VND-135"/>
    <s v="Sustainability Disclosure"/>
    <s v="Yes"/>
    <s v="Yes"/>
    <d v="2024-08-09T00:00:00"/>
    <d v="2027-04-17T00:00:00"/>
    <n v="411"/>
    <x v="0"/>
    <n v="0"/>
    <x v="0"/>
  </r>
  <r>
    <s v="VND-136"/>
    <s v="ISO 14001"/>
    <s v="Yes"/>
    <s v="Yes"/>
    <d v="2024-11-16T00:00:00"/>
    <d v="2026-08-17T00:00:00"/>
    <n v="168"/>
    <x v="0"/>
    <n v="0"/>
    <x v="0"/>
  </r>
  <r>
    <s v="VND-136"/>
    <s v="Safety Certificate"/>
    <s v="Yes"/>
    <s v="Yes"/>
    <d v="2025-09-05T00:00:00"/>
    <d v="2028-08-16T00:00:00"/>
    <n v="898"/>
    <x v="0"/>
    <n v="0"/>
    <x v="1"/>
  </r>
  <r>
    <s v="VND-136"/>
    <s v="Environmental Policy"/>
    <s v="Yes"/>
    <s v="Yes"/>
    <d v="2025-07-30T00:00:00"/>
    <d v="2028-04-29T00:00:00"/>
    <n v="789"/>
    <x v="0"/>
    <n v="0"/>
    <x v="0"/>
  </r>
  <r>
    <s v="VND-136"/>
    <s v="Sustainability Disclosure"/>
    <s v="Yes"/>
    <s v="Yes"/>
    <d v="2025-11-13T00:00:00"/>
    <d v="2026-10-21T00:00:00"/>
    <n v="233"/>
    <x v="0"/>
    <n v="0"/>
    <x v="0"/>
  </r>
  <r>
    <s v="VND-137"/>
    <s v="ISO 14001"/>
    <s v="Yes"/>
    <s v="Yes"/>
    <d v="2025-04-21T00:00:00"/>
    <d v="2027-04-05T00:00:00"/>
    <n v="399"/>
    <x v="0"/>
    <n v="0"/>
    <x v="0"/>
  </r>
  <r>
    <s v="VND-137"/>
    <s v="Safety Certificate"/>
    <s v="Yes"/>
    <s v="Yes"/>
    <d v="2025-12-26T00:00:00"/>
    <d v="2027-12-21T00:00:00"/>
    <n v="659"/>
    <x v="0"/>
    <n v="0"/>
    <x v="1"/>
  </r>
  <r>
    <s v="VND-137"/>
    <s v="Environmental Policy"/>
    <s v="Yes"/>
    <s v="Yes"/>
    <d v="2024-12-21T00:00:00"/>
    <d v="2027-01-31T00:00:00"/>
    <n v="335"/>
    <x v="0"/>
    <n v="0"/>
    <x v="0"/>
  </r>
  <r>
    <s v="VND-137"/>
    <s v="Sustainability Disclosure"/>
    <s v="Yes"/>
    <s v="Yes"/>
    <d v="2026-02-05T00:00:00"/>
    <d v="2027-10-11T00:00:00"/>
    <n v="588"/>
    <x v="0"/>
    <n v="0"/>
    <x v="0"/>
  </r>
  <r>
    <s v="VND-138"/>
    <s v="ISO 14001"/>
    <s v="Yes"/>
    <s v="Yes"/>
    <d v="2025-08-15T00:00:00"/>
    <d v="2027-04-20T00:00:00"/>
    <n v="414"/>
    <x v="0"/>
    <n v="0"/>
    <x v="0"/>
  </r>
  <r>
    <s v="VND-138"/>
    <s v="Safety Certificate"/>
    <s v="Yes"/>
    <s v="Yes"/>
    <d v="2026-01-29T00:00:00"/>
    <d v="2027-03-02T00:00:00"/>
    <n v="365"/>
    <x v="0"/>
    <n v="0"/>
    <x v="1"/>
  </r>
  <r>
    <s v="VND-138"/>
    <s v="Environmental Policy"/>
    <s v="Yes"/>
    <s v="Yes"/>
    <d v="2024-04-09T00:00:00"/>
    <d v="2028-07-13T00:00:00"/>
    <n v="864"/>
    <x v="0"/>
    <n v="0"/>
    <x v="0"/>
  </r>
  <r>
    <s v="VND-138"/>
    <s v="Sustainability Disclosure"/>
    <s v="Yes"/>
    <s v="Yes"/>
    <d v="2024-11-26T00:00:00"/>
    <d v="2027-06-13T00:00:00"/>
    <n v="468"/>
    <x v="0"/>
    <n v="0"/>
    <x v="0"/>
  </r>
  <r>
    <s v="VND-139"/>
    <s v="ISO 14001"/>
    <s v="Yes"/>
    <s v="Yes"/>
    <d v="2024-08-24T00:00:00"/>
    <d v="2027-08-23T00:00:00"/>
    <n v="539"/>
    <x v="0"/>
    <n v="0"/>
    <x v="0"/>
  </r>
  <r>
    <s v="VND-139"/>
    <s v="Safety Certificate"/>
    <s v="Yes"/>
    <s v="Yes"/>
    <d v="2024-09-25T00:00:00"/>
    <d v="2028-07-11T00:00:00"/>
    <n v="862"/>
    <x v="0"/>
    <n v="0"/>
    <x v="1"/>
  </r>
  <r>
    <s v="VND-139"/>
    <s v="Environmental Policy"/>
    <s v="Yes"/>
    <s v="Yes"/>
    <d v="2025-05-10T00:00:00"/>
    <d v="2028-02-27T00:00:00"/>
    <n v="727"/>
    <x v="0"/>
    <n v="0"/>
    <x v="0"/>
  </r>
  <r>
    <s v="VND-139"/>
    <s v="Sustainability Disclosure"/>
    <s v="Yes"/>
    <s v="Yes"/>
    <d v="2024-04-22T00:00:00"/>
    <d v="2027-04-23T00:00:00"/>
    <n v="417"/>
    <x v="0"/>
    <n v="0"/>
    <x v="0"/>
  </r>
  <r>
    <s v="VND-140"/>
    <s v="ISO 14001"/>
    <s v="Yes"/>
    <s v="Yes"/>
    <d v="2024-09-21T00:00:00"/>
    <d v="2028-02-08T00:00:00"/>
    <n v="708"/>
    <x v="0"/>
    <n v="0"/>
    <x v="0"/>
  </r>
  <r>
    <s v="VND-140"/>
    <s v="Safety Certificate"/>
    <s v="Yes"/>
    <s v="Yes"/>
    <d v="2024-10-28T00:00:00"/>
    <d v="2027-01-24T00:00:00"/>
    <n v="328"/>
    <x v="0"/>
    <n v="0"/>
    <x v="1"/>
  </r>
  <r>
    <s v="VND-140"/>
    <s v="Environmental Policy"/>
    <s v="Yes"/>
    <s v="Yes"/>
    <d v="2025-08-05T00:00:00"/>
    <d v="2026-10-14T00:00:00"/>
    <n v="226"/>
    <x v="0"/>
    <n v="0"/>
    <x v="0"/>
  </r>
  <r>
    <s v="VND-140"/>
    <s v="Sustainability Disclosure"/>
    <s v="Yes"/>
    <s v="Yes"/>
    <d v="2025-01-05T00:00:00"/>
    <d v="2026-12-07T00:00:00"/>
    <n v="280"/>
    <x v="0"/>
    <n v="0"/>
    <x v="0"/>
  </r>
  <r>
    <s v="VND-141"/>
    <s v="ISO 14001"/>
    <s v="Yes"/>
    <s v="Yes"/>
    <d v="2024-04-15T00:00:00"/>
    <d v="2026-12-06T00:00:00"/>
    <n v="279"/>
    <x v="0"/>
    <n v="0"/>
    <x v="0"/>
  </r>
  <r>
    <s v="VND-141"/>
    <s v="Safety Certificate"/>
    <s v="Yes"/>
    <s v="Yes"/>
    <d v="2024-11-01T00:00:00"/>
    <d v="2026-11-03T00:00:00"/>
    <n v="246"/>
    <x v="0"/>
    <n v="0"/>
    <x v="1"/>
  </r>
  <r>
    <s v="VND-141"/>
    <s v="Environmental Policy"/>
    <s v="Yes"/>
    <s v="Yes"/>
    <d v="2025-05-26T00:00:00"/>
    <d v="2027-01-16T00:00:00"/>
    <n v="320"/>
    <x v="0"/>
    <n v="0"/>
    <x v="0"/>
  </r>
  <r>
    <s v="VND-141"/>
    <s v="Sustainability Disclosure"/>
    <s v="Yes"/>
    <s v="Yes"/>
    <d v="2024-09-24T00:00:00"/>
    <d v="2027-02-18T00:00:00"/>
    <n v="353"/>
    <x v="0"/>
    <n v="0"/>
    <x v="0"/>
  </r>
  <r>
    <s v="VND-142"/>
    <s v="ISO 14001"/>
    <s v="Yes"/>
    <s v="Yes"/>
    <d v="2024-09-22T00:00:00"/>
    <d v="2028-05-09T00:00:00"/>
    <n v="799"/>
    <x v="0"/>
    <n v="0"/>
    <x v="0"/>
  </r>
  <r>
    <s v="VND-142"/>
    <s v="Safety Certificate"/>
    <s v="Yes"/>
    <s v="Yes"/>
    <d v="2025-06-30T00:00:00"/>
    <d v="2027-09-11T00:00:00"/>
    <n v="558"/>
    <x v="0"/>
    <n v="0"/>
    <x v="1"/>
  </r>
  <r>
    <s v="VND-142"/>
    <s v="Environmental Policy"/>
    <s v="Yes"/>
    <s v="Yes"/>
    <d v="2024-08-31T00:00:00"/>
    <d v="2026-08-30T00:00:00"/>
    <n v="181"/>
    <x v="0"/>
    <n v="0"/>
    <x v="0"/>
  </r>
  <r>
    <s v="VND-142"/>
    <s v="Sustainability Disclosure"/>
    <s v="Yes"/>
    <s v="Yes"/>
    <d v="2024-11-07T00:00:00"/>
    <d v="2027-12-15T00:00:00"/>
    <n v="653"/>
    <x v="0"/>
    <n v="0"/>
    <x v="0"/>
  </r>
  <r>
    <s v="VND-143"/>
    <s v="ISO 14001"/>
    <s v="Yes"/>
    <s v="Yes"/>
    <d v="2026-02-01T00:00:00"/>
    <d v="2026-11-19T00:00:00"/>
    <n v="262"/>
    <x v="0"/>
    <n v="0"/>
    <x v="0"/>
  </r>
  <r>
    <s v="VND-143"/>
    <s v="Safety Certificate"/>
    <s v="Yes"/>
    <s v="Yes"/>
    <d v="2024-04-05T00:00:00"/>
    <d v="2026-11-11T00:00:00"/>
    <n v="254"/>
    <x v="0"/>
    <n v="0"/>
    <x v="1"/>
  </r>
  <r>
    <s v="VND-143"/>
    <s v="Environmental Policy"/>
    <s v="Yes"/>
    <s v="Yes"/>
    <d v="2025-08-22T00:00:00"/>
    <d v="2028-03-08T00:00:00"/>
    <n v="737"/>
    <x v="0"/>
    <n v="0"/>
    <x v="0"/>
  </r>
  <r>
    <s v="VND-143"/>
    <s v="Sustainability Disclosure"/>
    <s v="Yes"/>
    <s v="Yes"/>
    <d v="2025-08-28T00:00:00"/>
    <d v="2027-06-01T00:00:00"/>
    <n v="456"/>
    <x v="0"/>
    <n v="0"/>
    <x v="0"/>
  </r>
  <r>
    <s v="VND-144"/>
    <s v="ISO 14001"/>
    <s v="Yes"/>
    <s v="Yes"/>
    <d v="2024-08-23T00:00:00"/>
    <d v="2027-05-20T00:00:00"/>
    <n v="444"/>
    <x v="0"/>
    <n v="0"/>
    <x v="0"/>
  </r>
  <r>
    <s v="VND-144"/>
    <s v="Safety Certificate"/>
    <s v="Yes"/>
    <s v="Yes"/>
    <d v="2024-08-22T00:00:00"/>
    <d v="2026-09-02T00:00:00"/>
    <n v="184"/>
    <x v="0"/>
    <n v="0"/>
    <x v="1"/>
  </r>
  <r>
    <s v="VND-144"/>
    <s v="Environmental Policy"/>
    <s v="Yes"/>
    <s v="Yes"/>
    <d v="2024-09-26T00:00:00"/>
    <d v="2027-02-18T00:00:00"/>
    <n v="353"/>
    <x v="0"/>
    <n v="0"/>
    <x v="0"/>
  </r>
  <r>
    <s v="VND-144"/>
    <s v="Sustainability Disclosure"/>
    <s v="Yes"/>
    <s v="Yes"/>
    <d v="2025-10-26T00:00:00"/>
    <d v="2028-08-04T00:00:00"/>
    <n v="886"/>
    <x v="0"/>
    <n v="0"/>
    <x v="0"/>
  </r>
  <r>
    <s v="VND-145"/>
    <s v="ISO 14001"/>
    <s v="Yes"/>
    <s v="Yes"/>
    <d v="2025-08-07T00:00:00"/>
    <d v="2028-01-17T00:00:00"/>
    <n v="686"/>
    <x v="0"/>
    <n v="0"/>
    <x v="0"/>
  </r>
  <r>
    <s v="VND-145"/>
    <s v="Safety Certificate"/>
    <s v="Yes"/>
    <s v="Yes"/>
    <d v="2025-04-06T00:00:00"/>
    <d v="2027-11-07T00:00:00"/>
    <n v="615"/>
    <x v="0"/>
    <n v="0"/>
    <x v="1"/>
  </r>
  <r>
    <s v="VND-145"/>
    <s v="Environmental Policy"/>
    <s v="Yes"/>
    <s v="Yes"/>
    <d v="2024-06-24T00:00:00"/>
    <d v="2027-08-20T00:00:00"/>
    <n v="536"/>
    <x v="0"/>
    <n v="0"/>
    <x v="0"/>
  </r>
  <r>
    <s v="VND-145"/>
    <s v="Sustainability Disclosure"/>
    <s v="Yes"/>
    <s v="Yes"/>
    <d v="2026-02-13T00:00:00"/>
    <d v="2026-10-15T00:00:00"/>
    <n v="227"/>
    <x v="0"/>
    <n v="0"/>
    <x v="0"/>
  </r>
  <r>
    <s v="VND-146"/>
    <s v="ISO 14001"/>
    <s v="Yes"/>
    <s v="Yes"/>
    <d v="2024-12-06T00:00:00"/>
    <d v="2028-07-19T00:00:00"/>
    <n v="870"/>
    <x v="0"/>
    <n v="0"/>
    <x v="0"/>
  </r>
  <r>
    <s v="VND-146"/>
    <s v="Safety Certificate"/>
    <s v="Yes"/>
    <s v="Yes"/>
    <d v="2026-01-20T00:00:00"/>
    <d v="2027-12-22T00:00:00"/>
    <n v="660"/>
    <x v="0"/>
    <n v="0"/>
    <x v="1"/>
  </r>
  <r>
    <s v="VND-146"/>
    <s v="Environmental Policy"/>
    <s v="Yes"/>
    <s v="Yes"/>
    <d v="2025-08-19T00:00:00"/>
    <d v="2028-01-14T00:00:00"/>
    <n v="683"/>
    <x v="0"/>
    <n v="0"/>
    <x v="0"/>
  </r>
  <r>
    <s v="VND-146"/>
    <s v="Sustainability Disclosure"/>
    <s v="Yes"/>
    <s v="Yes"/>
    <d v="2025-12-23T00:00:00"/>
    <d v="2028-02-06T00:00:00"/>
    <n v="706"/>
    <x v="0"/>
    <n v="0"/>
    <x v="0"/>
  </r>
  <r>
    <s v="VND-147"/>
    <s v="ISO 14001"/>
    <s v="Yes"/>
    <s v="Yes"/>
    <d v="2024-05-01T00:00:00"/>
    <d v="2027-08-23T00:00:00"/>
    <n v="539"/>
    <x v="0"/>
    <n v="0"/>
    <x v="0"/>
  </r>
  <r>
    <s v="VND-147"/>
    <s v="Safety Certificate"/>
    <s v="Yes"/>
    <s v="Yes"/>
    <d v="2025-08-12T00:00:00"/>
    <d v="2027-07-29T00:00:00"/>
    <n v="514"/>
    <x v="0"/>
    <n v="0"/>
    <x v="1"/>
  </r>
  <r>
    <s v="VND-147"/>
    <s v="Environmental Policy"/>
    <s v="Yes"/>
    <s v="Yes"/>
    <d v="2025-08-30T00:00:00"/>
    <d v="2028-05-29T00:00:00"/>
    <n v="819"/>
    <x v="0"/>
    <n v="0"/>
    <x v="0"/>
  </r>
  <r>
    <s v="VND-147"/>
    <s v="Sustainability Disclosure"/>
    <s v="Yes"/>
    <s v="Yes"/>
    <d v="2024-08-09T00:00:00"/>
    <d v="2028-02-24T00:00:00"/>
    <n v="724"/>
    <x v="0"/>
    <n v="0"/>
    <x v="0"/>
  </r>
  <r>
    <s v="VND-148"/>
    <s v="ISO 14001"/>
    <s v="Yes"/>
    <s v="Yes"/>
    <d v="2026-02-14T00:00:00"/>
    <d v="2028-04-05T00:00:00"/>
    <n v="765"/>
    <x v="0"/>
    <n v="0"/>
    <x v="0"/>
  </r>
  <r>
    <s v="VND-148"/>
    <s v="Safety Certificate"/>
    <s v="Yes"/>
    <s v="Yes"/>
    <d v="2025-08-30T00:00:00"/>
    <d v="2028-03-13T00:00:00"/>
    <n v="742"/>
    <x v="0"/>
    <n v="0"/>
    <x v="1"/>
  </r>
  <r>
    <s v="VND-148"/>
    <s v="Environmental Policy"/>
    <s v="Yes"/>
    <s v="Yes"/>
    <d v="2025-12-16T00:00:00"/>
    <d v="2028-01-20T00:00:00"/>
    <n v="689"/>
    <x v="0"/>
    <n v="0"/>
    <x v="0"/>
  </r>
  <r>
    <s v="VND-148"/>
    <s v="Sustainability Disclosure"/>
    <s v="Yes"/>
    <s v="Yes"/>
    <d v="2025-03-16T00:00:00"/>
    <d v="2026-11-24T00:00:00"/>
    <n v="267"/>
    <x v="0"/>
    <n v="0"/>
    <x v="0"/>
  </r>
  <r>
    <s v="VND-149"/>
    <s v="ISO 14001"/>
    <s v="Yes"/>
    <s v="Yes"/>
    <d v="2026-01-09T00:00:00"/>
    <d v="2028-01-14T00:00:00"/>
    <n v="683"/>
    <x v="0"/>
    <n v="0"/>
    <x v="0"/>
  </r>
  <r>
    <s v="VND-149"/>
    <s v="Safety Certificate"/>
    <s v="Yes"/>
    <s v="Yes"/>
    <d v="2025-10-02T00:00:00"/>
    <d v="2026-08-04T00:00:00"/>
    <n v="155"/>
    <x v="0"/>
    <n v="0"/>
    <x v="1"/>
  </r>
  <r>
    <s v="VND-149"/>
    <s v="Environmental Policy"/>
    <s v="Yes"/>
    <s v="Yes"/>
    <d v="2025-10-21T00:00:00"/>
    <d v="2027-08-26T00:00:00"/>
    <n v="542"/>
    <x v="0"/>
    <n v="0"/>
    <x v="0"/>
  </r>
  <r>
    <s v="VND-149"/>
    <s v="Sustainability Disclosure"/>
    <s v="Yes"/>
    <s v="Yes"/>
    <d v="2024-07-16T00:00:00"/>
    <d v="2028-03-28T00:00:00"/>
    <n v="757"/>
    <x v="0"/>
    <n v="0"/>
    <x v="0"/>
  </r>
  <r>
    <s v="VND-150"/>
    <s v="ISO 14001"/>
    <s v="Yes"/>
    <s v="Yes"/>
    <d v="2025-01-13T00:00:00"/>
    <d v="2028-06-26T00:00:00"/>
    <n v="847"/>
    <x v="0"/>
    <n v="0"/>
    <x v="0"/>
  </r>
  <r>
    <s v="VND-150"/>
    <s v="Safety Certificate"/>
    <s v="Yes"/>
    <s v="Yes"/>
    <d v="2024-09-06T00:00:00"/>
    <d v="2026-09-16T00:00:00"/>
    <n v="198"/>
    <x v="0"/>
    <n v="0"/>
    <x v="1"/>
  </r>
  <r>
    <s v="VND-150"/>
    <s v="Environmental Policy"/>
    <s v="Yes"/>
    <s v="Yes"/>
    <d v="2025-04-23T00:00:00"/>
    <d v="2027-10-01T00:00:00"/>
    <n v="578"/>
    <x v="0"/>
    <n v="0"/>
    <x v="0"/>
  </r>
  <r>
    <s v="VND-150"/>
    <s v="Sustainability Disclosure"/>
    <s v="Yes"/>
    <s v="Yes"/>
    <d v="2024-07-22T00:00:00"/>
    <d v="2027-02-22T00:00:00"/>
    <n v="357"/>
    <x v="0"/>
    <n v="0"/>
    <x v="0"/>
  </r>
  <r>
    <s v="VND-151"/>
    <s v="ISO 14001"/>
    <s v="Yes"/>
    <s v="Yes"/>
    <d v="2024-11-18T00:00:00"/>
    <d v="2027-08-11T00:00:00"/>
    <n v="527"/>
    <x v="0"/>
    <n v="0"/>
    <x v="0"/>
  </r>
  <r>
    <s v="VND-151"/>
    <s v="Safety Certificate"/>
    <s v="Yes"/>
    <s v="Yes"/>
    <d v="2024-10-13T00:00:00"/>
    <d v="2027-03-10T00:00:00"/>
    <n v="373"/>
    <x v="0"/>
    <n v="0"/>
    <x v="1"/>
  </r>
  <r>
    <s v="VND-151"/>
    <s v="Environmental Policy"/>
    <s v="Yes"/>
    <s v="Yes"/>
    <d v="2024-11-11T00:00:00"/>
    <d v="2028-03-02T00:00:00"/>
    <n v="731"/>
    <x v="0"/>
    <n v="0"/>
    <x v="0"/>
  </r>
  <r>
    <s v="VND-151"/>
    <s v="Sustainability Disclosure"/>
    <s v="Yes"/>
    <s v="Yes"/>
    <d v="2024-06-28T00:00:00"/>
    <d v="2028-02-19T00:00:00"/>
    <n v="719"/>
    <x v="0"/>
    <n v="0"/>
    <x v="0"/>
  </r>
  <r>
    <s v="VND-152"/>
    <s v="ISO 14001"/>
    <s v="Yes"/>
    <s v="Yes"/>
    <d v="2024-09-12T00:00:00"/>
    <d v="2027-03-07T00:00:00"/>
    <n v="370"/>
    <x v="0"/>
    <n v="0"/>
    <x v="0"/>
  </r>
  <r>
    <s v="VND-152"/>
    <s v="Safety Certificate"/>
    <s v="Yes"/>
    <s v="Yes"/>
    <d v="2025-09-01T00:00:00"/>
    <d v="2026-12-06T00:00:00"/>
    <n v="279"/>
    <x v="0"/>
    <n v="0"/>
    <x v="1"/>
  </r>
  <r>
    <s v="VND-152"/>
    <s v="Environmental Policy"/>
    <s v="Yes"/>
    <s v="Yes"/>
    <d v="2024-09-19T00:00:00"/>
    <d v="2027-03-03T00:00:00"/>
    <n v="366"/>
    <x v="0"/>
    <n v="0"/>
    <x v="0"/>
  </r>
  <r>
    <s v="VND-152"/>
    <s v="Sustainability Disclosure"/>
    <s v="Yes"/>
    <s v="Yes"/>
    <d v="2026-02-17T00:00:00"/>
    <d v="2027-12-11T00:00:00"/>
    <n v="649"/>
    <x v="0"/>
    <n v="0"/>
    <x v="0"/>
  </r>
  <r>
    <s v="VND-153"/>
    <s v="ISO 14001"/>
    <s v="Yes"/>
    <s v="Yes"/>
    <d v="2024-12-10T00:00:00"/>
    <d v="2028-07-19T00:00:00"/>
    <n v="870"/>
    <x v="0"/>
    <n v="0"/>
    <x v="0"/>
  </r>
  <r>
    <s v="VND-153"/>
    <s v="Safety Certificate"/>
    <s v="Yes"/>
    <s v="Yes"/>
    <d v="2024-06-07T00:00:00"/>
    <d v="2027-09-09T00:00:00"/>
    <n v="556"/>
    <x v="0"/>
    <n v="0"/>
    <x v="1"/>
  </r>
  <r>
    <s v="VND-153"/>
    <s v="Environmental Policy"/>
    <s v="Yes"/>
    <s v="Yes"/>
    <d v="2024-07-11T00:00:00"/>
    <d v="2028-05-03T00:00:00"/>
    <n v="793"/>
    <x v="0"/>
    <n v="0"/>
    <x v="0"/>
  </r>
  <r>
    <s v="VND-153"/>
    <s v="Sustainability Disclosure"/>
    <s v="Yes"/>
    <s v="Yes"/>
    <d v="2025-05-12T00:00:00"/>
    <d v="2027-01-08T00:00:00"/>
    <n v="312"/>
    <x v="0"/>
    <n v="0"/>
    <x v="0"/>
  </r>
  <r>
    <s v="VND-154"/>
    <s v="ISO 14001"/>
    <s v="Yes"/>
    <s v="Yes"/>
    <d v="2026-02-04T00:00:00"/>
    <d v="2027-01-17T00:00:00"/>
    <n v="321"/>
    <x v="0"/>
    <n v="0"/>
    <x v="0"/>
  </r>
  <r>
    <s v="VND-154"/>
    <s v="Safety Certificate"/>
    <s v="Yes"/>
    <s v="Yes"/>
    <d v="2025-11-04T00:00:00"/>
    <d v="2028-04-12T00:00:00"/>
    <n v="772"/>
    <x v="0"/>
    <n v="0"/>
    <x v="1"/>
  </r>
  <r>
    <s v="VND-154"/>
    <s v="Environmental Policy"/>
    <s v="Yes"/>
    <s v="Yes"/>
    <d v="2024-04-16T00:00:00"/>
    <d v="2028-01-15T00:00:00"/>
    <n v="684"/>
    <x v="0"/>
    <n v="0"/>
    <x v="0"/>
  </r>
  <r>
    <s v="VND-154"/>
    <s v="Sustainability Disclosure"/>
    <s v="Yes"/>
    <s v="Yes"/>
    <d v="2025-10-19T00:00:00"/>
    <d v="2026-07-08T00:00:00"/>
    <n v="128"/>
    <x v="0"/>
    <n v="0"/>
    <x v="0"/>
  </r>
  <r>
    <s v="VND-155"/>
    <s v="ISO 14001"/>
    <s v="Yes"/>
    <s v="Yes"/>
    <d v="2026-01-01T00:00:00"/>
    <d v="2027-03-25T00:00:00"/>
    <n v="388"/>
    <x v="0"/>
    <n v="0"/>
    <x v="0"/>
  </r>
  <r>
    <s v="VND-155"/>
    <s v="Safety Certificate"/>
    <s v="Yes"/>
    <s v="Yes"/>
    <d v="2025-12-29T00:00:00"/>
    <d v="2028-02-19T00:00:00"/>
    <n v="719"/>
    <x v="0"/>
    <n v="0"/>
    <x v="1"/>
  </r>
  <r>
    <s v="VND-155"/>
    <s v="Environmental Policy"/>
    <s v="Yes"/>
    <s v="Yes"/>
    <d v="2024-05-18T00:00:00"/>
    <d v="2027-07-06T00:00:00"/>
    <n v="491"/>
    <x v="0"/>
    <n v="0"/>
    <x v="0"/>
  </r>
  <r>
    <s v="VND-155"/>
    <s v="Sustainability Disclosure"/>
    <s v="Yes"/>
    <s v="Yes"/>
    <d v="2025-03-03T00:00:00"/>
    <d v="2027-01-24T00:00:00"/>
    <n v="328"/>
    <x v="0"/>
    <n v="0"/>
    <x v="0"/>
  </r>
  <r>
    <s v="VND-156"/>
    <s v="ISO 14001"/>
    <s v="Yes"/>
    <s v="Yes"/>
    <d v="2024-04-06T00:00:00"/>
    <d v="2028-07-22T00:00:00"/>
    <n v="873"/>
    <x v="0"/>
    <n v="0"/>
    <x v="0"/>
  </r>
  <r>
    <s v="VND-156"/>
    <s v="Safety Certificate"/>
    <s v="Yes"/>
    <s v="Yes"/>
    <d v="2025-11-11T00:00:00"/>
    <d v="2028-07-27T00:00:00"/>
    <n v="878"/>
    <x v="0"/>
    <n v="0"/>
    <x v="1"/>
  </r>
  <r>
    <s v="VND-156"/>
    <s v="Environmental Policy"/>
    <s v="Yes"/>
    <s v="Yes"/>
    <d v="2025-08-21T00:00:00"/>
    <d v="2028-07-04T00:00:00"/>
    <n v="855"/>
    <x v="0"/>
    <n v="0"/>
    <x v="0"/>
  </r>
  <r>
    <s v="VND-156"/>
    <s v="Sustainability Disclosure"/>
    <s v="Yes"/>
    <s v="Yes"/>
    <d v="2025-09-17T00:00:00"/>
    <d v="2027-06-25T00:00:00"/>
    <n v="480"/>
    <x v="0"/>
    <n v="0"/>
    <x v="0"/>
  </r>
  <r>
    <s v="VND-157"/>
    <s v="ISO 14001"/>
    <s v="Yes"/>
    <s v="Yes"/>
    <d v="2025-10-04T00:00:00"/>
    <d v="2028-06-10T00:00:00"/>
    <n v="831"/>
    <x v="0"/>
    <n v="0"/>
    <x v="0"/>
  </r>
  <r>
    <s v="VND-157"/>
    <s v="Safety Certificate"/>
    <s v="Yes"/>
    <s v="Yes"/>
    <d v="2024-12-11T00:00:00"/>
    <d v="2027-09-18T00:00:00"/>
    <n v="565"/>
    <x v="0"/>
    <n v="0"/>
    <x v="1"/>
  </r>
  <r>
    <s v="VND-157"/>
    <s v="Environmental Policy"/>
    <s v="Yes"/>
    <s v="Yes"/>
    <d v="2026-02-09T00:00:00"/>
    <d v="2027-06-02T00:00:00"/>
    <n v="457"/>
    <x v="0"/>
    <n v="0"/>
    <x v="0"/>
  </r>
  <r>
    <s v="VND-157"/>
    <s v="Sustainability Disclosure"/>
    <s v="Yes"/>
    <s v="Yes"/>
    <d v="2025-04-10T00:00:00"/>
    <d v="2027-12-27T00:00:00"/>
    <n v="665"/>
    <x v="0"/>
    <n v="0"/>
    <x v="0"/>
  </r>
  <r>
    <s v="VND-158"/>
    <s v="ISO 14001"/>
    <s v="Yes"/>
    <s v="Yes"/>
    <d v="2025-02-04T00:00:00"/>
    <d v="2026-10-24T00:00:00"/>
    <n v="236"/>
    <x v="0"/>
    <n v="0"/>
    <x v="0"/>
  </r>
  <r>
    <s v="VND-158"/>
    <s v="Safety Certificate"/>
    <s v="Yes"/>
    <s v="Yes"/>
    <d v="2025-11-25T00:00:00"/>
    <d v="2027-02-12T00:00:00"/>
    <n v="347"/>
    <x v="0"/>
    <n v="0"/>
    <x v="1"/>
  </r>
  <r>
    <s v="VND-158"/>
    <s v="Environmental Policy"/>
    <s v="Yes"/>
    <s v="Yes"/>
    <d v="2026-01-10T00:00:00"/>
    <d v="2028-01-27T00:00:00"/>
    <n v="696"/>
    <x v="0"/>
    <n v="0"/>
    <x v="0"/>
  </r>
  <r>
    <s v="VND-158"/>
    <s v="Sustainability Disclosure"/>
    <s v="Yes"/>
    <s v="Yes"/>
    <d v="2024-12-30T00:00:00"/>
    <d v="2028-06-22T00:00:00"/>
    <n v="843"/>
    <x v="0"/>
    <n v="0"/>
    <x v="0"/>
  </r>
  <r>
    <s v="VND-159"/>
    <s v="ISO 14001"/>
    <s v="Yes"/>
    <s v="Yes"/>
    <d v="2024-08-03T00:00:00"/>
    <d v="2028-04-19T00:00:00"/>
    <n v="779"/>
    <x v="0"/>
    <n v="0"/>
    <x v="0"/>
  </r>
  <r>
    <s v="VND-159"/>
    <s v="Safety Certificate"/>
    <s v="Yes"/>
    <s v="Yes"/>
    <d v="2025-11-04T00:00:00"/>
    <d v="2027-09-06T00:00:00"/>
    <n v="553"/>
    <x v="0"/>
    <n v="0"/>
    <x v="1"/>
  </r>
  <r>
    <s v="VND-159"/>
    <s v="Environmental Policy"/>
    <s v="Yes"/>
    <s v="Yes"/>
    <d v="2025-07-03T00:00:00"/>
    <d v="2026-10-27T00:00:00"/>
    <n v="239"/>
    <x v="0"/>
    <n v="0"/>
    <x v="0"/>
  </r>
  <r>
    <s v="VND-159"/>
    <s v="Sustainability Disclosure"/>
    <s v="Yes"/>
    <s v="Yes"/>
    <d v="2025-07-31T00:00:00"/>
    <d v="2026-12-12T00:00:00"/>
    <n v="285"/>
    <x v="0"/>
    <n v="0"/>
    <x v="0"/>
  </r>
  <r>
    <s v="VND-160"/>
    <s v="ISO 14001"/>
    <s v="Yes"/>
    <s v="Yes"/>
    <d v="2024-10-15T00:00:00"/>
    <d v="2027-05-02T00:00:00"/>
    <n v="426"/>
    <x v="0"/>
    <n v="0"/>
    <x v="0"/>
  </r>
  <r>
    <s v="VND-160"/>
    <s v="Safety Certificate"/>
    <s v="Yes"/>
    <s v="Yes"/>
    <d v="2025-08-20T00:00:00"/>
    <d v="2027-09-15T00:00:00"/>
    <n v="562"/>
    <x v="0"/>
    <n v="0"/>
    <x v="1"/>
  </r>
  <r>
    <s v="VND-160"/>
    <s v="Environmental Policy"/>
    <s v="Yes"/>
    <s v="Yes"/>
    <d v="2024-10-14T00:00:00"/>
    <d v="2027-12-04T00:00:00"/>
    <n v="642"/>
    <x v="0"/>
    <n v="0"/>
    <x v="0"/>
  </r>
  <r>
    <s v="VND-160"/>
    <s v="Sustainability Disclosure"/>
    <s v="Yes"/>
    <s v="Yes"/>
    <d v="2025-08-18T00:00:00"/>
    <d v="2027-07-04T00:00:00"/>
    <n v="489"/>
    <x v="0"/>
    <n v="0"/>
    <x v="0"/>
  </r>
  <r>
    <s v="VND-161"/>
    <s v="ISO 14001"/>
    <s v="Yes"/>
    <s v="Yes"/>
    <d v="2025-06-07T00:00:00"/>
    <d v="2028-05-13T00:00:00"/>
    <n v="803"/>
    <x v="0"/>
    <n v="0"/>
    <x v="0"/>
  </r>
  <r>
    <s v="VND-161"/>
    <s v="Safety Certificate"/>
    <s v="Yes"/>
    <s v="Yes"/>
    <d v="2025-08-20T00:00:00"/>
    <d v="2028-03-13T00:00:00"/>
    <n v="742"/>
    <x v="0"/>
    <n v="0"/>
    <x v="1"/>
  </r>
  <r>
    <s v="VND-161"/>
    <s v="Environmental Policy"/>
    <s v="Yes"/>
    <s v="Yes"/>
    <d v="2024-11-14T00:00:00"/>
    <d v="2027-11-30T00:00:00"/>
    <n v="638"/>
    <x v="0"/>
    <n v="0"/>
    <x v="0"/>
  </r>
  <r>
    <s v="VND-161"/>
    <s v="Sustainability Disclosure"/>
    <s v="Yes"/>
    <s v="Yes"/>
    <d v="2024-07-31T00:00:00"/>
    <d v="2027-05-04T00:00:00"/>
    <n v="428"/>
    <x v="0"/>
    <n v="0"/>
    <x v="0"/>
  </r>
  <r>
    <s v="VND-162"/>
    <s v="ISO 14001"/>
    <s v="Yes"/>
    <s v="Yes"/>
    <d v="2025-03-06T00:00:00"/>
    <d v="2027-02-10T00:00:00"/>
    <n v="345"/>
    <x v="0"/>
    <n v="0"/>
    <x v="0"/>
  </r>
  <r>
    <s v="VND-162"/>
    <s v="Safety Certificate"/>
    <s v="Yes"/>
    <s v="Yes"/>
    <d v="2024-11-05T00:00:00"/>
    <d v="2027-09-27T00:00:00"/>
    <n v="574"/>
    <x v="0"/>
    <n v="0"/>
    <x v="1"/>
  </r>
  <r>
    <s v="VND-162"/>
    <s v="Environmental Policy"/>
    <s v="Yes"/>
    <s v="Yes"/>
    <d v="2024-07-21T00:00:00"/>
    <d v="2026-07-07T00:00:00"/>
    <n v="127"/>
    <x v="0"/>
    <n v="0"/>
    <x v="0"/>
  </r>
  <r>
    <s v="VND-162"/>
    <s v="Sustainability Disclosure"/>
    <s v="Yes"/>
    <s v="Yes"/>
    <d v="2025-11-01T00:00:00"/>
    <d v="2027-03-17T00:00:00"/>
    <n v="380"/>
    <x v="0"/>
    <n v="0"/>
    <x v="0"/>
  </r>
  <r>
    <s v="VND-163"/>
    <s v="ISO 14001"/>
    <s v="Yes"/>
    <s v="Yes"/>
    <d v="2025-05-15T00:00:00"/>
    <d v="2027-12-29T00:00:00"/>
    <n v="667"/>
    <x v="0"/>
    <n v="0"/>
    <x v="0"/>
  </r>
  <r>
    <s v="VND-163"/>
    <s v="Safety Certificate"/>
    <s v="Yes"/>
    <s v="Yes"/>
    <d v="2025-05-29T00:00:00"/>
    <d v="2028-07-28T00:00:00"/>
    <n v="879"/>
    <x v="0"/>
    <n v="0"/>
    <x v="1"/>
  </r>
  <r>
    <s v="VND-163"/>
    <s v="Environmental Policy"/>
    <s v="Yes"/>
    <s v="Yes"/>
    <d v="2025-05-16T00:00:00"/>
    <d v="2026-10-05T00:00:00"/>
    <n v="217"/>
    <x v="0"/>
    <n v="0"/>
    <x v="0"/>
  </r>
  <r>
    <s v="VND-163"/>
    <s v="Sustainability Disclosure"/>
    <s v="Yes"/>
    <s v="Yes"/>
    <d v="2025-05-06T00:00:00"/>
    <d v="2028-07-02T00:00:00"/>
    <n v="853"/>
    <x v="0"/>
    <n v="0"/>
    <x v="0"/>
  </r>
  <r>
    <s v="VND-164"/>
    <s v="ISO 14001"/>
    <s v="Yes"/>
    <s v="Yes"/>
    <d v="2025-08-27T00:00:00"/>
    <d v="2028-08-05T00:00:00"/>
    <n v="887"/>
    <x v="0"/>
    <n v="0"/>
    <x v="0"/>
  </r>
  <r>
    <s v="VND-164"/>
    <s v="Safety Certificate"/>
    <s v="Yes"/>
    <s v="Yes"/>
    <d v="2024-10-15T00:00:00"/>
    <d v="2027-12-28T00:00:00"/>
    <n v="666"/>
    <x v="0"/>
    <n v="0"/>
    <x v="1"/>
  </r>
  <r>
    <s v="VND-164"/>
    <s v="Environmental Policy"/>
    <s v="Yes"/>
    <s v="Yes"/>
    <d v="2024-09-16T00:00:00"/>
    <d v="2028-07-17T00:00:00"/>
    <n v="868"/>
    <x v="0"/>
    <n v="0"/>
    <x v="0"/>
  </r>
  <r>
    <s v="VND-164"/>
    <s v="Sustainability Disclosure"/>
    <s v="Yes"/>
    <s v="Yes"/>
    <d v="2025-10-18T00:00:00"/>
    <d v="2027-03-31T00:00:00"/>
    <n v="394"/>
    <x v="0"/>
    <n v="0"/>
    <x v="0"/>
  </r>
  <r>
    <s v="VND-165"/>
    <s v="ISO 14001"/>
    <s v="Yes"/>
    <s v="Yes"/>
    <d v="2025-04-10T00:00:00"/>
    <d v="2027-12-24T00:00:00"/>
    <n v="662"/>
    <x v="0"/>
    <n v="0"/>
    <x v="0"/>
  </r>
  <r>
    <s v="VND-165"/>
    <s v="Safety Certificate"/>
    <s v="Yes"/>
    <s v="Yes"/>
    <d v="2026-02-15T00:00:00"/>
    <d v="2027-11-25T00:00:00"/>
    <n v="633"/>
    <x v="0"/>
    <n v="0"/>
    <x v="1"/>
  </r>
  <r>
    <s v="VND-165"/>
    <s v="Environmental Policy"/>
    <s v="Yes"/>
    <s v="Yes"/>
    <d v="2025-01-03T00:00:00"/>
    <d v="2028-08-11T00:00:00"/>
    <n v="893"/>
    <x v="0"/>
    <n v="0"/>
    <x v="0"/>
  </r>
  <r>
    <s v="VND-165"/>
    <s v="Sustainability Disclosure"/>
    <s v="Yes"/>
    <s v="Yes"/>
    <d v="2024-05-09T00:00:00"/>
    <d v="2026-08-16T00:00:00"/>
    <n v="167"/>
    <x v="0"/>
    <n v="0"/>
    <x v="0"/>
  </r>
  <r>
    <s v="VND-166"/>
    <s v="ISO 14001"/>
    <s v="Yes"/>
    <s v="Yes"/>
    <d v="2025-04-14T00:00:00"/>
    <d v="2027-05-22T00:00:00"/>
    <n v="446"/>
    <x v="0"/>
    <n v="0"/>
    <x v="0"/>
  </r>
  <r>
    <s v="VND-166"/>
    <s v="Safety Certificate"/>
    <s v="Yes"/>
    <s v="Yes"/>
    <d v="2025-12-12T00:00:00"/>
    <d v="2026-10-07T00:00:00"/>
    <n v="219"/>
    <x v="0"/>
    <n v="0"/>
    <x v="1"/>
  </r>
  <r>
    <s v="VND-166"/>
    <s v="Environmental Policy"/>
    <s v="Yes"/>
    <s v="Yes"/>
    <d v="2024-09-08T00:00:00"/>
    <d v="2027-09-28T00:00:00"/>
    <n v="575"/>
    <x v="0"/>
    <n v="0"/>
    <x v="0"/>
  </r>
  <r>
    <s v="VND-166"/>
    <s v="Sustainability Disclosure"/>
    <s v="Yes"/>
    <s v="Yes"/>
    <d v="2025-10-06T00:00:00"/>
    <d v="2026-11-09T00:00:00"/>
    <n v="252"/>
    <x v="0"/>
    <n v="0"/>
    <x v="0"/>
  </r>
  <r>
    <s v="VND-167"/>
    <s v="ISO 14001"/>
    <s v="Yes"/>
    <s v="Yes"/>
    <d v="2025-10-28T00:00:00"/>
    <d v="2028-04-04T00:00:00"/>
    <n v="764"/>
    <x v="0"/>
    <n v="0"/>
    <x v="0"/>
  </r>
  <r>
    <s v="VND-167"/>
    <s v="Safety Certificate"/>
    <s v="Yes"/>
    <s v="Yes"/>
    <d v="2024-10-26T00:00:00"/>
    <d v="2027-01-18T00:00:00"/>
    <n v="322"/>
    <x v="0"/>
    <n v="0"/>
    <x v="1"/>
  </r>
  <r>
    <s v="VND-167"/>
    <s v="Environmental Policy"/>
    <s v="Yes"/>
    <s v="Yes"/>
    <d v="2024-09-19T00:00:00"/>
    <d v="2027-08-07T00:00:00"/>
    <n v="523"/>
    <x v="0"/>
    <n v="0"/>
    <x v="0"/>
  </r>
  <r>
    <s v="VND-167"/>
    <s v="Sustainability Disclosure"/>
    <s v="Yes"/>
    <s v="Yes"/>
    <d v="2025-10-24T00:00:00"/>
    <d v="2027-06-12T00:00:00"/>
    <n v="467"/>
    <x v="0"/>
    <n v="0"/>
    <x v="0"/>
  </r>
  <r>
    <s v="VND-168"/>
    <s v="ISO 14001"/>
    <s v="Yes"/>
    <s v="Yes"/>
    <d v="2024-09-05T00:00:00"/>
    <d v="2028-08-15T00:00:00"/>
    <n v="897"/>
    <x v="0"/>
    <n v="0"/>
    <x v="0"/>
  </r>
  <r>
    <s v="VND-168"/>
    <s v="Safety Certificate"/>
    <s v="Yes"/>
    <s v="Yes"/>
    <d v="2025-11-29T00:00:00"/>
    <d v="2027-05-14T00:00:00"/>
    <n v="438"/>
    <x v="0"/>
    <n v="0"/>
    <x v="1"/>
  </r>
  <r>
    <s v="VND-168"/>
    <s v="Environmental Policy"/>
    <s v="Yes"/>
    <s v="Yes"/>
    <d v="2024-10-17T00:00:00"/>
    <d v="2027-04-03T00:00:00"/>
    <n v="397"/>
    <x v="0"/>
    <n v="0"/>
    <x v="0"/>
  </r>
  <r>
    <s v="VND-168"/>
    <s v="Sustainability Disclosure"/>
    <s v="Yes"/>
    <s v="Yes"/>
    <d v="2025-09-21T00:00:00"/>
    <d v="2028-08-07T00:00:00"/>
    <n v="889"/>
    <x v="0"/>
    <n v="0"/>
    <x v="0"/>
  </r>
  <r>
    <s v="VND-169"/>
    <s v="ISO 14001"/>
    <s v="Yes"/>
    <s v="Yes"/>
    <d v="2026-01-01T00:00:00"/>
    <d v="2026-12-11T00:00:00"/>
    <n v="284"/>
    <x v="0"/>
    <n v="0"/>
    <x v="0"/>
  </r>
  <r>
    <s v="VND-169"/>
    <s v="Safety Certificate"/>
    <s v="Yes"/>
    <s v="Yes"/>
    <d v="2026-02-14T00:00:00"/>
    <d v="2028-02-17T00:00:00"/>
    <n v="717"/>
    <x v="0"/>
    <n v="0"/>
    <x v="1"/>
  </r>
  <r>
    <s v="VND-169"/>
    <s v="Environmental Policy"/>
    <s v="Yes"/>
    <s v="Yes"/>
    <d v="2025-12-24T00:00:00"/>
    <d v="2027-02-07T00:00:00"/>
    <n v="342"/>
    <x v="0"/>
    <n v="0"/>
    <x v="0"/>
  </r>
  <r>
    <s v="VND-169"/>
    <s v="Sustainability Disclosure"/>
    <s v="Yes"/>
    <s v="Yes"/>
    <d v="2025-02-02T00:00:00"/>
    <d v="2028-05-02T00:00:00"/>
    <n v="792"/>
    <x v="0"/>
    <n v="0"/>
    <x v="0"/>
  </r>
  <r>
    <s v="VND-170"/>
    <s v="ISO 14001"/>
    <s v="Yes"/>
    <s v="Yes"/>
    <d v="2024-11-09T00:00:00"/>
    <d v="2028-02-10T00:00:00"/>
    <n v="710"/>
    <x v="0"/>
    <n v="0"/>
    <x v="0"/>
  </r>
  <r>
    <s v="VND-170"/>
    <s v="Safety Certificate"/>
    <s v="Yes"/>
    <s v="Yes"/>
    <d v="2026-01-21T00:00:00"/>
    <d v="2028-01-26T00:00:00"/>
    <n v="695"/>
    <x v="0"/>
    <n v="0"/>
    <x v="1"/>
  </r>
  <r>
    <s v="VND-170"/>
    <s v="Environmental Policy"/>
    <s v="Yes"/>
    <s v="Yes"/>
    <d v="2025-09-07T00:00:00"/>
    <d v="2027-07-21T00:00:00"/>
    <n v="506"/>
    <x v="0"/>
    <n v="0"/>
    <x v="0"/>
  </r>
  <r>
    <s v="VND-170"/>
    <s v="Sustainability Disclosure"/>
    <s v="Yes"/>
    <s v="Yes"/>
    <d v="2025-06-04T00:00:00"/>
    <d v="2027-09-16T00:00:00"/>
    <n v="563"/>
    <x v="0"/>
    <n v="0"/>
    <x v="0"/>
  </r>
  <r>
    <s v="VND-171"/>
    <s v="ISO 14001"/>
    <s v="Yes"/>
    <s v="Yes"/>
    <d v="2025-08-01T00:00:00"/>
    <d v="2027-01-27T00:00:00"/>
    <n v="331"/>
    <x v="0"/>
    <n v="0"/>
    <x v="0"/>
  </r>
  <r>
    <s v="VND-171"/>
    <s v="Safety Certificate"/>
    <s v="Yes"/>
    <s v="Yes"/>
    <d v="2024-06-11T00:00:00"/>
    <d v="2027-01-09T00:00:00"/>
    <n v="313"/>
    <x v="0"/>
    <n v="0"/>
    <x v="1"/>
  </r>
  <r>
    <s v="VND-171"/>
    <s v="Environmental Policy"/>
    <s v="Yes"/>
    <s v="Yes"/>
    <d v="2024-06-26T00:00:00"/>
    <d v="2026-12-27T00:00:00"/>
    <n v="300"/>
    <x v="0"/>
    <n v="0"/>
    <x v="0"/>
  </r>
  <r>
    <s v="VND-171"/>
    <s v="Sustainability Disclosure"/>
    <s v="Yes"/>
    <s v="Yes"/>
    <d v="2025-09-30T00:00:00"/>
    <d v="2027-05-12T00:00:00"/>
    <n v="436"/>
    <x v="0"/>
    <n v="0"/>
    <x v="0"/>
  </r>
  <r>
    <s v="VND-172"/>
    <s v="ISO 14001"/>
    <s v="Yes"/>
    <s v="Yes"/>
    <d v="2024-08-23T00:00:00"/>
    <d v="2028-01-27T00:00:00"/>
    <n v="696"/>
    <x v="0"/>
    <n v="0"/>
    <x v="0"/>
  </r>
  <r>
    <s v="VND-172"/>
    <s v="Safety Certificate"/>
    <s v="Yes"/>
    <s v="Yes"/>
    <d v="2024-07-08T00:00:00"/>
    <d v="2027-12-12T00:00:00"/>
    <n v="650"/>
    <x v="0"/>
    <n v="0"/>
    <x v="1"/>
  </r>
  <r>
    <s v="VND-172"/>
    <s v="Environmental Policy"/>
    <s v="Yes"/>
    <s v="Yes"/>
    <d v="2024-08-31T00:00:00"/>
    <d v="2026-11-06T00:00:00"/>
    <n v="249"/>
    <x v="0"/>
    <n v="0"/>
    <x v="0"/>
  </r>
  <r>
    <s v="VND-172"/>
    <s v="Sustainability Disclosure"/>
    <s v="Yes"/>
    <s v="Yes"/>
    <d v="2025-08-24T00:00:00"/>
    <d v="2026-09-24T00:00:00"/>
    <n v="206"/>
    <x v="0"/>
    <n v="0"/>
    <x v="0"/>
  </r>
  <r>
    <s v="VND-173"/>
    <s v="ISO 14001"/>
    <s v="Yes"/>
    <s v="Yes"/>
    <d v="2024-09-23T00:00:00"/>
    <d v="2028-05-02T00:00:00"/>
    <n v="792"/>
    <x v="0"/>
    <n v="0"/>
    <x v="0"/>
  </r>
  <r>
    <s v="VND-173"/>
    <s v="Safety Certificate"/>
    <s v="Yes"/>
    <s v="Yes"/>
    <d v="2026-01-31T00:00:00"/>
    <d v="2026-08-16T00:00:00"/>
    <n v="167"/>
    <x v="0"/>
    <n v="0"/>
    <x v="1"/>
  </r>
  <r>
    <s v="VND-173"/>
    <s v="Environmental Policy"/>
    <s v="Yes"/>
    <s v="Yes"/>
    <d v="2026-01-24T00:00:00"/>
    <d v="2028-06-07T00:00:00"/>
    <n v="828"/>
    <x v="0"/>
    <n v="0"/>
    <x v="0"/>
  </r>
  <r>
    <s v="VND-173"/>
    <s v="Sustainability Disclosure"/>
    <s v="Yes"/>
    <s v="Yes"/>
    <d v="2024-05-17T00:00:00"/>
    <d v="2027-09-12T00:00:00"/>
    <n v="559"/>
    <x v="0"/>
    <n v="0"/>
    <x v="0"/>
  </r>
  <r>
    <s v="VND-174"/>
    <s v="ISO 14001"/>
    <s v="Yes"/>
    <s v="Yes"/>
    <d v="2025-08-18T00:00:00"/>
    <d v="2028-03-31T00:00:00"/>
    <n v="760"/>
    <x v="0"/>
    <n v="0"/>
    <x v="0"/>
  </r>
  <r>
    <s v="VND-174"/>
    <s v="Safety Certificate"/>
    <s v="Yes"/>
    <s v="Yes"/>
    <d v="2024-04-04T00:00:00"/>
    <d v="2028-04-18T00:00:00"/>
    <n v="778"/>
    <x v="0"/>
    <n v="0"/>
    <x v="1"/>
  </r>
  <r>
    <s v="VND-174"/>
    <s v="Environmental Policy"/>
    <s v="Yes"/>
    <s v="Yes"/>
    <d v="2024-06-25T00:00:00"/>
    <d v="2028-07-11T00:00:00"/>
    <n v="862"/>
    <x v="0"/>
    <n v="0"/>
    <x v="0"/>
  </r>
  <r>
    <s v="VND-174"/>
    <s v="Sustainability Disclosure"/>
    <s v="Yes"/>
    <s v="Yes"/>
    <d v="2025-03-02T00:00:00"/>
    <d v="2027-03-26T00:00:00"/>
    <n v="389"/>
    <x v="0"/>
    <n v="0"/>
    <x v="0"/>
  </r>
  <r>
    <s v="VND-175"/>
    <s v="ISO 14001"/>
    <s v="Yes"/>
    <s v="Yes"/>
    <d v="2025-03-05T00:00:00"/>
    <d v="2028-07-16T00:00:00"/>
    <n v="867"/>
    <x v="0"/>
    <n v="0"/>
    <x v="0"/>
  </r>
  <r>
    <s v="VND-175"/>
    <s v="Safety Certificate"/>
    <s v="Yes"/>
    <s v="Yes"/>
    <d v="2024-06-09T00:00:00"/>
    <d v="2027-01-01T00:00:00"/>
    <n v="305"/>
    <x v="0"/>
    <n v="0"/>
    <x v="1"/>
  </r>
  <r>
    <s v="VND-175"/>
    <s v="Environmental Policy"/>
    <s v="Yes"/>
    <s v="Yes"/>
    <d v="2026-01-07T00:00:00"/>
    <d v="2027-11-21T00:00:00"/>
    <n v="629"/>
    <x v="0"/>
    <n v="0"/>
    <x v="0"/>
  </r>
  <r>
    <s v="VND-175"/>
    <s v="Sustainability Disclosure"/>
    <s v="Yes"/>
    <s v="Yes"/>
    <d v="2025-11-11T00:00:00"/>
    <d v="2028-07-06T00:00:00"/>
    <n v="857"/>
    <x v="0"/>
    <n v="0"/>
    <x v="0"/>
  </r>
  <r>
    <s v="VND-176"/>
    <s v="ISO 14001"/>
    <s v="Yes"/>
    <s v="Yes"/>
    <d v="2024-05-28T00:00:00"/>
    <d v="2026-11-06T00:00:00"/>
    <n v="249"/>
    <x v="0"/>
    <n v="0"/>
    <x v="0"/>
  </r>
  <r>
    <s v="VND-176"/>
    <s v="Safety Certificate"/>
    <s v="Yes"/>
    <s v="Yes"/>
    <d v="2026-02-15T00:00:00"/>
    <d v="2027-05-11T00:00:00"/>
    <n v="435"/>
    <x v="0"/>
    <n v="0"/>
    <x v="1"/>
  </r>
  <r>
    <s v="VND-176"/>
    <s v="Environmental Policy"/>
    <s v="Yes"/>
    <s v="Yes"/>
    <d v="2024-08-12T00:00:00"/>
    <d v="2028-02-14T00:00:00"/>
    <n v="714"/>
    <x v="0"/>
    <n v="0"/>
    <x v="0"/>
  </r>
  <r>
    <s v="VND-176"/>
    <s v="Sustainability Disclosure"/>
    <s v="Yes"/>
    <s v="Yes"/>
    <d v="2025-07-08T00:00:00"/>
    <d v="2027-08-11T00:00:00"/>
    <n v="527"/>
    <x v="0"/>
    <n v="0"/>
    <x v="0"/>
  </r>
  <r>
    <s v="VND-177"/>
    <s v="ISO 14001"/>
    <s v="Yes"/>
    <s v="Yes"/>
    <d v="2024-12-15T00:00:00"/>
    <d v="2027-03-15T00:00:00"/>
    <n v="378"/>
    <x v="0"/>
    <n v="0"/>
    <x v="0"/>
  </r>
  <r>
    <s v="VND-177"/>
    <s v="Safety Certificate"/>
    <s v="Yes"/>
    <s v="Yes"/>
    <d v="2024-10-11T00:00:00"/>
    <d v="2028-06-28T00:00:00"/>
    <n v="849"/>
    <x v="0"/>
    <n v="0"/>
    <x v="1"/>
  </r>
  <r>
    <s v="VND-177"/>
    <s v="Environmental Policy"/>
    <s v="Yes"/>
    <s v="Yes"/>
    <d v="2024-12-31T00:00:00"/>
    <d v="2027-01-02T00:00:00"/>
    <n v="306"/>
    <x v="0"/>
    <n v="0"/>
    <x v="0"/>
  </r>
  <r>
    <s v="VND-177"/>
    <s v="Sustainability Disclosure"/>
    <s v="Yes"/>
    <s v="Yes"/>
    <d v="2024-10-04T00:00:00"/>
    <d v="2028-08-07T00:00:00"/>
    <n v="889"/>
    <x v="0"/>
    <n v="0"/>
    <x v="0"/>
  </r>
  <r>
    <s v="VND-178"/>
    <s v="ISO 14001"/>
    <s v="Yes"/>
    <s v="Yes"/>
    <d v="2025-04-14T00:00:00"/>
    <d v="2028-06-26T00:00:00"/>
    <n v="847"/>
    <x v="0"/>
    <n v="0"/>
    <x v="0"/>
  </r>
  <r>
    <s v="VND-178"/>
    <s v="Safety Certificate"/>
    <s v="Yes"/>
    <s v="Yes"/>
    <d v="2026-02-18T00:00:00"/>
    <d v="2028-02-06T00:00:00"/>
    <n v="706"/>
    <x v="0"/>
    <n v="0"/>
    <x v="1"/>
  </r>
  <r>
    <s v="VND-178"/>
    <s v="Environmental Policy"/>
    <s v="Yes"/>
    <s v="Yes"/>
    <d v="2025-03-24T00:00:00"/>
    <d v="2028-02-01T00:00:00"/>
    <n v="701"/>
    <x v="0"/>
    <n v="0"/>
    <x v="0"/>
  </r>
  <r>
    <s v="VND-178"/>
    <s v="Sustainability Disclosure"/>
    <s v="Yes"/>
    <s v="Yes"/>
    <d v="2025-10-18T00:00:00"/>
    <d v="2027-02-01T00:00:00"/>
    <n v="336"/>
    <x v="0"/>
    <n v="0"/>
    <x v="0"/>
  </r>
  <r>
    <s v="VND-179"/>
    <s v="ISO 14001"/>
    <s v="Yes"/>
    <s v="Yes"/>
    <d v="2024-04-16T00:00:00"/>
    <d v="2027-01-25T00:00:00"/>
    <n v="329"/>
    <x v="0"/>
    <n v="0"/>
    <x v="0"/>
  </r>
  <r>
    <s v="VND-179"/>
    <s v="Safety Certificate"/>
    <s v="Yes"/>
    <s v="Yes"/>
    <d v="2025-01-16T00:00:00"/>
    <d v="2027-11-25T00:00:00"/>
    <n v="633"/>
    <x v="0"/>
    <n v="0"/>
    <x v="1"/>
  </r>
  <r>
    <s v="VND-179"/>
    <s v="Environmental Policy"/>
    <s v="Yes"/>
    <s v="Yes"/>
    <d v="2025-08-21T00:00:00"/>
    <d v="2027-05-03T00:00:00"/>
    <n v="427"/>
    <x v="0"/>
    <n v="0"/>
    <x v="0"/>
  </r>
  <r>
    <s v="VND-179"/>
    <s v="Sustainability Disclosure"/>
    <s v="Yes"/>
    <s v="Yes"/>
    <d v="2024-04-03T00:00:00"/>
    <d v="2027-11-18T00:00:00"/>
    <n v="626"/>
    <x v="0"/>
    <n v="0"/>
    <x v="0"/>
  </r>
  <r>
    <s v="VND-180"/>
    <s v="ISO 14001"/>
    <s v="Yes"/>
    <s v="Yes"/>
    <d v="2025-11-02T00:00:00"/>
    <d v="2027-07-25T00:00:00"/>
    <n v="510"/>
    <x v="0"/>
    <n v="0"/>
    <x v="0"/>
  </r>
  <r>
    <s v="VND-180"/>
    <s v="Safety Certificate"/>
    <s v="Yes"/>
    <s v="Yes"/>
    <d v="2025-10-04T00:00:00"/>
    <d v="2028-01-24T00:00:00"/>
    <n v="693"/>
    <x v="0"/>
    <n v="0"/>
    <x v="1"/>
  </r>
  <r>
    <s v="VND-180"/>
    <s v="Environmental Policy"/>
    <s v="Yes"/>
    <s v="Yes"/>
    <d v="2024-06-01T00:00:00"/>
    <d v="2027-05-26T00:00:00"/>
    <n v="450"/>
    <x v="0"/>
    <n v="0"/>
    <x v="0"/>
  </r>
  <r>
    <s v="VND-180"/>
    <s v="Sustainability Disclosure"/>
    <s v="Yes"/>
    <s v="Yes"/>
    <d v="2024-11-26T00:00:00"/>
    <d v="2026-11-16T00:00:00"/>
    <n v="259"/>
    <x v="0"/>
    <n v="0"/>
    <x v="0"/>
  </r>
  <r>
    <s v="VND-181"/>
    <s v="ISO 14001"/>
    <s v="Yes"/>
    <s v="Yes"/>
    <d v="2025-03-23T00:00:00"/>
    <d v="2026-09-09T00:00:00"/>
    <n v="191"/>
    <x v="0"/>
    <n v="0"/>
    <x v="0"/>
  </r>
  <r>
    <s v="VND-181"/>
    <s v="Safety Certificate"/>
    <s v="Yes"/>
    <s v="Yes"/>
    <d v="2025-12-15T00:00:00"/>
    <d v="2027-02-22T00:00:00"/>
    <n v="357"/>
    <x v="0"/>
    <n v="0"/>
    <x v="1"/>
  </r>
  <r>
    <s v="VND-181"/>
    <s v="Environmental Policy"/>
    <s v="Yes"/>
    <s v="Yes"/>
    <d v="2024-08-18T00:00:00"/>
    <d v="2028-01-19T00:00:00"/>
    <n v="688"/>
    <x v="0"/>
    <n v="0"/>
    <x v="0"/>
  </r>
  <r>
    <s v="VND-181"/>
    <s v="Sustainability Disclosure"/>
    <s v="Yes"/>
    <s v="Yes"/>
    <d v="2025-10-07T00:00:00"/>
    <d v="2026-11-15T00:00:00"/>
    <n v="258"/>
    <x v="0"/>
    <n v="0"/>
    <x v="0"/>
  </r>
  <r>
    <s v="VND-182"/>
    <s v="ISO 14001"/>
    <s v="Yes"/>
    <s v="Yes"/>
    <d v="2024-07-17T00:00:00"/>
    <d v="2027-03-10T00:00:00"/>
    <n v="373"/>
    <x v="0"/>
    <n v="0"/>
    <x v="0"/>
  </r>
  <r>
    <s v="VND-182"/>
    <s v="Safety Certificate"/>
    <s v="Yes"/>
    <s v="Yes"/>
    <d v="2024-06-07T00:00:00"/>
    <d v="2028-06-03T00:00:00"/>
    <n v="824"/>
    <x v="0"/>
    <n v="0"/>
    <x v="1"/>
  </r>
  <r>
    <s v="VND-182"/>
    <s v="Environmental Policy"/>
    <s v="Yes"/>
    <s v="Yes"/>
    <d v="2026-01-11T00:00:00"/>
    <d v="2027-03-31T00:00:00"/>
    <n v="394"/>
    <x v="0"/>
    <n v="0"/>
    <x v="0"/>
  </r>
  <r>
    <s v="VND-182"/>
    <s v="Sustainability Disclosure"/>
    <s v="Yes"/>
    <s v="Yes"/>
    <d v="2025-09-13T00:00:00"/>
    <d v="2026-11-13T00:00:00"/>
    <n v="256"/>
    <x v="0"/>
    <n v="0"/>
    <x v="0"/>
  </r>
  <r>
    <s v="VND-183"/>
    <s v="ISO 14001"/>
    <s v="Yes"/>
    <s v="Yes"/>
    <d v="2024-05-28T00:00:00"/>
    <d v="2028-06-12T00:00:00"/>
    <n v="833"/>
    <x v="0"/>
    <n v="0"/>
    <x v="0"/>
  </r>
  <r>
    <s v="VND-183"/>
    <s v="Safety Certificate"/>
    <s v="Yes"/>
    <s v="Yes"/>
    <d v="2024-10-26T00:00:00"/>
    <d v="2027-07-19T00:00:00"/>
    <n v="504"/>
    <x v="0"/>
    <n v="0"/>
    <x v="1"/>
  </r>
  <r>
    <s v="VND-183"/>
    <s v="Environmental Policy"/>
    <s v="Yes"/>
    <s v="Yes"/>
    <d v="2024-09-15T00:00:00"/>
    <d v="2027-12-31T00:00:00"/>
    <n v="669"/>
    <x v="0"/>
    <n v="0"/>
    <x v="0"/>
  </r>
  <r>
    <s v="VND-183"/>
    <s v="Sustainability Disclosure"/>
    <s v="Yes"/>
    <s v="Yes"/>
    <d v="2025-05-28T00:00:00"/>
    <d v="2027-07-06T00:00:00"/>
    <n v="491"/>
    <x v="0"/>
    <n v="0"/>
    <x v="0"/>
  </r>
  <r>
    <s v="VND-184"/>
    <s v="ISO 14001"/>
    <s v="Yes"/>
    <s v="Yes"/>
    <d v="2025-12-03T00:00:00"/>
    <d v="2026-08-20T00:00:00"/>
    <n v="171"/>
    <x v="0"/>
    <n v="0"/>
    <x v="0"/>
  </r>
  <r>
    <s v="VND-184"/>
    <s v="Safety Certificate"/>
    <s v="Yes"/>
    <s v="Yes"/>
    <d v="2025-03-22T00:00:00"/>
    <d v="2027-09-24T00:00:00"/>
    <n v="571"/>
    <x v="0"/>
    <n v="0"/>
    <x v="1"/>
  </r>
  <r>
    <s v="VND-184"/>
    <s v="Environmental Policy"/>
    <s v="Yes"/>
    <s v="Yes"/>
    <d v="2025-02-22T00:00:00"/>
    <d v="2026-09-23T00:00:00"/>
    <n v="205"/>
    <x v="0"/>
    <n v="0"/>
    <x v="0"/>
  </r>
  <r>
    <s v="VND-184"/>
    <s v="Sustainability Disclosure"/>
    <s v="Yes"/>
    <s v="Yes"/>
    <d v="2025-12-31T00:00:00"/>
    <d v="2027-05-13T00:00:00"/>
    <n v="437"/>
    <x v="0"/>
    <n v="0"/>
    <x v="0"/>
  </r>
  <r>
    <s v="VND-185"/>
    <s v="ISO 14001"/>
    <s v="Yes"/>
    <s v="Yes"/>
    <d v="2025-10-10T00:00:00"/>
    <d v="2027-04-27T00:00:00"/>
    <n v="421"/>
    <x v="0"/>
    <n v="0"/>
    <x v="0"/>
  </r>
  <r>
    <s v="VND-185"/>
    <s v="Safety Certificate"/>
    <s v="Yes"/>
    <s v="Yes"/>
    <d v="2024-04-29T00:00:00"/>
    <d v="2026-12-07T00:00:00"/>
    <n v="280"/>
    <x v="0"/>
    <n v="0"/>
    <x v="1"/>
  </r>
  <r>
    <s v="VND-185"/>
    <s v="Environmental Policy"/>
    <s v="Yes"/>
    <s v="Yes"/>
    <d v="2025-09-10T00:00:00"/>
    <d v="2027-06-07T00:00:00"/>
    <n v="462"/>
    <x v="0"/>
    <n v="0"/>
    <x v="0"/>
  </r>
  <r>
    <s v="VND-185"/>
    <s v="Sustainability Disclosure"/>
    <s v="Yes"/>
    <s v="Yes"/>
    <d v="2024-07-21T00:00:00"/>
    <d v="2028-07-22T00:00:00"/>
    <n v="873"/>
    <x v="0"/>
    <n v="0"/>
    <x v="0"/>
  </r>
  <r>
    <s v="VND-186"/>
    <s v="ISO 14001"/>
    <s v="Yes"/>
    <s v="Yes"/>
    <d v="2024-10-31T00:00:00"/>
    <d v="2028-05-28T00:00:00"/>
    <n v="818"/>
    <x v="0"/>
    <n v="0"/>
    <x v="0"/>
  </r>
  <r>
    <s v="VND-186"/>
    <s v="Safety Certificate"/>
    <s v="Yes"/>
    <s v="Yes"/>
    <d v="2025-10-13T00:00:00"/>
    <d v="2027-06-02T00:00:00"/>
    <n v="457"/>
    <x v="0"/>
    <n v="0"/>
    <x v="1"/>
  </r>
  <r>
    <s v="VND-186"/>
    <s v="Environmental Policy"/>
    <s v="Yes"/>
    <s v="Yes"/>
    <d v="2024-12-26T00:00:00"/>
    <d v="2027-04-24T00:00:00"/>
    <n v="418"/>
    <x v="0"/>
    <n v="0"/>
    <x v="0"/>
  </r>
  <r>
    <s v="VND-186"/>
    <s v="Sustainability Disclosure"/>
    <s v="Yes"/>
    <s v="Yes"/>
    <d v="2024-08-01T00:00:00"/>
    <d v="2027-08-04T00:00:00"/>
    <n v="520"/>
    <x v="0"/>
    <n v="0"/>
    <x v="0"/>
  </r>
  <r>
    <s v="VND-187"/>
    <s v="ISO 14001"/>
    <s v="Yes"/>
    <s v="Yes"/>
    <d v="2024-06-27T00:00:00"/>
    <d v="2027-10-12T00:00:00"/>
    <n v="589"/>
    <x v="0"/>
    <n v="0"/>
    <x v="0"/>
  </r>
  <r>
    <s v="VND-187"/>
    <s v="Safety Certificate"/>
    <s v="Yes"/>
    <s v="Yes"/>
    <d v="2024-09-04T00:00:00"/>
    <d v="2027-11-04T00:00:00"/>
    <n v="612"/>
    <x v="0"/>
    <n v="0"/>
    <x v="1"/>
  </r>
  <r>
    <s v="VND-187"/>
    <s v="Environmental Policy"/>
    <s v="Yes"/>
    <s v="Yes"/>
    <d v="2025-02-19T00:00:00"/>
    <d v="2026-11-11T00:00:00"/>
    <n v="254"/>
    <x v="0"/>
    <n v="0"/>
    <x v="0"/>
  </r>
  <r>
    <s v="VND-187"/>
    <s v="Sustainability Disclosure"/>
    <s v="Yes"/>
    <s v="Yes"/>
    <d v="2025-06-15T00:00:00"/>
    <d v="2028-07-06T00:00:00"/>
    <n v="857"/>
    <x v="0"/>
    <n v="0"/>
    <x v="0"/>
  </r>
  <r>
    <s v="VND-188"/>
    <s v="ISO 14001"/>
    <s v="Yes"/>
    <s v="Yes"/>
    <d v="2026-01-22T00:00:00"/>
    <d v="2027-11-16T00:00:00"/>
    <n v="624"/>
    <x v="0"/>
    <n v="0"/>
    <x v="0"/>
  </r>
  <r>
    <s v="VND-188"/>
    <s v="Safety Certificate"/>
    <s v="Yes"/>
    <s v="Yes"/>
    <d v="2024-07-11T00:00:00"/>
    <d v="2026-07-24T00:00:00"/>
    <n v="144"/>
    <x v="0"/>
    <n v="0"/>
    <x v="1"/>
  </r>
  <r>
    <s v="VND-188"/>
    <s v="Environmental Policy"/>
    <s v="Yes"/>
    <s v="Yes"/>
    <d v="2024-07-27T00:00:00"/>
    <d v="2027-10-29T00:00:00"/>
    <n v="606"/>
    <x v="0"/>
    <n v="0"/>
    <x v="0"/>
  </r>
  <r>
    <s v="VND-188"/>
    <s v="Sustainability Disclosure"/>
    <s v="Yes"/>
    <s v="Yes"/>
    <d v="2025-10-07T00:00:00"/>
    <d v="2027-04-10T00:00:00"/>
    <n v="404"/>
    <x v="0"/>
    <n v="0"/>
    <x v="0"/>
  </r>
  <r>
    <s v="VND-189"/>
    <s v="ISO 14001"/>
    <s v="Yes"/>
    <s v="Yes"/>
    <d v="2025-08-14T00:00:00"/>
    <d v="2028-06-01T00:00:00"/>
    <n v="822"/>
    <x v="0"/>
    <n v="0"/>
    <x v="0"/>
  </r>
  <r>
    <s v="VND-189"/>
    <s v="Safety Certificate"/>
    <s v="Yes"/>
    <s v="Yes"/>
    <d v="2025-08-23T00:00:00"/>
    <d v="2028-08-01T00:00:00"/>
    <n v="883"/>
    <x v="0"/>
    <n v="0"/>
    <x v="1"/>
  </r>
  <r>
    <s v="VND-189"/>
    <s v="Environmental Policy"/>
    <s v="Yes"/>
    <s v="Yes"/>
    <d v="2025-05-06T00:00:00"/>
    <d v="2028-07-26T00:00:00"/>
    <n v="877"/>
    <x v="0"/>
    <n v="0"/>
    <x v="0"/>
  </r>
  <r>
    <s v="VND-189"/>
    <s v="Sustainability Disclosure"/>
    <s v="Yes"/>
    <s v="Yes"/>
    <d v="2026-01-08T00:00:00"/>
    <d v="2026-11-28T00:00:00"/>
    <n v="271"/>
    <x v="0"/>
    <n v="0"/>
    <x v="0"/>
  </r>
  <r>
    <s v="VND-190"/>
    <s v="ISO 14001"/>
    <s v="Yes"/>
    <s v="Yes"/>
    <d v="2025-04-13T00:00:00"/>
    <d v="2028-02-03T00:00:00"/>
    <n v="703"/>
    <x v="0"/>
    <n v="0"/>
    <x v="0"/>
  </r>
  <r>
    <s v="VND-190"/>
    <s v="Safety Certificate"/>
    <s v="Yes"/>
    <s v="Yes"/>
    <d v="2024-10-18T00:00:00"/>
    <d v="2028-04-19T00:00:00"/>
    <n v="779"/>
    <x v="0"/>
    <n v="0"/>
    <x v="1"/>
  </r>
  <r>
    <s v="VND-190"/>
    <s v="Environmental Policy"/>
    <s v="Yes"/>
    <s v="Yes"/>
    <d v="2025-05-12T00:00:00"/>
    <d v="2027-02-05T00:00:00"/>
    <n v="340"/>
    <x v="0"/>
    <n v="0"/>
    <x v="0"/>
  </r>
  <r>
    <s v="VND-190"/>
    <s v="Sustainability Disclosure"/>
    <s v="Yes"/>
    <s v="Yes"/>
    <d v="2024-04-15T00:00:00"/>
    <d v="2026-10-25T00:00:00"/>
    <n v="237"/>
    <x v="0"/>
    <n v="0"/>
    <x v="0"/>
  </r>
  <r>
    <s v="VND-191"/>
    <s v="ISO 14001"/>
    <s v="Yes"/>
    <s v="Yes"/>
    <d v="2024-08-02T00:00:00"/>
    <d v="2027-11-27T00:00:00"/>
    <n v="635"/>
    <x v="0"/>
    <n v="0"/>
    <x v="0"/>
  </r>
  <r>
    <s v="VND-191"/>
    <s v="Safety Certificate"/>
    <s v="Yes"/>
    <s v="Yes"/>
    <d v="2024-04-29T00:00:00"/>
    <d v="2026-09-27T00:00:00"/>
    <n v="209"/>
    <x v="0"/>
    <n v="0"/>
    <x v="1"/>
  </r>
  <r>
    <s v="VND-191"/>
    <s v="Environmental Policy"/>
    <s v="Yes"/>
    <s v="Yes"/>
    <d v="2025-01-01T00:00:00"/>
    <d v="2026-09-16T00:00:00"/>
    <n v="198"/>
    <x v="0"/>
    <n v="0"/>
    <x v="0"/>
  </r>
  <r>
    <s v="VND-191"/>
    <s v="Sustainability Disclosure"/>
    <s v="Yes"/>
    <s v="Yes"/>
    <d v="2025-09-29T00:00:00"/>
    <d v="2027-02-23T00:00:00"/>
    <n v="358"/>
    <x v="0"/>
    <n v="0"/>
    <x v="0"/>
  </r>
  <r>
    <s v="VND-192"/>
    <s v="ISO 14001"/>
    <s v="Yes"/>
    <s v="Yes"/>
    <d v="2025-08-12T00:00:00"/>
    <d v="2028-07-14T00:00:00"/>
    <n v="865"/>
    <x v="0"/>
    <n v="0"/>
    <x v="0"/>
  </r>
  <r>
    <s v="VND-192"/>
    <s v="Safety Certificate"/>
    <s v="Yes"/>
    <s v="Yes"/>
    <d v="2024-12-14T00:00:00"/>
    <d v="2027-05-31T00:00:00"/>
    <n v="455"/>
    <x v="0"/>
    <n v="0"/>
    <x v="1"/>
  </r>
  <r>
    <s v="VND-192"/>
    <s v="Environmental Policy"/>
    <s v="Yes"/>
    <s v="Yes"/>
    <d v="2025-02-15T00:00:00"/>
    <d v="2028-07-28T00:00:00"/>
    <n v="879"/>
    <x v="0"/>
    <n v="0"/>
    <x v="0"/>
  </r>
  <r>
    <s v="VND-192"/>
    <s v="Sustainability Disclosure"/>
    <s v="Yes"/>
    <s v="Yes"/>
    <d v="2025-08-12T00:00:00"/>
    <d v="2027-01-28T00:00:00"/>
    <n v="332"/>
    <x v="0"/>
    <n v="0"/>
    <x v="0"/>
  </r>
  <r>
    <s v="VND-193"/>
    <s v="ISO 14001"/>
    <s v="Yes"/>
    <s v="Yes"/>
    <d v="2026-02-06T00:00:00"/>
    <d v="2027-11-20T00:00:00"/>
    <n v="628"/>
    <x v="0"/>
    <n v="0"/>
    <x v="0"/>
  </r>
  <r>
    <s v="VND-193"/>
    <s v="Safety Certificate"/>
    <s v="Yes"/>
    <s v="Yes"/>
    <d v="2024-10-25T00:00:00"/>
    <d v="2028-03-29T00:00:00"/>
    <n v="758"/>
    <x v="0"/>
    <n v="0"/>
    <x v="1"/>
  </r>
  <r>
    <s v="VND-193"/>
    <s v="Environmental Policy"/>
    <s v="Yes"/>
    <s v="Yes"/>
    <d v="2025-10-26T00:00:00"/>
    <d v="2027-01-09T00:00:00"/>
    <n v="313"/>
    <x v="0"/>
    <n v="0"/>
    <x v="0"/>
  </r>
  <r>
    <s v="VND-193"/>
    <s v="Sustainability Disclosure"/>
    <s v="Yes"/>
    <s v="Yes"/>
    <d v="2024-06-27T00:00:00"/>
    <d v="2028-03-13T00:00:00"/>
    <n v="742"/>
    <x v="0"/>
    <n v="0"/>
    <x v="0"/>
  </r>
  <r>
    <s v="VND-194"/>
    <s v="ISO 14001"/>
    <s v="Yes"/>
    <s v="Yes"/>
    <d v="2025-09-12T00:00:00"/>
    <d v="2026-11-03T00:00:00"/>
    <n v="246"/>
    <x v="0"/>
    <n v="0"/>
    <x v="0"/>
  </r>
  <r>
    <s v="VND-194"/>
    <s v="Safety Certificate"/>
    <s v="Yes"/>
    <s v="Yes"/>
    <d v="2024-07-27T00:00:00"/>
    <d v="2027-10-19T00:00:00"/>
    <n v="596"/>
    <x v="0"/>
    <n v="0"/>
    <x v="1"/>
  </r>
  <r>
    <s v="VND-194"/>
    <s v="Environmental Policy"/>
    <s v="Yes"/>
    <s v="Yes"/>
    <d v="2024-10-18T00:00:00"/>
    <d v="2027-11-19T00:00:00"/>
    <n v="627"/>
    <x v="0"/>
    <n v="0"/>
    <x v="0"/>
  </r>
  <r>
    <s v="VND-194"/>
    <s v="Sustainability Disclosure"/>
    <s v="Yes"/>
    <s v="Yes"/>
    <d v="2025-03-13T00:00:00"/>
    <d v="2027-01-12T00:00:00"/>
    <n v="316"/>
    <x v="0"/>
    <n v="0"/>
    <x v="0"/>
  </r>
  <r>
    <s v="VND-195"/>
    <s v="ISO 14001"/>
    <s v="Yes"/>
    <s v="Yes"/>
    <d v="2025-09-18T00:00:00"/>
    <d v="2027-10-23T00:00:00"/>
    <n v="600"/>
    <x v="0"/>
    <n v="0"/>
    <x v="0"/>
  </r>
  <r>
    <s v="VND-195"/>
    <s v="Safety Certificate"/>
    <s v="Yes"/>
    <s v="Yes"/>
    <d v="2024-10-15T00:00:00"/>
    <d v="2026-12-17T00:00:00"/>
    <n v="290"/>
    <x v="0"/>
    <n v="0"/>
    <x v="1"/>
  </r>
  <r>
    <s v="VND-195"/>
    <s v="Environmental Policy"/>
    <s v="Yes"/>
    <s v="Yes"/>
    <d v="2024-05-27T00:00:00"/>
    <d v="2027-07-21T00:00:00"/>
    <n v="506"/>
    <x v="0"/>
    <n v="0"/>
    <x v="0"/>
  </r>
  <r>
    <s v="VND-195"/>
    <s v="Sustainability Disclosure"/>
    <s v="Yes"/>
    <s v="Yes"/>
    <d v="2024-05-17T00:00:00"/>
    <d v="2026-12-05T00:00:00"/>
    <n v="278"/>
    <x v="0"/>
    <n v="0"/>
    <x v="0"/>
  </r>
  <r>
    <s v="VND-196"/>
    <s v="ISO 14001"/>
    <s v="Yes"/>
    <s v="Yes"/>
    <d v="2025-06-06T00:00:00"/>
    <d v="2027-01-27T00:00:00"/>
    <n v="331"/>
    <x v="0"/>
    <n v="0"/>
    <x v="0"/>
  </r>
  <r>
    <s v="VND-196"/>
    <s v="Safety Certificate"/>
    <s v="Yes"/>
    <s v="Yes"/>
    <d v="2025-02-23T00:00:00"/>
    <d v="2028-06-18T00:00:00"/>
    <n v="839"/>
    <x v="0"/>
    <n v="0"/>
    <x v="1"/>
  </r>
  <r>
    <s v="VND-196"/>
    <s v="Environmental Policy"/>
    <s v="Yes"/>
    <s v="Yes"/>
    <d v="2024-04-23T00:00:00"/>
    <d v="2028-07-01T00:00:00"/>
    <n v="852"/>
    <x v="0"/>
    <n v="0"/>
    <x v="0"/>
  </r>
  <r>
    <s v="VND-196"/>
    <s v="Sustainability Disclosure"/>
    <s v="Yes"/>
    <s v="Yes"/>
    <d v="2025-06-06T00:00:00"/>
    <d v="2027-08-18T00:00:00"/>
    <n v="534"/>
    <x v="0"/>
    <n v="0"/>
    <x v="0"/>
  </r>
  <r>
    <s v="VND-197"/>
    <s v="ISO 14001"/>
    <s v="Yes"/>
    <s v="Yes"/>
    <d v="2024-04-26T00:00:00"/>
    <d v="2028-05-25T00:00:00"/>
    <n v="815"/>
    <x v="0"/>
    <n v="0"/>
    <x v="0"/>
  </r>
  <r>
    <s v="VND-197"/>
    <s v="Safety Certificate"/>
    <s v="Yes"/>
    <s v="Yes"/>
    <d v="2025-06-05T00:00:00"/>
    <d v="2028-06-08T00:00:00"/>
    <n v="829"/>
    <x v="0"/>
    <n v="0"/>
    <x v="1"/>
  </r>
  <r>
    <s v="VND-197"/>
    <s v="Environmental Policy"/>
    <s v="Yes"/>
    <s v="Yes"/>
    <d v="2025-09-08T00:00:00"/>
    <d v="2028-01-07T00:00:00"/>
    <n v="676"/>
    <x v="0"/>
    <n v="0"/>
    <x v="0"/>
  </r>
  <r>
    <s v="VND-197"/>
    <s v="Sustainability Disclosure"/>
    <s v="Yes"/>
    <s v="Yes"/>
    <d v="2024-11-10T00:00:00"/>
    <d v="2028-03-24T00:00:00"/>
    <n v="753"/>
    <x v="0"/>
    <n v="0"/>
    <x v="0"/>
  </r>
  <r>
    <s v="VND-198"/>
    <s v="ISO 14001"/>
    <s v="Yes"/>
    <s v="Yes"/>
    <d v="2025-06-09T00:00:00"/>
    <d v="2026-12-31T00:00:00"/>
    <n v="304"/>
    <x v="0"/>
    <n v="0"/>
    <x v="0"/>
  </r>
  <r>
    <s v="VND-198"/>
    <s v="Safety Certificate"/>
    <s v="Yes"/>
    <s v="Yes"/>
    <d v="2024-05-29T00:00:00"/>
    <d v="2028-02-24T00:00:00"/>
    <n v="724"/>
    <x v="0"/>
    <n v="0"/>
    <x v="1"/>
  </r>
  <r>
    <s v="VND-198"/>
    <s v="Environmental Policy"/>
    <s v="Yes"/>
    <s v="Yes"/>
    <d v="2025-12-24T00:00:00"/>
    <d v="2027-08-29T00:00:00"/>
    <n v="545"/>
    <x v="0"/>
    <n v="0"/>
    <x v="0"/>
  </r>
  <r>
    <s v="VND-198"/>
    <s v="Sustainability Disclosure"/>
    <s v="Yes"/>
    <s v="Yes"/>
    <d v="2025-07-14T00:00:00"/>
    <d v="2027-09-15T00:00:00"/>
    <n v="562"/>
    <x v="0"/>
    <n v="0"/>
    <x v="0"/>
  </r>
  <r>
    <s v="VND-199"/>
    <s v="ISO 14001"/>
    <s v="Yes"/>
    <s v="Yes"/>
    <d v="2025-04-05T00:00:00"/>
    <d v="2027-03-19T00:00:00"/>
    <n v="382"/>
    <x v="0"/>
    <n v="0"/>
    <x v="0"/>
  </r>
  <r>
    <s v="VND-199"/>
    <s v="Safety Certificate"/>
    <s v="Yes"/>
    <s v="Yes"/>
    <d v="2024-04-07T00:00:00"/>
    <d v="2026-10-27T00:00:00"/>
    <n v="239"/>
    <x v="0"/>
    <n v="0"/>
    <x v="1"/>
  </r>
  <r>
    <s v="VND-199"/>
    <s v="Environmental Policy"/>
    <s v="Yes"/>
    <s v="Yes"/>
    <d v="2024-11-27T00:00:00"/>
    <d v="2027-04-08T00:00:00"/>
    <n v="402"/>
    <x v="0"/>
    <n v="0"/>
    <x v="0"/>
  </r>
  <r>
    <s v="VND-199"/>
    <s v="Sustainability Disclosure"/>
    <s v="Yes"/>
    <s v="Yes"/>
    <d v="2025-08-05T00:00:00"/>
    <d v="2027-03-04T00:00:00"/>
    <n v="367"/>
    <x v="0"/>
    <n v="0"/>
    <x v="0"/>
  </r>
  <r>
    <s v="VND-200"/>
    <s v="ISO 14001"/>
    <s v="Yes"/>
    <s v="Yes"/>
    <d v="2026-01-05T00:00:00"/>
    <d v="2028-07-22T00:00:00"/>
    <n v="873"/>
    <x v="0"/>
    <n v="0"/>
    <x v="0"/>
  </r>
  <r>
    <s v="VND-200"/>
    <s v="Safety Certificate"/>
    <s v="Yes"/>
    <s v="Yes"/>
    <d v="2025-12-31T00:00:00"/>
    <d v="2027-11-03T00:00:00"/>
    <n v="611"/>
    <x v="0"/>
    <n v="0"/>
    <x v="1"/>
  </r>
  <r>
    <s v="VND-200"/>
    <s v="Environmental Policy"/>
    <s v="Yes"/>
    <s v="Yes"/>
    <d v="2024-05-23T00:00:00"/>
    <d v="2027-04-21T00:00:00"/>
    <n v="415"/>
    <x v="0"/>
    <n v="0"/>
    <x v="0"/>
  </r>
  <r>
    <s v="VND-200"/>
    <s v="Sustainability Disclosure"/>
    <s v="Yes"/>
    <s v="Yes"/>
    <d v="2024-12-15T00:00:00"/>
    <d v="2027-12-19T00:00:00"/>
    <n v="657"/>
    <x v="0"/>
    <n v="0"/>
    <x v="0"/>
  </r>
  <r>
    <s v="VND-201"/>
    <s v="ISO 14001"/>
    <s v="Yes"/>
    <s v="Yes"/>
    <d v="2024-12-31T00:00:00"/>
    <d v="2027-12-28T00:00:00"/>
    <n v="666"/>
    <x v="0"/>
    <n v="0"/>
    <x v="0"/>
  </r>
  <r>
    <s v="VND-201"/>
    <s v="Safety Certificate"/>
    <s v="Yes"/>
    <s v="Yes"/>
    <d v="2024-10-28T00:00:00"/>
    <d v="2027-03-03T00:00:00"/>
    <n v="366"/>
    <x v="0"/>
    <n v="0"/>
    <x v="1"/>
  </r>
  <r>
    <s v="VND-201"/>
    <s v="Environmental Policy"/>
    <s v="Yes"/>
    <s v="Yes"/>
    <d v="2025-04-08T00:00:00"/>
    <d v="2026-12-18T00:00:00"/>
    <n v="291"/>
    <x v="0"/>
    <n v="0"/>
    <x v="0"/>
  </r>
  <r>
    <s v="VND-201"/>
    <s v="Sustainability Disclosure"/>
    <s v="Yes"/>
    <s v="Yes"/>
    <d v="2025-04-09T00:00:00"/>
    <d v="2026-08-15T00:00:00"/>
    <n v="166"/>
    <x v="0"/>
    <n v="0"/>
    <x v="0"/>
  </r>
  <r>
    <s v="VND-202"/>
    <s v="ISO 14001"/>
    <s v="Yes"/>
    <s v="Yes"/>
    <d v="2025-06-11T00:00:00"/>
    <d v="2027-10-06T00:00:00"/>
    <n v="583"/>
    <x v="0"/>
    <n v="0"/>
    <x v="0"/>
  </r>
  <r>
    <s v="VND-202"/>
    <s v="Safety Certificate"/>
    <s v="Yes"/>
    <s v="Yes"/>
    <d v="2024-05-12T00:00:00"/>
    <d v="2028-01-23T00:00:00"/>
    <n v="692"/>
    <x v="0"/>
    <n v="0"/>
    <x v="1"/>
  </r>
  <r>
    <s v="VND-202"/>
    <s v="Environmental Policy"/>
    <s v="Yes"/>
    <s v="Yes"/>
    <d v="2024-10-31T00:00:00"/>
    <d v="2026-07-08T00:00:00"/>
    <n v="128"/>
    <x v="0"/>
    <n v="0"/>
    <x v="0"/>
  </r>
  <r>
    <s v="VND-202"/>
    <s v="Sustainability Disclosure"/>
    <s v="Yes"/>
    <s v="Yes"/>
    <d v="2025-06-11T00:00:00"/>
    <d v="2028-07-07T00:00:00"/>
    <n v="858"/>
    <x v="0"/>
    <n v="0"/>
    <x v="0"/>
  </r>
  <r>
    <s v="VND-203"/>
    <s v="ISO 14001"/>
    <s v="Yes"/>
    <s v="Yes"/>
    <d v="2025-01-20T00:00:00"/>
    <d v="2028-07-28T00:00:00"/>
    <n v="879"/>
    <x v="0"/>
    <n v="0"/>
    <x v="0"/>
  </r>
  <r>
    <s v="VND-203"/>
    <s v="Safety Certificate"/>
    <s v="Yes"/>
    <s v="Yes"/>
    <d v="2024-05-28T00:00:00"/>
    <d v="2026-12-25T00:00:00"/>
    <n v="298"/>
    <x v="0"/>
    <n v="0"/>
    <x v="1"/>
  </r>
  <r>
    <s v="VND-203"/>
    <s v="Environmental Policy"/>
    <s v="Yes"/>
    <s v="Yes"/>
    <d v="2024-11-01T00:00:00"/>
    <d v="2026-09-30T00:00:00"/>
    <n v="212"/>
    <x v="0"/>
    <n v="0"/>
    <x v="0"/>
  </r>
  <r>
    <s v="VND-203"/>
    <s v="Sustainability Disclosure"/>
    <s v="Yes"/>
    <s v="Yes"/>
    <d v="2025-06-08T00:00:00"/>
    <d v="2026-11-04T00:00:00"/>
    <n v="247"/>
    <x v="0"/>
    <n v="0"/>
    <x v="0"/>
  </r>
  <r>
    <s v="VND-204"/>
    <s v="ISO 14001"/>
    <s v="Yes"/>
    <s v="Yes"/>
    <d v="2024-06-30T00:00:00"/>
    <d v="2026-09-14T00:00:00"/>
    <n v="196"/>
    <x v="0"/>
    <n v="0"/>
    <x v="0"/>
  </r>
  <r>
    <s v="VND-204"/>
    <s v="Safety Certificate"/>
    <s v="Yes"/>
    <s v="Yes"/>
    <d v="2024-12-28T00:00:00"/>
    <d v="2026-12-22T00:00:00"/>
    <n v="295"/>
    <x v="0"/>
    <n v="0"/>
    <x v="1"/>
  </r>
  <r>
    <s v="VND-204"/>
    <s v="Environmental Policy"/>
    <s v="Yes"/>
    <s v="Yes"/>
    <d v="2026-01-30T00:00:00"/>
    <d v="2027-05-11T00:00:00"/>
    <n v="435"/>
    <x v="0"/>
    <n v="0"/>
    <x v="0"/>
  </r>
  <r>
    <s v="VND-204"/>
    <s v="Sustainability Disclosure"/>
    <s v="Yes"/>
    <s v="Yes"/>
    <d v="2024-06-12T00:00:00"/>
    <d v="2026-09-17T00:00:00"/>
    <n v="199"/>
    <x v="0"/>
    <n v="0"/>
    <x v="0"/>
  </r>
  <r>
    <s v="VND-205"/>
    <s v="ISO 14001"/>
    <s v="Yes"/>
    <s v="Yes"/>
    <d v="2025-01-07T00:00:00"/>
    <d v="2028-08-02T00:00:00"/>
    <n v="884"/>
    <x v="0"/>
    <n v="0"/>
    <x v="0"/>
  </r>
  <r>
    <s v="VND-205"/>
    <s v="Safety Certificate"/>
    <s v="Yes"/>
    <s v="Yes"/>
    <d v="2024-04-28T00:00:00"/>
    <d v="2028-01-12T00:00:00"/>
    <n v="681"/>
    <x v="0"/>
    <n v="0"/>
    <x v="1"/>
  </r>
  <r>
    <s v="VND-205"/>
    <s v="Environmental Policy"/>
    <s v="Yes"/>
    <s v="Yes"/>
    <d v="2025-11-28T00:00:00"/>
    <d v="2028-03-15T00:00:00"/>
    <n v="744"/>
    <x v="0"/>
    <n v="0"/>
    <x v="0"/>
  </r>
  <r>
    <s v="VND-205"/>
    <s v="Sustainability Disclosure"/>
    <s v="Yes"/>
    <s v="Yes"/>
    <d v="2024-11-20T00:00:00"/>
    <d v="2028-03-19T00:00:00"/>
    <n v="748"/>
    <x v="0"/>
    <n v="0"/>
    <x v="0"/>
  </r>
  <r>
    <s v="VND-206"/>
    <s v="ISO 14001"/>
    <s v="Yes"/>
    <s v="Yes"/>
    <d v="2025-11-15T00:00:00"/>
    <d v="2028-06-19T00:00:00"/>
    <n v="840"/>
    <x v="0"/>
    <n v="0"/>
    <x v="0"/>
  </r>
  <r>
    <s v="VND-206"/>
    <s v="Safety Certificate"/>
    <s v="Yes"/>
    <s v="Yes"/>
    <d v="2024-11-05T00:00:00"/>
    <d v="2026-10-03T00:00:00"/>
    <n v="215"/>
    <x v="0"/>
    <n v="0"/>
    <x v="1"/>
  </r>
  <r>
    <s v="VND-206"/>
    <s v="Environmental Policy"/>
    <s v="Yes"/>
    <s v="Yes"/>
    <d v="2024-08-01T00:00:00"/>
    <d v="2028-02-25T00:00:00"/>
    <n v="725"/>
    <x v="0"/>
    <n v="0"/>
    <x v="0"/>
  </r>
  <r>
    <s v="VND-206"/>
    <s v="Sustainability Disclosure"/>
    <s v="Yes"/>
    <s v="Yes"/>
    <d v="2025-10-18T00:00:00"/>
    <d v="2027-05-25T00:00:00"/>
    <n v="449"/>
    <x v="0"/>
    <n v="0"/>
    <x v="0"/>
  </r>
  <r>
    <s v="VND-207"/>
    <s v="ISO 14001"/>
    <s v="Yes"/>
    <s v="Yes"/>
    <d v="2024-04-19T00:00:00"/>
    <d v="2026-10-12T00:00:00"/>
    <n v="224"/>
    <x v="0"/>
    <n v="0"/>
    <x v="0"/>
  </r>
  <r>
    <s v="VND-207"/>
    <s v="Safety Certificate"/>
    <s v="Yes"/>
    <s v="Yes"/>
    <d v="2025-04-04T00:00:00"/>
    <d v="2027-05-20T00:00:00"/>
    <n v="444"/>
    <x v="0"/>
    <n v="0"/>
    <x v="1"/>
  </r>
  <r>
    <s v="VND-207"/>
    <s v="Environmental Policy"/>
    <s v="Yes"/>
    <s v="Yes"/>
    <d v="2025-07-25T00:00:00"/>
    <d v="2027-09-01T00:00:00"/>
    <n v="548"/>
    <x v="0"/>
    <n v="0"/>
    <x v="0"/>
  </r>
  <r>
    <s v="VND-207"/>
    <s v="Sustainability Disclosure"/>
    <s v="Yes"/>
    <s v="Yes"/>
    <d v="2025-11-07T00:00:00"/>
    <d v="2027-05-10T00:00:00"/>
    <n v="434"/>
    <x v="0"/>
    <n v="0"/>
    <x v="0"/>
  </r>
  <r>
    <s v="VND-208"/>
    <s v="ISO 14001"/>
    <s v="Yes"/>
    <s v="Yes"/>
    <d v="2024-12-10T00:00:00"/>
    <d v="2027-10-29T00:00:00"/>
    <n v="606"/>
    <x v="0"/>
    <n v="0"/>
    <x v="0"/>
  </r>
  <r>
    <s v="VND-208"/>
    <s v="Safety Certificate"/>
    <s v="Yes"/>
    <s v="Yes"/>
    <d v="2024-11-11T00:00:00"/>
    <d v="2026-10-20T00:00:00"/>
    <n v="232"/>
    <x v="0"/>
    <n v="0"/>
    <x v="1"/>
  </r>
  <r>
    <s v="VND-208"/>
    <s v="Environmental Policy"/>
    <s v="Yes"/>
    <s v="Yes"/>
    <d v="2024-12-30T00:00:00"/>
    <d v="2028-03-18T00:00:00"/>
    <n v="747"/>
    <x v="0"/>
    <n v="0"/>
    <x v="0"/>
  </r>
  <r>
    <s v="VND-208"/>
    <s v="Sustainability Disclosure"/>
    <s v="Yes"/>
    <s v="Yes"/>
    <d v="2024-09-28T00:00:00"/>
    <d v="2027-12-31T00:00:00"/>
    <n v="669"/>
    <x v="0"/>
    <n v="0"/>
    <x v="0"/>
  </r>
  <r>
    <s v="VND-209"/>
    <s v="ISO 14001"/>
    <s v="Yes"/>
    <s v="Yes"/>
    <d v="2024-06-15T00:00:00"/>
    <d v="2026-08-04T00:00:00"/>
    <n v="155"/>
    <x v="0"/>
    <n v="0"/>
    <x v="0"/>
  </r>
  <r>
    <s v="VND-209"/>
    <s v="Safety Certificate"/>
    <s v="Yes"/>
    <s v="Yes"/>
    <d v="2025-06-23T00:00:00"/>
    <d v="2026-09-26T00:00:00"/>
    <n v="208"/>
    <x v="0"/>
    <n v="0"/>
    <x v="1"/>
  </r>
  <r>
    <s v="VND-209"/>
    <s v="Environmental Policy"/>
    <s v="Yes"/>
    <s v="Yes"/>
    <d v="2026-01-15T00:00:00"/>
    <d v="2027-09-07T00:00:00"/>
    <n v="554"/>
    <x v="0"/>
    <n v="0"/>
    <x v="0"/>
  </r>
  <r>
    <s v="VND-209"/>
    <s v="Sustainability Disclosure"/>
    <s v="Yes"/>
    <s v="Yes"/>
    <d v="2026-01-25T00:00:00"/>
    <d v="2027-08-09T00:00:00"/>
    <n v="525"/>
    <x v="0"/>
    <n v="0"/>
    <x v="0"/>
  </r>
  <r>
    <s v="VND-210"/>
    <s v="ISO 14001"/>
    <s v="Yes"/>
    <s v="Yes"/>
    <d v="2024-09-27T00:00:00"/>
    <d v="2028-01-31T00:00:00"/>
    <n v="700"/>
    <x v="0"/>
    <n v="0"/>
    <x v="0"/>
  </r>
  <r>
    <s v="VND-210"/>
    <s v="Safety Certificate"/>
    <s v="Yes"/>
    <s v="Yes"/>
    <d v="2025-01-09T00:00:00"/>
    <d v="2027-08-08T00:00:00"/>
    <n v="524"/>
    <x v="0"/>
    <n v="0"/>
    <x v="1"/>
  </r>
  <r>
    <s v="VND-210"/>
    <s v="Environmental Policy"/>
    <s v="Yes"/>
    <s v="Yes"/>
    <d v="2025-05-15T00:00:00"/>
    <d v="2026-08-21T00:00:00"/>
    <n v="172"/>
    <x v="0"/>
    <n v="0"/>
    <x v="0"/>
  </r>
  <r>
    <s v="VND-210"/>
    <s v="Sustainability Disclosure"/>
    <s v="Yes"/>
    <s v="Yes"/>
    <d v="2025-07-20T00:00:00"/>
    <d v="2027-08-28T00:00:00"/>
    <n v="544"/>
    <x v="0"/>
    <n v="0"/>
    <x v="0"/>
  </r>
  <r>
    <s v="VND-211"/>
    <s v="ISO 14001"/>
    <s v="Yes"/>
    <s v="Yes"/>
    <d v="2025-10-17T00:00:00"/>
    <d v="2027-05-04T00:00:00"/>
    <n v="428"/>
    <x v="0"/>
    <n v="0"/>
    <x v="0"/>
  </r>
  <r>
    <s v="VND-211"/>
    <s v="Safety Certificate"/>
    <s v="Yes"/>
    <s v="Yes"/>
    <d v="2025-01-10T00:00:00"/>
    <d v="2027-09-28T00:00:00"/>
    <n v="575"/>
    <x v="0"/>
    <n v="0"/>
    <x v="1"/>
  </r>
  <r>
    <s v="VND-211"/>
    <s v="Environmental Policy"/>
    <s v="Yes"/>
    <s v="Yes"/>
    <d v="2025-05-04T00:00:00"/>
    <d v="2027-01-18T00:00:00"/>
    <n v="322"/>
    <x v="0"/>
    <n v="0"/>
    <x v="0"/>
  </r>
  <r>
    <s v="VND-211"/>
    <s v="Sustainability Disclosure"/>
    <s v="Yes"/>
    <s v="Yes"/>
    <d v="2025-12-27T00:00:00"/>
    <d v="2027-12-30T00:00:00"/>
    <n v="668"/>
    <x v="0"/>
    <n v="0"/>
    <x v="0"/>
  </r>
  <r>
    <s v="VND-212"/>
    <s v="ISO 14001"/>
    <s v="Yes"/>
    <s v="Yes"/>
    <d v="2025-09-02T00:00:00"/>
    <d v="2027-10-06T00:00:00"/>
    <n v="583"/>
    <x v="0"/>
    <n v="0"/>
    <x v="0"/>
  </r>
  <r>
    <s v="VND-212"/>
    <s v="Safety Certificate"/>
    <s v="Yes"/>
    <s v="Yes"/>
    <d v="2025-08-09T00:00:00"/>
    <d v="2026-12-05T00:00:00"/>
    <n v="278"/>
    <x v="0"/>
    <n v="0"/>
    <x v="1"/>
  </r>
  <r>
    <s v="VND-212"/>
    <s v="Environmental Policy"/>
    <s v="Yes"/>
    <s v="Yes"/>
    <d v="2025-08-06T00:00:00"/>
    <d v="2028-06-15T00:00:00"/>
    <n v="836"/>
    <x v="0"/>
    <n v="0"/>
    <x v="0"/>
  </r>
  <r>
    <s v="VND-212"/>
    <s v="Sustainability Disclosure"/>
    <s v="Yes"/>
    <s v="Yes"/>
    <d v="2024-07-12T00:00:00"/>
    <d v="2028-01-29T00:00:00"/>
    <n v="698"/>
    <x v="0"/>
    <n v="0"/>
    <x v="0"/>
  </r>
  <r>
    <s v="VND-213"/>
    <s v="ISO 14001"/>
    <s v="Yes"/>
    <s v="Yes"/>
    <d v="2025-01-05T00:00:00"/>
    <d v="2028-05-13T00:00:00"/>
    <n v="803"/>
    <x v="0"/>
    <n v="0"/>
    <x v="0"/>
  </r>
  <r>
    <s v="VND-213"/>
    <s v="Safety Certificate"/>
    <s v="Yes"/>
    <s v="Yes"/>
    <d v="2025-06-15T00:00:00"/>
    <d v="2028-04-23T00:00:00"/>
    <n v="783"/>
    <x v="0"/>
    <n v="0"/>
    <x v="1"/>
  </r>
  <r>
    <s v="VND-213"/>
    <s v="Environmental Policy"/>
    <s v="Yes"/>
    <s v="Yes"/>
    <d v="2025-07-12T00:00:00"/>
    <d v="2027-08-01T00:00:00"/>
    <n v="517"/>
    <x v="0"/>
    <n v="0"/>
    <x v="0"/>
  </r>
  <r>
    <s v="VND-213"/>
    <s v="Sustainability Disclosure"/>
    <s v="Yes"/>
    <s v="Yes"/>
    <d v="2024-04-06T00:00:00"/>
    <d v="2028-04-21T00:00:00"/>
    <n v="781"/>
    <x v="0"/>
    <n v="0"/>
    <x v="0"/>
  </r>
  <r>
    <s v="VND-214"/>
    <s v="ISO 14001"/>
    <s v="Yes"/>
    <s v="Yes"/>
    <d v="2024-11-18T00:00:00"/>
    <d v="2028-02-16T00:00:00"/>
    <n v="716"/>
    <x v="0"/>
    <n v="0"/>
    <x v="0"/>
  </r>
  <r>
    <s v="VND-214"/>
    <s v="Safety Certificate"/>
    <s v="Yes"/>
    <s v="Yes"/>
    <d v="2025-10-06T00:00:00"/>
    <d v="2027-07-17T00:00:00"/>
    <n v="502"/>
    <x v="0"/>
    <n v="0"/>
    <x v="1"/>
  </r>
  <r>
    <s v="VND-214"/>
    <s v="Environmental Policy"/>
    <s v="Yes"/>
    <s v="Yes"/>
    <d v="2024-05-18T00:00:00"/>
    <d v="2028-04-17T00:00:00"/>
    <n v="777"/>
    <x v="0"/>
    <n v="0"/>
    <x v="0"/>
  </r>
  <r>
    <s v="VND-214"/>
    <s v="Sustainability Disclosure"/>
    <s v="Yes"/>
    <s v="Yes"/>
    <d v="2025-08-09T00:00:00"/>
    <d v="2028-04-06T00:00:00"/>
    <n v="766"/>
    <x v="0"/>
    <n v="0"/>
    <x v="0"/>
  </r>
  <r>
    <s v="VND-215"/>
    <s v="ISO 14001"/>
    <s v="Yes"/>
    <s v="Yes"/>
    <d v="2025-07-09T00:00:00"/>
    <d v="2028-07-11T00:00:00"/>
    <n v="862"/>
    <x v="0"/>
    <n v="0"/>
    <x v="0"/>
  </r>
  <r>
    <s v="VND-215"/>
    <s v="Safety Certificate"/>
    <s v="Yes"/>
    <s v="Yes"/>
    <d v="2025-06-25T00:00:00"/>
    <d v="2026-12-21T00:00:00"/>
    <n v="294"/>
    <x v="0"/>
    <n v="0"/>
    <x v="1"/>
  </r>
  <r>
    <s v="VND-215"/>
    <s v="Environmental Policy"/>
    <s v="Yes"/>
    <s v="Yes"/>
    <d v="2026-01-31T00:00:00"/>
    <d v="2027-04-15T00:00:00"/>
    <n v="409"/>
    <x v="0"/>
    <n v="0"/>
    <x v="0"/>
  </r>
  <r>
    <s v="VND-215"/>
    <s v="Sustainability Disclosure"/>
    <s v="Yes"/>
    <s v="Yes"/>
    <d v="2025-04-06T00:00:00"/>
    <d v="2027-12-02T00:00:00"/>
    <n v="640"/>
    <x v="0"/>
    <n v="0"/>
    <x v="0"/>
  </r>
  <r>
    <s v="VND-216"/>
    <s v="ISO 14001"/>
    <s v="Yes"/>
    <s v="Yes"/>
    <d v="2024-12-27T00:00:00"/>
    <d v="2028-04-05T00:00:00"/>
    <n v="765"/>
    <x v="0"/>
    <n v="0"/>
    <x v="0"/>
  </r>
  <r>
    <s v="VND-216"/>
    <s v="Safety Certificate"/>
    <s v="Yes"/>
    <s v="Yes"/>
    <d v="2025-03-11T00:00:00"/>
    <d v="2028-08-12T00:00:00"/>
    <n v="894"/>
    <x v="0"/>
    <n v="0"/>
    <x v="1"/>
  </r>
  <r>
    <s v="VND-216"/>
    <s v="Environmental Policy"/>
    <s v="Yes"/>
    <s v="Yes"/>
    <d v="2024-07-30T00:00:00"/>
    <d v="2028-05-31T00:00:00"/>
    <n v="821"/>
    <x v="0"/>
    <n v="0"/>
    <x v="0"/>
  </r>
  <r>
    <s v="VND-216"/>
    <s v="Sustainability Disclosure"/>
    <s v="Yes"/>
    <s v="Yes"/>
    <d v="2024-10-01T00:00:00"/>
    <d v="2027-01-11T00:00:00"/>
    <n v="315"/>
    <x v="0"/>
    <n v="0"/>
    <x v="0"/>
  </r>
  <r>
    <s v="VND-217"/>
    <s v="ISO 14001"/>
    <s v="Yes"/>
    <s v="Yes"/>
    <d v="2025-04-10T00:00:00"/>
    <d v="2028-02-18T00:00:00"/>
    <n v="718"/>
    <x v="0"/>
    <n v="0"/>
    <x v="0"/>
  </r>
  <r>
    <s v="VND-217"/>
    <s v="Safety Certificate"/>
    <s v="Yes"/>
    <s v="Yes"/>
    <d v="2025-05-04T00:00:00"/>
    <d v="2026-08-20T00:00:00"/>
    <n v="171"/>
    <x v="0"/>
    <n v="0"/>
    <x v="1"/>
  </r>
  <r>
    <s v="VND-217"/>
    <s v="Environmental Policy"/>
    <s v="Yes"/>
    <s v="Yes"/>
    <d v="2024-09-10T00:00:00"/>
    <d v="2026-12-02T00:00:00"/>
    <n v="275"/>
    <x v="0"/>
    <n v="0"/>
    <x v="0"/>
  </r>
  <r>
    <s v="VND-217"/>
    <s v="Sustainability Disclosure"/>
    <s v="Yes"/>
    <s v="Yes"/>
    <d v="2025-12-10T00:00:00"/>
    <d v="2028-07-31T00:00:00"/>
    <n v="882"/>
    <x v="0"/>
    <n v="0"/>
    <x v="0"/>
  </r>
  <r>
    <s v="VND-218"/>
    <s v="ISO 14001"/>
    <s v="Yes"/>
    <s v="Yes"/>
    <d v="2024-12-09T00:00:00"/>
    <d v="2027-01-15T00:00:00"/>
    <n v="319"/>
    <x v="0"/>
    <n v="0"/>
    <x v="0"/>
  </r>
  <r>
    <s v="VND-218"/>
    <s v="Safety Certificate"/>
    <s v="Yes"/>
    <s v="Yes"/>
    <d v="2026-02-02T00:00:00"/>
    <d v="2028-05-22T00:00:00"/>
    <n v="812"/>
    <x v="0"/>
    <n v="0"/>
    <x v="1"/>
  </r>
  <r>
    <s v="VND-218"/>
    <s v="Environmental Policy"/>
    <s v="Yes"/>
    <s v="Yes"/>
    <d v="2026-02-09T00:00:00"/>
    <d v="2027-01-16T00:00:00"/>
    <n v="320"/>
    <x v="0"/>
    <n v="0"/>
    <x v="0"/>
  </r>
  <r>
    <s v="VND-218"/>
    <s v="Sustainability Disclosure"/>
    <s v="Yes"/>
    <s v="Yes"/>
    <d v="2024-10-08T00:00:00"/>
    <d v="2027-03-21T00:00:00"/>
    <n v="384"/>
    <x v="0"/>
    <n v="0"/>
    <x v="0"/>
  </r>
  <r>
    <s v="VND-219"/>
    <s v="ISO 14001"/>
    <s v="Yes"/>
    <s v="Yes"/>
    <d v="2024-10-05T00:00:00"/>
    <d v="2028-01-29T00:00:00"/>
    <n v="698"/>
    <x v="0"/>
    <n v="0"/>
    <x v="0"/>
  </r>
  <r>
    <s v="VND-219"/>
    <s v="Safety Certificate"/>
    <s v="Yes"/>
    <s v="Yes"/>
    <d v="2025-02-03T00:00:00"/>
    <d v="2027-01-14T00:00:00"/>
    <n v="318"/>
    <x v="0"/>
    <n v="0"/>
    <x v="1"/>
  </r>
  <r>
    <s v="VND-219"/>
    <s v="Environmental Policy"/>
    <s v="Yes"/>
    <s v="Yes"/>
    <d v="2025-03-31T00:00:00"/>
    <d v="2026-07-14T00:00:00"/>
    <n v="134"/>
    <x v="0"/>
    <n v="0"/>
    <x v="0"/>
  </r>
  <r>
    <s v="VND-219"/>
    <s v="Sustainability Disclosure"/>
    <s v="Yes"/>
    <s v="Yes"/>
    <d v="2024-10-29T00:00:00"/>
    <d v="2028-05-14T00:00:00"/>
    <n v="804"/>
    <x v="0"/>
    <n v="0"/>
    <x v="0"/>
  </r>
  <r>
    <s v="VND-220"/>
    <s v="ISO 14001"/>
    <s v="Yes"/>
    <s v="Yes"/>
    <d v="2024-10-07T00:00:00"/>
    <d v="2028-01-30T00:00:00"/>
    <n v="699"/>
    <x v="0"/>
    <n v="0"/>
    <x v="0"/>
  </r>
  <r>
    <s v="VND-220"/>
    <s v="Safety Certificate"/>
    <s v="Yes"/>
    <s v="Yes"/>
    <d v="2024-05-01T00:00:00"/>
    <d v="2028-06-22T00:00:00"/>
    <n v="843"/>
    <x v="0"/>
    <n v="0"/>
    <x v="1"/>
  </r>
  <r>
    <s v="VND-220"/>
    <s v="Environmental Policy"/>
    <s v="Yes"/>
    <s v="Yes"/>
    <d v="2024-10-26T00:00:00"/>
    <d v="2026-10-08T00:00:00"/>
    <n v="220"/>
    <x v="0"/>
    <n v="0"/>
    <x v="0"/>
  </r>
  <r>
    <s v="VND-220"/>
    <s v="Sustainability Disclosure"/>
    <s v="Yes"/>
    <s v="Yes"/>
    <d v="2024-04-02T00:00:00"/>
    <d v="2027-05-30T00:00:00"/>
    <n v="454"/>
    <x v="0"/>
    <n v="0"/>
    <x v="0"/>
  </r>
  <r>
    <s v="VND-221"/>
    <s v="ISO 14001"/>
    <s v="Yes"/>
    <s v="Yes"/>
    <d v="2025-08-06T00:00:00"/>
    <d v="2026-12-09T00:00:00"/>
    <n v="282"/>
    <x v="0"/>
    <n v="0"/>
    <x v="0"/>
  </r>
  <r>
    <s v="VND-221"/>
    <s v="Safety Certificate"/>
    <s v="Yes"/>
    <s v="Yes"/>
    <d v="2024-11-09T00:00:00"/>
    <d v="2027-06-22T00:00:00"/>
    <n v="477"/>
    <x v="0"/>
    <n v="0"/>
    <x v="1"/>
  </r>
  <r>
    <s v="VND-221"/>
    <s v="Environmental Policy"/>
    <s v="Yes"/>
    <s v="Yes"/>
    <d v="2024-06-10T00:00:00"/>
    <d v="2027-02-02T00:00:00"/>
    <n v="337"/>
    <x v="0"/>
    <n v="0"/>
    <x v="0"/>
  </r>
  <r>
    <s v="VND-221"/>
    <s v="Sustainability Disclosure"/>
    <s v="Yes"/>
    <s v="Yes"/>
    <d v="2025-04-22T00:00:00"/>
    <d v="2026-09-24T00:00:00"/>
    <n v="206"/>
    <x v="0"/>
    <n v="0"/>
    <x v="0"/>
  </r>
  <r>
    <s v="VND-222"/>
    <s v="ISO 14001"/>
    <s v="Yes"/>
    <s v="Yes"/>
    <d v="2024-08-10T00:00:00"/>
    <d v="2026-07-21T00:00:00"/>
    <n v="141"/>
    <x v="0"/>
    <n v="0"/>
    <x v="0"/>
  </r>
  <r>
    <s v="VND-222"/>
    <s v="Safety Certificate"/>
    <s v="Yes"/>
    <s v="Yes"/>
    <d v="2024-08-12T00:00:00"/>
    <d v="2027-06-15T00:00:00"/>
    <n v="470"/>
    <x v="0"/>
    <n v="0"/>
    <x v="1"/>
  </r>
  <r>
    <s v="VND-222"/>
    <s v="Environmental Policy"/>
    <s v="Yes"/>
    <s v="Yes"/>
    <d v="2025-01-08T00:00:00"/>
    <d v="2026-09-19T00:00:00"/>
    <n v="201"/>
    <x v="0"/>
    <n v="0"/>
    <x v="0"/>
  </r>
  <r>
    <s v="VND-222"/>
    <s v="Sustainability Disclosure"/>
    <s v="Yes"/>
    <s v="Yes"/>
    <d v="2025-05-20T00:00:00"/>
    <d v="2027-02-15T00:00:00"/>
    <n v="350"/>
    <x v="0"/>
    <n v="0"/>
    <x v="0"/>
  </r>
  <r>
    <s v="VND-223"/>
    <s v="ISO 14001"/>
    <s v="Yes"/>
    <s v="Yes"/>
    <d v="2025-10-13T00:00:00"/>
    <d v="2027-10-18T00:00:00"/>
    <n v="595"/>
    <x v="0"/>
    <n v="0"/>
    <x v="0"/>
  </r>
  <r>
    <s v="VND-223"/>
    <s v="Safety Certificate"/>
    <s v="Yes"/>
    <s v="Yes"/>
    <d v="2025-03-07T00:00:00"/>
    <d v="2026-08-26T00:00:00"/>
    <n v="177"/>
    <x v="0"/>
    <n v="0"/>
    <x v="1"/>
  </r>
  <r>
    <s v="VND-223"/>
    <s v="Environmental Policy"/>
    <s v="Yes"/>
    <s v="Yes"/>
    <d v="2024-06-16T00:00:00"/>
    <d v="2027-02-14T00:00:00"/>
    <n v="349"/>
    <x v="0"/>
    <n v="0"/>
    <x v="0"/>
  </r>
  <r>
    <s v="VND-223"/>
    <s v="Sustainability Disclosure"/>
    <s v="Yes"/>
    <s v="Yes"/>
    <d v="2025-07-11T00:00:00"/>
    <d v="2028-04-28T00:00:00"/>
    <n v="788"/>
    <x v="0"/>
    <n v="0"/>
    <x v="0"/>
  </r>
  <r>
    <s v="VND-224"/>
    <s v="ISO 14001"/>
    <s v="Yes"/>
    <s v="Yes"/>
    <d v="2024-06-22T00:00:00"/>
    <d v="2028-03-14T00:00:00"/>
    <n v="743"/>
    <x v="0"/>
    <n v="0"/>
    <x v="0"/>
  </r>
  <r>
    <s v="VND-224"/>
    <s v="Safety Certificate"/>
    <s v="Yes"/>
    <s v="Yes"/>
    <d v="2025-08-04T00:00:00"/>
    <d v="2027-03-21T00:00:00"/>
    <n v="384"/>
    <x v="0"/>
    <n v="0"/>
    <x v="1"/>
  </r>
  <r>
    <s v="VND-224"/>
    <s v="Environmental Policy"/>
    <s v="Yes"/>
    <s v="Yes"/>
    <d v="2025-01-08T00:00:00"/>
    <d v="2027-07-23T00:00:00"/>
    <n v="508"/>
    <x v="0"/>
    <n v="0"/>
    <x v="0"/>
  </r>
  <r>
    <s v="VND-224"/>
    <s v="Sustainability Disclosure"/>
    <s v="Yes"/>
    <s v="Yes"/>
    <d v="2024-05-05T00:00:00"/>
    <d v="2027-03-17T00:00:00"/>
    <n v="380"/>
    <x v="0"/>
    <n v="0"/>
    <x v="0"/>
  </r>
  <r>
    <s v="VND-225"/>
    <s v="ISO 14001"/>
    <s v="Yes"/>
    <s v="Yes"/>
    <d v="2025-04-29T00:00:00"/>
    <d v="2026-03-14T00:00:00"/>
    <n v="12"/>
    <x v="1"/>
    <n v="1"/>
    <x v="0"/>
  </r>
  <r>
    <s v="VND-225"/>
    <s v="Safety Certificate"/>
    <s v="Yes"/>
    <s v="Yes"/>
    <d v="2024-10-01T00:00:00"/>
    <d v="2026-03-16T00:00:00"/>
    <n v="14"/>
    <x v="1"/>
    <n v="1"/>
    <x v="1"/>
  </r>
  <r>
    <s v="VND-225"/>
    <s v="Environmental Policy"/>
    <s v="Yes"/>
    <s v="Yes"/>
    <d v="2024-05-16T00:00:00"/>
    <d v="2026-03-04T00:00:00"/>
    <n v="2"/>
    <x v="1"/>
    <n v="1"/>
    <x v="0"/>
  </r>
  <r>
    <s v="VND-225"/>
    <s v="Sustainability Disclosure"/>
    <s v="Yes"/>
    <s v="Yes"/>
    <d v="2025-06-21T00:00:00"/>
    <d v="2026-03-30T00:00:00"/>
    <n v="28"/>
    <x v="1"/>
    <n v="1"/>
    <x v="0"/>
  </r>
  <r>
    <s v="VND-226"/>
    <s v="ISO 14001"/>
    <s v="Yes"/>
    <s v="Yes"/>
    <d v="2025-08-26T00:00:00"/>
    <d v="2026-03-23T00:00:00"/>
    <n v="21"/>
    <x v="1"/>
    <n v="1"/>
    <x v="0"/>
  </r>
  <r>
    <s v="VND-226"/>
    <s v="Safety Certificate"/>
    <s v="Yes"/>
    <s v="Yes"/>
    <d v="2024-06-18T00:00:00"/>
    <d v="2026-03-09T00:00:00"/>
    <n v="7"/>
    <x v="1"/>
    <n v="1"/>
    <x v="1"/>
  </r>
  <r>
    <s v="VND-226"/>
    <s v="Environmental Policy"/>
    <s v="Yes"/>
    <s v="Yes"/>
    <d v="2025-02-28T00:00:00"/>
    <d v="2026-03-06T00:00:00"/>
    <n v="4"/>
    <x v="1"/>
    <n v="1"/>
    <x v="0"/>
  </r>
  <r>
    <s v="VND-226"/>
    <s v="Sustainability Disclosure"/>
    <s v="Yes"/>
    <s v="Yes"/>
    <d v="2026-02-14T00:00:00"/>
    <d v="2026-03-26T00:00:00"/>
    <n v="24"/>
    <x v="1"/>
    <n v="1"/>
    <x v="0"/>
  </r>
  <r>
    <s v="VND-227"/>
    <s v="ISO 14001"/>
    <s v="Yes"/>
    <s v="Yes"/>
    <d v="2025-05-15T00:00:00"/>
    <d v="2026-03-22T00:00:00"/>
    <n v="20"/>
    <x v="1"/>
    <n v="1"/>
    <x v="0"/>
  </r>
  <r>
    <s v="VND-227"/>
    <s v="Safety Certificate"/>
    <s v="Yes"/>
    <s v="Yes"/>
    <d v="2025-08-20T00:00:00"/>
    <d v="2026-03-05T00:00:00"/>
    <n v="3"/>
    <x v="1"/>
    <n v="1"/>
    <x v="1"/>
  </r>
  <r>
    <s v="VND-227"/>
    <s v="Environmental Policy"/>
    <s v="Yes"/>
    <s v="Yes"/>
    <d v="2025-10-22T00:00:00"/>
    <d v="2026-03-21T00:00:00"/>
    <n v="19"/>
    <x v="1"/>
    <n v="1"/>
    <x v="0"/>
  </r>
  <r>
    <s v="VND-227"/>
    <s v="Sustainability Disclosure"/>
    <s v="Yes"/>
    <s v="Yes"/>
    <d v="2025-12-01T00:00:00"/>
    <d v="2026-03-18T00:00:00"/>
    <n v="16"/>
    <x v="1"/>
    <n v="1"/>
    <x v="0"/>
  </r>
  <r>
    <s v="VND-228"/>
    <s v="ISO 14001"/>
    <s v="Yes"/>
    <s v="Yes"/>
    <d v="2024-07-28T00:00:00"/>
    <d v="2026-03-25T00:00:00"/>
    <n v="23"/>
    <x v="1"/>
    <n v="1"/>
    <x v="0"/>
  </r>
  <r>
    <s v="VND-228"/>
    <s v="Safety Certificate"/>
    <s v="Yes"/>
    <s v="Yes"/>
    <d v="2025-01-18T00:00:00"/>
    <d v="2026-03-10T00:00:00"/>
    <n v="8"/>
    <x v="1"/>
    <n v="1"/>
    <x v="1"/>
  </r>
  <r>
    <s v="VND-228"/>
    <s v="Environmental Policy"/>
    <s v="Yes"/>
    <s v="Yes"/>
    <d v="2024-05-14T00:00:00"/>
    <d v="2026-03-10T00:00:00"/>
    <n v="8"/>
    <x v="1"/>
    <n v="1"/>
    <x v="0"/>
  </r>
  <r>
    <s v="VND-228"/>
    <s v="Sustainability Disclosure"/>
    <s v="Yes"/>
    <s v="Yes"/>
    <d v="2025-06-26T00:00:00"/>
    <d v="2026-03-14T00:00:00"/>
    <n v="12"/>
    <x v="1"/>
    <n v="1"/>
    <x v="0"/>
  </r>
  <r>
    <s v="VND-229"/>
    <s v="ISO 14001"/>
    <s v="Yes"/>
    <s v="Yes"/>
    <d v="2024-10-13T00:00:00"/>
    <d v="2026-03-11T00:00:00"/>
    <n v="9"/>
    <x v="1"/>
    <n v="1"/>
    <x v="0"/>
  </r>
  <r>
    <s v="VND-229"/>
    <s v="Safety Certificate"/>
    <s v="Yes"/>
    <s v="Yes"/>
    <d v="2024-09-04T00:00:00"/>
    <d v="2026-03-06T00:00:00"/>
    <n v="4"/>
    <x v="1"/>
    <n v="1"/>
    <x v="1"/>
  </r>
  <r>
    <s v="VND-229"/>
    <s v="Environmental Policy"/>
    <s v="Yes"/>
    <s v="Yes"/>
    <d v="2025-09-27T00:00:00"/>
    <d v="2026-03-15T00:00:00"/>
    <n v="13"/>
    <x v="1"/>
    <n v="1"/>
    <x v="0"/>
  </r>
  <r>
    <s v="VND-229"/>
    <s v="Sustainability Disclosure"/>
    <s v="Yes"/>
    <s v="Yes"/>
    <d v="2024-05-26T00:00:00"/>
    <d v="2026-03-23T00:00:00"/>
    <n v="21"/>
    <x v="1"/>
    <n v="1"/>
    <x v="0"/>
  </r>
  <r>
    <s v="VND-230"/>
    <s v="ISO 14001"/>
    <s v="Yes"/>
    <s v="Yes"/>
    <d v="2025-05-08T00:00:00"/>
    <d v="2026-03-06T00:00:00"/>
    <n v="4"/>
    <x v="1"/>
    <n v="1"/>
    <x v="0"/>
  </r>
  <r>
    <s v="VND-230"/>
    <s v="Safety Certificate"/>
    <s v="Yes"/>
    <s v="Yes"/>
    <d v="2024-11-29T00:00:00"/>
    <d v="2026-03-21T00:00:00"/>
    <n v="19"/>
    <x v="1"/>
    <n v="1"/>
    <x v="1"/>
  </r>
  <r>
    <s v="VND-230"/>
    <s v="Environmental Policy"/>
    <s v="Yes"/>
    <s v="Yes"/>
    <d v="2024-10-26T00:00:00"/>
    <d v="2026-03-30T00:00:00"/>
    <n v="28"/>
    <x v="1"/>
    <n v="1"/>
    <x v="0"/>
  </r>
  <r>
    <s v="VND-230"/>
    <s v="Sustainability Disclosure"/>
    <s v="Yes"/>
    <s v="Yes"/>
    <d v="2025-01-04T00:00:00"/>
    <d v="2026-03-05T00:00:00"/>
    <n v="3"/>
    <x v="1"/>
    <n v="1"/>
    <x v="0"/>
  </r>
  <r>
    <s v="VND-231"/>
    <s v="ISO 14001"/>
    <s v="Yes"/>
    <s v="Yes"/>
    <d v="2025-09-08T00:00:00"/>
    <d v="2026-03-23T00:00:00"/>
    <n v="21"/>
    <x v="1"/>
    <n v="1"/>
    <x v="0"/>
  </r>
  <r>
    <s v="VND-231"/>
    <s v="Safety Certificate"/>
    <s v="Yes"/>
    <s v="Yes"/>
    <d v="2025-06-21T00:00:00"/>
    <d v="2026-03-20T00:00:00"/>
    <n v="18"/>
    <x v="1"/>
    <n v="1"/>
    <x v="1"/>
  </r>
  <r>
    <s v="VND-231"/>
    <s v="Environmental Policy"/>
    <s v="Yes"/>
    <s v="Yes"/>
    <d v="2025-05-05T00:00:00"/>
    <d v="2026-03-28T00:00:00"/>
    <n v="26"/>
    <x v="1"/>
    <n v="1"/>
    <x v="0"/>
  </r>
  <r>
    <s v="VND-231"/>
    <s v="Sustainability Disclosure"/>
    <s v="Yes"/>
    <s v="Yes"/>
    <d v="2024-05-01T00:00:00"/>
    <d v="2026-03-20T00:00:00"/>
    <n v="18"/>
    <x v="1"/>
    <n v="1"/>
    <x v="0"/>
  </r>
  <r>
    <s v="VND-232"/>
    <s v="ISO 14001"/>
    <s v="Yes"/>
    <s v="Yes"/>
    <d v="2025-10-21T00:00:00"/>
    <d v="2026-03-25T00:00:00"/>
    <n v="23"/>
    <x v="1"/>
    <n v="1"/>
    <x v="0"/>
  </r>
  <r>
    <s v="VND-232"/>
    <s v="Safety Certificate"/>
    <s v="Yes"/>
    <s v="Yes"/>
    <d v="2024-11-29T00:00:00"/>
    <d v="2026-03-01T00:00:00"/>
    <n v="-1"/>
    <x v="2"/>
    <n v="1"/>
    <x v="1"/>
  </r>
  <r>
    <s v="VND-232"/>
    <s v="Environmental Policy"/>
    <s v="Yes"/>
    <s v="Yes"/>
    <d v="2024-11-13T00:00:00"/>
    <d v="2026-03-12T00:00:00"/>
    <n v="10"/>
    <x v="1"/>
    <n v="1"/>
    <x v="0"/>
  </r>
  <r>
    <s v="VND-232"/>
    <s v="Sustainability Disclosure"/>
    <s v="Yes"/>
    <s v="Yes"/>
    <d v="2025-10-24T00:00:00"/>
    <d v="2026-03-27T00:00:00"/>
    <n v="25"/>
    <x v="1"/>
    <n v="1"/>
    <x v="0"/>
  </r>
  <r>
    <s v="VND-233"/>
    <s v="ISO 14001"/>
    <s v="Yes"/>
    <s v="Yes"/>
    <d v="2025-08-04T00:00:00"/>
    <d v="2026-03-19T00:00:00"/>
    <n v="17"/>
    <x v="1"/>
    <n v="1"/>
    <x v="0"/>
  </r>
  <r>
    <s v="VND-233"/>
    <s v="Safety Certificate"/>
    <s v="Yes"/>
    <s v="Yes"/>
    <d v="2024-04-26T00:00:00"/>
    <d v="2026-03-12T00:00:00"/>
    <n v="10"/>
    <x v="1"/>
    <n v="1"/>
    <x v="1"/>
  </r>
  <r>
    <s v="VND-233"/>
    <s v="Environmental Policy"/>
    <s v="Yes"/>
    <s v="Yes"/>
    <d v="2025-02-03T00:00:00"/>
    <d v="2026-03-24T00:00:00"/>
    <n v="22"/>
    <x v="1"/>
    <n v="1"/>
    <x v="0"/>
  </r>
  <r>
    <s v="VND-233"/>
    <s v="Sustainability Disclosure"/>
    <s v="Yes"/>
    <s v="Yes"/>
    <d v="2026-01-23T00:00:00"/>
    <d v="2026-03-29T00:00:00"/>
    <n v="27"/>
    <x v="1"/>
    <n v="1"/>
    <x v="0"/>
  </r>
  <r>
    <s v="VND-234"/>
    <s v="ISO 14001"/>
    <s v="Yes"/>
    <s v="Yes"/>
    <d v="2025-04-15T00:00:00"/>
    <d v="2026-03-06T00:00:00"/>
    <n v="4"/>
    <x v="1"/>
    <n v="1"/>
    <x v="0"/>
  </r>
  <r>
    <s v="VND-234"/>
    <s v="Safety Certificate"/>
    <s v="Yes"/>
    <s v="Yes"/>
    <d v="2024-07-22T00:00:00"/>
    <d v="2026-03-20T00:00:00"/>
    <n v="18"/>
    <x v="1"/>
    <n v="1"/>
    <x v="1"/>
  </r>
  <r>
    <s v="VND-234"/>
    <s v="Environmental Policy"/>
    <s v="Yes"/>
    <s v="Yes"/>
    <d v="2025-02-16T00:00:00"/>
    <d v="2026-03-08T00:00:00"/>
    <n v="6"/>
    <x v="1"/>
    <n v="1"/>
    <x v="0"/>
  </r>
  <r>
    <s v="VND-234"/>
    <s v="Sustainability Disclosure"/>
    <s v="Yes"/>
    <s v="Yes"/>
    <d v="2026-01-29T00:00:00"/>
    <d v="2026-03-22T00:00:00"/>
    <n v="20"/>
    <x v="1"/>
    <n v="1"/>
    <x v="0"/>
  </r>
  <r>
    <s v="VND-235"/>
    <s v="ISO 14001"/>
    <s v="Yes"/>
    <s v="Yes"/>
    <d v="2024-07-16T00:00:00"/>
    <d v="2026-03-09T00:00:00"/>
    <n v="7"/>
    <x v="1"/>
    <n v="1"/>
    <x v="0"/>
  </r>
  <r>
    <s v="VND-235"/>
    <s v="Safety Certificate"/>
    <s v="Yes"/>
    <s v="Yes"/>
    <d v="2024-08-31T00:00:00"/>
    <d v="2026-03-18T00:00:00"/>
    <n v="16"/>
    <x v="1"/>
    <n v="1"/>
    <x v="1"/>
  </r>
  <r>
    <s v="VND-235"/>
    <s v="Environmental Policy"/>
    <s v="Yes"/>
    <s v="Yes"/>
    <d v="2024-11-24T00:00:00"/>
    <d v="2026-03-14T00:00:00"/>
    <n v="12"/>
    <x v="1"/>
    <n v="1"/>
    <x v="0"/>
  </r>
  <r>
    <s v="VND-235"/>
    <s v="Sustainability Disclosure"/>
    <s v="Yes"/>
    <s v="Yes"/>
    <d v="2024-10-24T00:00:00"/>
    <d v="2026-03-27T00:00:00"/>
    <n v="25"/>
    <x v="1"/>
    <n v="1"/>
    <x v="0"/>
  </r>
  <r>
    <s v="VND-236"/>
    <s v="ISO 14001"/>
    <s v="Yes"/>
    <s v="Yes"/>
    <d v="2025-05-21T00:00:00"/>
    <d v="2026-03-21T00:00:00"/>
    <n v="19"/>
    <x v="1"/>
    <n v="1"/>
    <x v="0"/>
  </r>
  <r>
    <s v="VND-236"/>
    <s v="Safety Certificate"/>
    <s v="Yes"/>
    <s v="Yes"/>
    <d v="2024-06-05T00:00:00"/>
    <d v="2026-03-10T00:00:00"/>
    <n v="8"/>
    <x v="1"/>
    <n v="1"/>
    <x v="1"/>
  </r>
  <r>
    <s v="VND-236"/>
    <s v="Environmental Policy"/>
    <s v="Yes"/>
    <s v="Yes"/>
    <d v="2025-11-06T00:00:00"/>
    <d v="2026-03-13T00:00:00"/>
    <n v="11"/>
    <x v="1"/>
    <n v="1"/>
    <x v="0"/>
  </r>
  <r>
    <s v="VND-236"/>
    <s v="Sustainability Disclosure"/>
    <s v="Yes"/>
    <s v="Yes"/>
    <d v="2025-03-18T00:00:00"/>
    <d v="2026-03-27T00:00:00"/>
    <n v="25"/>
    <x v="1"/>
    <n v="1"/>
    <x v="0"/>
  </r>
  <r>
    <s v="VND-237"/>
    <s v="ISO 14001"/>
    <s v="Yes"/>
    <s v="Yes"/>
    <d v="2025-07-16T00:00:00"/>
    <d v="2026-03-30T00:00:00"/>
    <n v="28"/>
    <x v="1"/>
    <n v="1"/>
    <x v="0"/>
  </r>
  <r>
    <s v="VND-237"/>
    <s v="Safety Certificate"/>
    <s v="Yes"/>
    <s v="Yes"/>
    <d v="2025-11-20T00:00:00"/>
    <d v="2026-03-22T00:00:00"/>
    <n v="20"/>
    <x v="1"/>
    <n v="1"/>
    <x v="1"/>
  </r>
  <r>
    <s v="VND-237"/>
    <s v="Environmental Policy"/>
    <s v="Yes"/>
    <s v="Yes"/>
    <d v="2025-08-14T00:00:00"/>
    <d v="2026-03-06T00:00:00"/>
    <n v="4"/>
    <x v="1"/>
    <n v="1"/>
    <x v="0"/>
  </r>
  <r>
    <s v="VND-237"/>
    <s v="Sustainability Disclosure"/>
    <s v="Yes"/>
    <s v="Yes"/>
    <d v="2024-07-17T00:00:00"/>
    <d v="2026-03-29T00:00:00"/>
    <n v="27"/>
    <x v="1"/>
    <n v="1"/>
    <x v="0"/>
  </r>
  <r>
    <s v="VND-238"/>
    <s v="ISO 14001"/>
    <s v="Yes"/>
    <s v="Yes"/>
    <d v="2024-05-15T00:00:00"/>
    <d v="2026-03-12T00:00:00"/>
    <n v="10"/>
    <x v="1"/>
    <n v="1"/>
    <x v="0"/>
  </r>
  <r>
    <s v="VND-238"/>
    <s v="Safety Certificate"/>
    <s v="Yes"/>
    <s v="Yes"/>
    <d v="2025-01-11T00:00:00"/>
    <d v="2026-03-19T00:00:00"/>
    <n v="17"/>
    <x v="1"/>
    <n v="1"/>
    <x v="1"/>
  </r>
  <r>
    <s v="VND-238"/>
    <s v="Environmental Policy"/>
    <s v="Yes"/>
    <s v="Yes"/>
    <d v="2025-02-20T00:00:00"/>
    <d v="2026-03-12T00:00:00"/>
    <n v="10"/>
    <x v="1"/>
    <n v="1"/>
    <x v="0"/>
  </r>
  <r>
    <s v="VND-238"/>
    <s v="Sustainability Disclosure"/>
    <s v="Yes"/>
    <s v="Yes"/>
    <d v="2025-07-06T00:00:00"/>
    <d v="2026-03-24T00:00:00"/>
    <n v="22"/>
    <x v="1"/>
    <n v="1"/>
    <x v="0"/>
  </r>
  <r>
    <s v="VND-239"/>
    <s v="ISO 14001"/>
    <s v="Yes"/>
    <s v="Yes"/>
    <d v="2025-10-10T00:00:00"/>
    <d v="2026-03-25T00:00:00"/>
    <n v="23"/>
    <x v="1"/>
    <n v="1"/>
    <x v="0"/>
  </r>
  <r>
    <s v="VND-239"/>
    <s v="Safety Certificate"/>
    <s v="Yes"/>
    <s v="Yes"/>
    <d v="2025-01-13T00:00:00"/>
    <d v="2026-03-25T00:00:00"/>
    <n v="23"/>
    <x v="1"/>
    <n v="1"/>
    <x v="1"/>
  </r>
  <r>
    <s v="VND-239"/>
    <s v="Environmental Policy"/>
    <s v="Yes"/>
    <s v="Yes"/>
    <d v="2025-02-15T00:00:00"/>
    <d v="2026-03-22T00:00:00"/>
    <n v="20"/>
    <x v="1"/>
    <n v="1"/>
    <x v="0"/>
  </r>
  <r>
    <s v="VND-239"/>
    <s v="Sustainability Disclosure"/>
    <s v="Yes"/>
    <s v="Yes"/>
    <d v="2025-07-09T00:00:00"/>
    <d v="2026-03-23T00:00:00"/>
    <n v="21"/>
    <x v="1"/>
    <n v="1"/>
    <x v="0"/>
  </r>
  <r>
    <s v="VND-240"/>
    <s v="ISO 14001"/>
    <s v="Yes"/>
    <s v="Yes"/>
    <d v="2026-01-28T00:00:00"/>
    <d v="2026-03-01T00:00:00"/>
    <n v="-1"/>
    <x v="2"/>
    <n v="1"/>
    <x v="0"/>
  </r>
  <r>
    <s v="VND-240"/>
    <s v="Safety Certificate"/>
    <s v="Yes"/>
    <s v="Yes"/>
    <d v="2025-01-08T00:00:00"/>
    <d v="2026-03-26T00:00:00"/>
    <n v="24"/>
    <x v="1"/>
    <n v="1"/>
    <x v="1"/>
  </r>
  <r>
    <s v="VND-240"/>
    <s v="Environmental Policy"/>
    <s v="Yes"/>
    <s v="Yes"/>
    <d v="2025-06-21T00:00:00"/>
    <d v="2026-03-20T00:00:00"/>
    <n v="18"/>
    <x v="1"/>
    <n v="1"/>
    <x v="0"/>
  </r>
  <r>
    <s v="VND-240"/>
    <s v="Sustainability Disclosure"/>
    <s v="Yes"/>
    <s v="Yes"/>
    <d v="2024-09-17T00:00:00"/>
    <d v="2026-03-11T00:00:00"/>
    <n v="9"/>
    <x v="1"/>
    <n v="1"/>
    <x v="0"/>
  </r>
  <r>
    <s v="VND-241"/>
    <s v="ISO 14001"/>
    <s v="Yes"/>
    <s v="Yes"/>
    <d v="2025-04-11T00:00:00"/>
    <d v="2026-03-15T00:00:00"/>
    <n v="13"/>
    <x v="1"/>
    <n v="1"/>
    <x v="0"/>
  </r>
  <r>
    <s v="VND-241"/>
    <s v="Safety Certificate"/>
    <s v="Yes"/>
    <s v="Yes"/>
    <d v="2025-04-20T00:00:00"/>
    <d v="2026-03-18T00:00:00"/>
    <n v="16"/>
    <x v="1"/>
    <n v="1"/>
    <x v="1"/>
  </r>
  <r>
    <s v="VND-241"/>
    <s v="Environmental Policy"/>
    <s v="Yes"/>
    <s v="Yes"/>
    <d v="2025-11-11T00:00:00"/>
    <d v="2026-03-24T00:00:00"/>
    <n v="22"/>
    <x v="1"/>
    <n v="1"/>
    <x v="0"/>
  </r>
  <r>
    <s v="VND-241"/>
    <s v="Sustainability Disclosure"/>
    <s v="Yes"/>
    <s v="Yes"/>
    <d v="2024-11-16T00:00:00"/>
    <d v="2026-03-22T00:00:00"/>
    <n v="20"/>
    <x v="1"/>
    <n v="1"/>
    <x v="0"/>
  </r>
  <r>
    <s v="VND-242"/>
    <s v="ISO 14001"/>
    <s v="Yes"/>
    <s v="Yes"/>
    <d v="2025-01-17T00:00:00"/>
    <d v="2026-03-20T00:00:00"/>
    <n v="18"/>
    <x v="1"/>
    <n v="1"/>
    <x v="0"/>
  </r>
  <r>
    <s v="VND-242"/>
    <s v="Safety Certificate"/>
    <s v="Yes"/>
    <s v="Yes"/>
    <d v="2025-08-26T00:00:00"/>
    <d v="2026-03-09T00:00:00"/>
    <n v="7"/>
    <x v="1"/>
    <n v="1"/>
    <x v="1"/>
  </r>
  <r>
    <s v="VND-242"/>
    <s v="Environmental Policy"/>
    <s v="Yes"/>
    <s v="Yes"/>
    <d v="2025-06-09T00:00:00"/>
    <d v="2026-03-11T00:00:00"/>
    <n v="9"/>
    <x v="1"/>
    <n v="1"/>
    <x v="0"/>
  </r>
  <r>
    <s v="VND-242"/>
    <s v="Sustainability Disclosure"/>
    <s v="Yes"/>
    <s v="Yes"/>
    <d v="2026-02-08T00:00:00"/>
    <d v="2026-03-28T00:00:00"/>
    <n v="26"/>
    <x v="1"/>
    <n v="1"/>
    <x v="0"/>
  </r>
  <r>
    <s v="VND-243"/>
    <s v="ISO 14001"/>
    <s v="Yes"/>
    <s v="Yes"/>
    <d v="2024-07-09T00:00:00"/>
    <d v="2026-03-12T00:00:00"/>
    <n v="10"/>
    <x v="1"/>
    <n v="1"/>
    <x v="0"/>
  </r>
  <r>
    <s v="VND-243"/>
    <s v="Safety Certificate"/>
    <s v="Yes"/>
    <s v="Yes"/>
    <d v="2024-04-30T00:00:00"/>
    <d v="2026-03-06T00:00:00"/>
    <n v="4"/>
    <x v="1"/>
    <n v="1"/>
    <x v="1"/>
  </r>
  <r>
    <s v="VND-243"/>
    <s v="Environmental Policy"/>
    <s v="Yes"/>
    <s v="Yes"/>
    <d v="2025-10-30T00:00:00"/>
    <d v="2026-03-06T00:00:00"/>
    <n v="4"/>
    <x v="1"/>
    <n v="1"/>
    <x v="0"/>
  </r>
  <r>
    <s v="VND-243"/>
    <s v="Sustainability Disclosure"/>
    <s v="Yes"/>
    <s v="Yes"/>
    <d v="2025-06-06T00:00:00"/>
    <d v="2026-03-29T00:00:00"/>
    <n v="27"/>
    <x v="1"/>
    <n v="1"/>
    <x v="0"/>
  </r>
  <r>
    <s v="VND-244"/>
    <s v="ISO 14001"/>
    <s v="Yes"/>
    <s v="Yes"/>
    <d v="2024-12-26T00:00:00"/>
    <d v="2026-03-03T00:00:00"/>
    <n v="1"/>
    <x v="1"/>
    <n v="1"/>
    <x v="0"/>
  </r>
  <r>
    <s v="VND-244"/>
    <s v="Safety Certificate"/>
    <s v="Yes"/>
    <s v="Yes"/>
    <d v="2025-09-01T00:00:00"/>
    <d v="2026-03-17T00:00:00"/>
    <n v="15"/>
    <x v="1"/>
    <n v="1"/>
    <x v="1"/>
  </r>
  <r>
    <s v="VND-244"/>
    <s v="Environmental Policy"/>
    <s v="Yes"/>
    <s v="Yes"/>
    <d v="2025-08-01T00:00:00"/>
    <d v="2026-03-23T00:00:00"/>
    <n v="21"/>
    <x v="1"/>
    <n v="1"/>
    <x v="0"/>
  </r>
  <r>
    <s v="VND-244"/>
    <s v="Sustainability Disclosure"/>
    <s v="Yes"/>
    <s v="Yes"/>
    <d v="2025-09-12T00:00:00"/>
    <d v="2026-03-20T00:00:00"/>
    <n v="18"/>
    <x v="1"/>
    <n v="1"/>
    <x v="0"/>
  </r>
  <r>
    <s v="VND-245"/>
    <s v="ISO 14001"/>
    <s v="Yes"/>
    <s v="Yes"/>
    <d v="2024-04-11T00:00:00"/>
    <d v="2026-03-24T00:00:00"/>
    <n v="22"/>
    <x v="1"/>
    <n v="1"/>
    <x v="0"/>
  </r>
  <r>
    <s v="VND-245"/>
    <s v="Safety Certificate"/>
    <s v="Yes"/>
    <s v="Yes"/>
    <d v="2024-08-05T00:00:00"/>
    <d v="2026-03-28T00:00:00"/>
    <n v="26"/>
    <x v="1"/>
    <n v="1"/>
    <x v="1"/>
  </r>
  <r>
    <s v="VND-245"/>
    <s v="Environmental Policy"/>
    <s v="Yes"/>
    <s v="Yes"/>
    <d v="2025-12-22T00:00:00"/>
    <d v="2026-03-28T00:00:00"/>
    <n v="26"/>
    <x v="1"/>
    <n v="1"/>
    <x v="0"/>
  </r>
  <r>
    <s v="VND-245"/>
    <s v="Sustainability Disclosure"/>
    <s v="Yes"/>
    <s v="Yes"/>
    <d v="2026-01-22T00:00:00"/>
    <d v="2026-03-28T00:00:00"/>
    <n v="26"/>
    <x v="1"/>
    <n v="1"/>
    <x v="0"/>
  </r>
  <r>
    <s v="VND-246"/>
    <s v="ISO 14001"/>
    <s v="Yes"/>
    <s v="Yes"/>
    <d v="2024-11-19T00:00:00"/>
    <d v="2026-03-05T00:00:00"/>
    <n v="3"/>
    <x v="1"/>
    <n v="1"/>
    <x v="0"/>
  </r>
  <r>
    <s v="VND-246"/>
    <s v="Safety Certificate"/>
    <s v="Yes"/>
    <s v="Yes"/>
    <d v="2025-11-22T00:00:00"/>
    <d v="2026-03-04T00:00:00"/>
    <n v="2"/>
    <x v="1"/>
    <n v="1"/>
    <x v="1"/>
  </r>
  <r>
    <s v="VND-246"/>
    <s v="Environmental Policy"/>
    <s v="Yes"/>
    <s v="Yes"/>
    <d v="2024-05-11T00:00:00"/>
    <d v="2026-03-02T00:00:00"/>
    <n v="0"/>
    <x v="1"/>
    <n v="1"/>
    <x v="0"/>
  </r>
  <r>
    <s v="VND-246"/>
    <s v="Sustainability Disclosure"/>
    <s v="Yes"/>
    <s v="Yes"/>
    <d v="2025-03-21T00:00:00"/>
    <d v="2026-03-10T00:00:00"/>
    <n v="8"/>
    <x v="1"/>
    <n v="1"/>
    <x v="0"/>
  </r>
  <r>
    <s v="VND-247"/>
    <s v="ISO 14001"/>
    <s v="Yes"/>
    <s v="Yes"/>
    <d v="2025-05-25T00:00:00"/>
    <d v="2026-03-23T00:00:00"/>
    <n v="21"/>
    <x v="1"/>
    <n v="1"/>
    <x v="0"/>
  </r>
  <r>
    <s v="VND-247"/>
    <s v="Safety Certificate"/>
    <s v="Yes"/>
    <s v="Yes"/>
    <d v="2025-05-10T00:00:00"/>
    <d v="2026-03-28T00:00:00"/>
    <n v="26"/>
    <x v="1"/>
    <n v="1"/>
    <x v="1"/>
  </r>
  <r>
    <s v="VND-247"/>
    <s v="Environmental Policy"/>
    <s v="Yes"/>
    <s v="Yes"/>
    <d v="2025-08-16T00:00:00"/>
    <d v="2026-03-09T00:00:00"/>
    <n v="7"/>
    <x v="1"/>
    <n v="1"/>
    <x v="0"/>
  </r>
  <r>
    <s v="VND-247"/>
    <s v="Sustainability Disclosure"/>
    <s v="Yes"/>
    <s v="Yes"/>
    <d v="2024-10-31T00:00:00"/>
    <d v="2026-03-01T00:00:00"/>
    <n v="-1"/>
    <x v="2"/>
    <n v="1"/>
    <x v="0"/>
  </r>
  <r>
    <s v="VND-248"/>
    <s v="ISO 14001"/>
    <s v="Yes"/>
    <s v="Yes"/>
    <d v="2024-09-20T00:00:00"/>
    <d v="2026-03-23T00:00:00"/>
    <n v="21"/>
    <x v="1"/>
    <n v="1"/>
    <x v="0"/>
  </r>
  <r>
    <s v="VND-248"/>
    <s v="Safety Certificate"/>
    <s v="Yes"/>
    <s v="Yes"/>
    <d v="2024-12-10T00:00:00"/>
    <d v="2026-03-30T00:00:00"/>
    <n v="28"/>
    <x v="1"/>
    <n v="1"/>
    <x v="1"/>
  </r>
  <r>
    <s v="VND-248"/>
    <s v="Environmental Policy"/>
    <s v="Yes"/>
    <s v="Yes"/>
    <d v="2025-06-26T00:00:00"/>
    <d v="2026-03-08T00:00:00"/>
    <n v="6"/>
    <x v="1"/>
    <n v="1"/>
    <x v="0"/>
  </r>
  <r>
    <s v="VND-248"/>
    <s v="Sustainability Disclosure"/>
    <s v="Yes"/>
    <s v="Yes"/>
    <d v="2025-03-06T00:00:00"/>
    <d v="2026-03-12T00:00:00"/>
    <n v="10"/>
    <x v="1"/>
    <n v="1"/>
    <x v="0"/>
  </r>
  <r>
    <s v="VND-249"/>
    <s v="ISO 14001"/>
    <s v="Yes"/>
    <s v="Yes"/>
    <d v="2024-04-16T00:00:00"/>
    <d v="2026-03-24T00:00:00"/>
    <n v="22"/>
    <x v="1"/>
    <n v="1"/>
    <x v="0"/>
  </r>
  <r>
    <s v="VND-249"/>
    <s v="Safety Certificate"/>
    <s v="Yes"/>
    <s v="Yes"/>
    <d v="2025-05-31T00:00:00"/>
    <d v="2026-03-26T00:00:00"/>
    <n v="24"/>
    <x v="1"/>
    <n v="1"/>
    <x v="1"/>
  </r>
  <r>
    <s v="VND-249"/>
    <s v="Environmental Policy"/>
    <s v="Yes"/>
    <s v="Yes"/>
    <d v="2025-09-17T00:00:00"/>
    <d v="2026-03-23T00:00:00"/>
    <n v="21"/>
    <x v="1"/>
    <n v="1"/>
    <x v="0"/>
  </r>
  <r>
    <s v="VND-249"/>
    <s v="Sustainability Disclosure"/>
    <s v="Yes"/>
    <s v="Yes"/>
    <d v="2025-06-15T00:00:00"/>
    <d v="2026-03-22T00:00:00"/>
    <n v="20"/>
    <x v="1"/>
    <n v="1"/>
    <x v="0"/>
  </r>
  <r>
    <s v="VND-250"/>
    <s v="ISO 14001"/>
    <s v="Yes"/>
    <s v="Yes"/>
    <d v="2024-05-30T00:00:00"/>
    <d v="2026-03-25T00:00:00"/>
    <n v="23"/>
    <x v="1"/>
    <n v="1"/>
    <x v="0"/>
  </r>
  <r>
    <s v="VND-250"/>
    <s v="Safety Certificate"/>
    <s v="Yes"/>
    <s v="Yes"/>
    <d v="2024-10-08T00:00:00"/>
    <d v="2026-03-13T00:00:00"/>
    <n v="11"/>
    <x v="1"/>
    <n v="1"/>
    <x v="1"/>
  </r>
  <r>
    <s v="VND-250"/>
    <s v="Environmental Policy"/>
    <s v="Yes"/>
    <s v="Yes"/>
    <d v="2025-12-30T00:00:00"/>
    <d v="2026-03-10T00:00:00"/>
    <n v="8"/>
    <x v="1"/>
    <n v="1"/>
    <x v="0"/>
  </r>
  <r>
    <s v="VND-250"/>
    <s v="Sustainability Disclosure"/>
    <s v="Yes"/>
    <s v="Yes"/>
    <d v="2025-10-29T00:00:00"/>
    <d v="2026-03-22T00:00:00"/>
    <n v="20"/>
    <x v="1"/>
    <n v="1"/>
    <x v="0"/>
  </r>
  <r>
    <s v="VND-251"/>
    <s v="ISO 14001"/>
    <s v="Yes"/>
    <s v="Yes"/>
    <d v="2025-12-31T00:00:00"/>
    <d v="2026-03-24T00:00:00"/>
    <n v="22"/>
    <x v="1"/>
    <n v="1"/>
    <x v="0"/>
  </r>
  <r>
    <s v="VND-251"/>
    <s v="Safety Certificate"/>
    <s v="Yes"/>
    <s v="Yes"/>
    <d v="2025-09-20T00:00:00"/>
    <d v="2026-03-22T00:00:00"/>
    <n v="20"/>
    <x v="1"/>
    <n v="1"/>
    <x v="1"/>
  </r>
  <r>
    <s v="VND-251"/>
    <s v="Environmental Policy"/>
    <s v="Yes"/>
    <s v="Yes"/>
    <d v="2025-07-03T00:00:00"/>
    <d v="2026-03-15T00:00:00"/>
    <n v="13"/>
    <x v="1"/>
    <n v="1"/>
    <x v="0"/>
  </r>
  <r>
    <s v="VND-251"/>
    <s v="Sustainability Disclosure"/>
    <s v="Yes"/>
    <s v="Yes"/>
    <d v="2025-01-27T00:00:00"/>
    <d v="2026-03-08T00:00:00"/>
    <n v="6"/>
    <x v="1"/>
    <n v="1"/>
    <x v="0"/>
  </r>
  <r>
    <s v="VND-252"/>
    <s v="ISO 14001"/>
    <s v="Yes"/>
    <s v="Yes"/>
    <d v="2025-07-18T00:00:00"/>
    <d v="2026-03-18T00:00:00"/>
    <n v="16"/>
    <x v="1"/>
    <n v="1"/>
    <x v="0"/>
  </r>
  <r>
    <s v="VND-252"/>
    <s v="Safety Certificate"/>
    <s v="Yes"/>
    <s v="Yes"/>
    <d v="2024-09-14T00:00:00"/>
    <d v="2026-03-05T00:00:00"/>
    <n v="3"/>
    <x v="1"/>
    <n v="1"/>
    <x v="1"/>
  </r>
  <r>
    <s v="VND-252"/>
    <s v="Environmental Policy"/>
    <s v="Yes"/>
    <s v="Yes"/>
    <d v="2025-03-05T00:00:00"/>
    <d v="2026-03-08T00:00:00"/>
    <n v="6"/>
    <x v="1"/>
    <n v="1"/>
    <x v="0"/>
  </r>
  <r>
    <s v="VND-252"/>
    <s v="Sustainability Disclosure"/>
    <s v="Yes"/>
    <s v="Yes"/>
    <d v="2025-02-09T00:00:00"/>
    <d v="2026-03-16T00:00:00"/>
    <n v="14"/>
    <x v="1"/>
    <n v="1"/>
    <x v="0"/>
  </r>
  <r>
    <s v="VND-253"/>
    <s v="ISO 14001"/>
    <s v="Yes"/>
    <s v="Yes"/>
    <d v="2024-07-23T00:00:00"/>
    <d v="2026-03-03T00:00:00"/>
    <n v="1"/>
    <x v="1"/>
    <n v="1"/>
    <x v="0"/>
  </r>
  <r>
    <s v="VND-253"/>
    <s v="Safety Certificate"/>
    <s v="Yes"/>
    <s v="Yes"/>
    <d v="2025-08-19T00:00:00"/>
    <d v="2026-03-06T00:00:00"/>
    <n v="4"/>
    <x v="1"/>
    <n v="1"/>
    <x v="1"/>
  </r>
  <r>
    <s v="VND-253"/>
    <s v="Environmental Policy"/>
    <s v="Yes"/>
    <s v="Yes"/>
    <d v="2024-04-24T00:00:00"/>
    <d v="2026-03-08T00:00:00"/>
    <n v="6"/>
    <x v="1"/>
    <n v="1"/>
    <x v="0"/>
  </r>
  <r>
    <s v="VND-253"/>
    <s v="Sustainability Disclosure"/>
    <s v="Yes"/>
    <s v="Yes"/>
    <d v="2024-09-12T00:00:00"/>
    <d v="2026-03-19T00:00:00"/>
    <n v="17"/>
    <x v="1"/>
    <n v="1"/>
    <x v="0"/>
  </r>
  <r>
    <s v="VND-254"/>
    <s v="ISO 14001"/>
    <s v="Yes"/>
    <s v="Yes"/>
    <d v="2025-03-09T00:00:00"/>
    <d v="2026-03-21T00:00:00"/>
    <n v="19"/>
    <x v="1"/>
    <n v="1"/>
    <x v="0"/>
  </r>
  <r>
    <s v="VND-254"/>
    <s v="Safety Certificate"/>
    <s v="Yes"/>
    <s v="Yes"/>
    <d v="2026-02-15T00:00:00"/>
    <d v="2026-03-15T00:00:00"/>
    <n v="13"/>
    <x v="1"/>
    <n v="1"/>
    <x v="1"/>
  </r>
  <r>
    <s v="VND-254"/>
    <s v="Environmental Policy"/>
    <s v="Yes"/>
    <s v="Yes"/>
    <d v="2024-11-26T00:00:00"/>
    <d v="2026-03-13T00:00:00"/>
    <n v="11"/>
    <x v="1"/>
    <n v="1"/>
    <x v="0"/>
  </r>
  <r>
    <s v="VND-254"/>
    <s v="Sustainability Disclosure"/>
    <s v="Yes"/>
    <s v="Yes"/>
    <d v="2024-06-02T00:00:00"/>
    <d v="2026-03-06T00:00:00"/>
    <n v="4"/>
    <x v="1"/>
    <n v="1"/>
    <x v="0"/>
  </r>
  <r>
    <s v="VND-255"/>
    <s v="ISO 14001"/>
    <s v="Yes"/>
    <s v="Yes"/>
    <d v="2024-04-03T00:00:00"/>
    <d v="2026-03-06T00:00:00"/>
    <n v="4"/>
    <x v="1"/>
    <n v="1"/>
    <x v="0"/>
  </r>
  <r>
    <s v="VND-255"/>
    <s v="Safety Certificate"/>
    <s v="Yes"/>
    <s v="Yes"/>
    <d v="2025-12-16T00:00:00"/>
    <d v="2026-03-17T00:00:00"/>
    <n v="15"/>
    <x v="1"/>
    <n v="1"/>
    <x v="1"/>
  </r>
  <r>
    <s v="VND-255"/>
    <s v="Environmental Policy"/>
    <s v="Yes"/>
    <s v="Yes"/>
    <d v="2024-05-19T00:00:00"/>
    <d v="2026-03-27T00:00:00"/>
    <n v="25"/>
    <x v="1"/>
    <n v="1"/>
    <x v="0"/>
  </r>
  <r>
    <s v="VND-255"/>
    <s v="Sustainability Disclosure"/>
    <s v="Yes"/>
    <s v="Yes"/>
    <d v="2026-01-15T00:00:00"/>
    <d v="2026-03-09T00:00:00"/>
    <n v="7"/>
    <x v="1"/>
    <n v="1"/>
    <x v="0"/>
  </r>
  <r>
    <s v="VND-256"/>
    <s v="ISO 14001"/>
    <s v="Yes"/>
    <s v="Yes"/>
    <d v="2024-12-19T00:00:00"/>
    <d v="2026-03-02T00:00:00"/>
    <n v="0"/>
    <x v="1"/>
    <n v="1"/>
    <x v="0"/>
  </r>
  <r>
    <s v="VND-256"/>
    <s v="Safety Certificate"/>
    <s v="Yes"/>
    <s v="Yes"/>
    <d v="2025-05-07T00:00:00"/>
    <d v="2026-03-17T00:00:00"/>
    <n v="15"/>
    <x v="1"/>
    <n v="1"/>
    <x v="1"/>
  </r>
  <r>
    <s v="VND-256"/>
    <s v="Environmental Policy"/>
    <s v="Yes"/>
    <s v="Yes"/>
    <d v="2025-04-29T00:00:00"/>
    <d v="2026-03-22T00:00:00"/>
    <n v="20"/>
    <x v="1"/>
    <n v="1"/>
    <x v="0"/>
  </r>
  <r>
    <s v="VND-256"/>
    <s v="Sustainability Disclosure"/>
    <s v="Yes"/>
    <s v="Yes"/>
    <d v="2024-10-10T00:00:00"/>
    <d v="2026-03-29T00:00:00"/>
    <n v="27"/>
    <x v="1"/>
    <n v="1"/>
    <x v="0"/>
  </r>
  <r>
    <s v="VND-257"/>
    <s v="ISO 14001"/>
    <s v="Yes"/>
    <s v="Yes"/>
    <d v="2024-09-30T00:00:00"/>
    <d v="2026-03-08T00:00:00"/>
    <n v="6"/>
    <x v="1"/>
    <n v="1"/>
    <x v="0"/>
  </r>
  <r>
    <s v="VND-257"/>
    <s v="Safety Certificate"/>
    <s v="Yes"/>
    <s v="Yes"/>
    <d v="2024-09-02T00:00:00"/>
    <d v="2026-03-14T00:00:00"/>
    <n v="12"/>
    <x v="1"/>
    <n v="1"/>
    <x v="1"/>
  </r>
  <r>
    <s v="VND-257"/>
    <s v="Environmental Policy"/>
    <s v="Yes"/>
    <s v="Yes"/>
    <d v="2025-06-01T00:00:00"/>
    <d v="2026-03-14T00:00:00"/>
    <n v="12"/>
    <x v="1"/>
    <n v="1"/>
    <x v="0"/>
  </r>
  <r>
    <s v="VND-257"/>
    <s v="Sustainability Disclosure"/>
    <s v="Yes"/>
    <s v="Yes"/>
    <d v="2024-06-30T00:00:00"/>
    <d v="2026-03-04T00:00:00"/>
    <n v="2"/>
    <x v="1"/>
    <n v="1"/>
    <x v="0"/>
  </r>
  <r>
    <s v="VND-258"/>
    <s v="ISO 14001"/>
    <s v="Yes"/>
    <s v="Yes"/>
    <d v="2025-12-05T00:00:00"/>
    <d v="2026-03-14T00:00:00"/>
    <n v="12"/>
    <x v="1"/>
    <n v="1"/>
    <x v="0"/>
  </r>
  <r>
    <s v="VND-258"/>
    <s v="Safety Certificate"/>
    <s v="Yes"/>
    <s v="Yes"/>
    <d v="2024-08-12T00:00:00"/>
    <d v="2026-03-12T00:00:00"/>
    <n v="10"/>
    <x v="1"/>
    <n v="1"/>
    <x v="1"/>
  </r>
  <r>
    <s v="VND-258"/>
    <s v="Environmental Policy"/>
    <s v="Yes"/>
    <s v="Yes"/>
    <d v="2024-04-02T00:00:00"/>
    <d v="2026-03-21T00:00:00"/>
    <n v="19"/>
    <x v="1"/>
    <n v="1"/>
    <x v="0"/>
  </r>
  <r>
    <s v="VND-258"/>
    <s v="Sustainability Disclosure"/>
    <s v="Yes"/>
    <s v="Yes"/>
    <d v="2025-08-17T00:00:00"/>
    <d v="2026-03-12T00:00:00"/>
    <n v="10"/>
    <x v="1"/>
    <n v="1"/>
    <x v="0"/>
  </r>
  <r>
    <s v="VND-259"/>
    <s v="ISO 14001"/>
    <s v="Yes"/>
    <s v="Yes"/>
    <d v="2025-01-15T00:00:00"/>
    <d v="2026-03-17T00:00:00"/>
    <n v="15"/>
    <x v="1"/>
    <n v="1"/>
    <x v="0"/>
  </r>
  <r>
    <s v="VND-259"/>
    <s v="Safety Certificate"/>
    <s v="Yes"/>
    <s v="Yes"/>
    <d v="2025-02-10T00:00:00"/>
    <d v="2026-03-18T00:00:00"/>
    <n v="16"/>
    <x v="1"/>
    <n v="1"/>
    <x v="1"/>
  </r>
  <r>
    <s v="VND-259"/>
    <s v="Environmental Policy"/>
    <s v="Yes"/>
    <s v="Yes"/>
    <d v="2025-07-15T00:00:00"/>
    <d v="2026-03-29T00:00:00"/>
    <n v="27"/>
    <x v="1"/>
    <n v="1"/>
    <x v="0"/>
  </r>
  <r>
    <s v="VND-259"/>
    <s v="Sustainability Disclosure"/>
    <s v="Yes"/>
    <s v="Yes"/>
    <d v="2024-05-26T00:00:00"/>
    <d v="2026-03-30T00:00:00"/>
    <n v="28"/>
    <x v="1"/>
    <n v="1"/>
    <x v="0"/>
  </r>
  <r>
    <s v="VND-260"/>
    <s v="ISO 14001"/>
    <s v="Yes"/>
    <s v="Yes"/>
    <d v="2024-07-06T00:00:00"/>
    <d v="2026-03-30T00:00:00"/>
    <n v="28"/>
    <x v="1"/>
    <n v="1"/>
    <x v="0"/>
  </r>
  <r>
    <s v="VND-260"/>
    <s v="Safety Certificate"/>
    <s v="Yes"/>
    <s v="Yes"/>
    <d v="2026-01-16T00:00:00"/>
    <d v="2026-03-07T00:00:00"/>
    <n v="5"/>
    <x v="1"/>
    <n v="1"/>
    <x v="1"/>
  </r>
  <r>
    <s v="VND-260"/>
    <s v="Environmental Policy"/>
    <s v="Yes"/>
    <s v="Yes"/>
    <d v="2025-07-07T00:00:00"/>
    <d v="2026-03-28T00:00:00"/>
    <n v="26"/>
    <x v="1"/>
    <n v="1"/>
    <x v="0"/>
  </r>
  <r>
    <s v="VND-260"/>
    <s v="Sustainability Disclosure"/>
    <s v="Yes"/>
    <s v="Yes"/>
    <d v="2025-03-09T00:00:00"/>
    <d v="2026-03-27T00:00:00"/>
    <n v="25"/>
    <x v="1"/>
    <n v="1"/>
    <x v="0"/>
  </r>
  <r>
    <s v="VND-261"/>
    <s v="ISO 14001"/>
    <s v="Yes"/>
    <s v="Yes"/>
    <d v="2025-01-28T00:00:00"/>
    <d v="2026-03-15T00:00:00"/>
    <n v="13"/>
    <x v="1"/>
    <n v="1"/>
    <x v="0"/>
  </r>
  <r>
    <s v="VND-261"/>
    <s v="Safety Certificate"/>
    <s v="Yes"/>
    <s v="Yes"/>
    <d v="2024-08-15T00:00:00"/>
    <d v="2026-03-08T00:00:00"/>
    <n v="6"/>
    <x v="1"/>
    <n v="1"/>
    <x v="1"/>
  </r>
  <r>
    <s v="VND-261"/>
    <s v="Environmental Policy"/>
    <s v="Yes"/>
    <s v="Yes"/>
    <d v="2025-09-08T00:00:00"/>
    <d v="2026-03-24T00:00:00"/>
    <n v="22"/>
    <x v="1"/>
    <n v="1"/>
    <x v="0"/>
  </r>
  <r>
    <s v="VND-261"/>
    <s v="Sustainability Disclosure"/>
    <s v="Yes"/>
    <s v="Yes"/>
    <d v="2025-08-13T00:00:00"/>
    <d v="2026-03-10T00:00:00"/>
    <n v="8"/>
    <x v="1"/>
    <n v="1"/>
    <x v="0"/>
  </r>
  <r>
    <s v="VND-262"/>
    <s v="ISO 14001"/>
    <s v="Yes"/>
    <s v="Yes"/>
    <d v="2024-12-19T00:00:00"/>
    <d v="2026-03-13T00:00:00"/>
    <n v="11"/>
    <x v="1"/>
    <n v="1"/>
    <x v="0"/>
  </r>
  <r>
    <s v="VND-262"/>
    <s v="Safety Certificate"/>
    <s v="Yes"/>
    <s v="Yes"/>
    <d v="2024-10-13T00:00:00"/>
    <d v="2026-03-01T00:00:00"/>
    <n v="-1"/>
    <x v="2"/>
    <n v="1"/>
    <x v="1"/>
  </r>
  <r>
    <s v="VND-262"/>
    <s v="Environmental Policy"/>
    <s v="Yes"/>
    <s v="Yes"/>
    <d v="2025-01-03T00:00:00"/>
    <d v="2026-03-13T00:00:00"/>
    <n v="11"/>
    <x v="1"/>
    <n v="1"/>
    <x v="0"/>
  </r>
  <r>
    <s v="VND-262"/>
    <s v="Sustainability Disclosure"/>
    <s v="Yes"/>
    <s v="Yes"/>
    <d v="2024-09-04T00:00:00"/>
    <d v="2026-03-14T00:00:00"/>
    <n v="12"/>
    <x v="1"/>
    <n v="1"/>
    <x v="0"/>
  </r>
  <r>
    <s v="VND-263"/>
    <s v="ISO 14001"/>
    <s v="Yes"/>
    <s v="Yes"/>
    <d v="2025-08-13T00:00:00"/>
    <d v="2026-03-05T00:00:00"/>
    <n v="3"/>
    <x v="1"/>
    <n v="1"/>
    <x v="0"/>
  </r>
  <r>
    <s v="VND-263"/>
    <s v="Safety Certificate"/>
    <s v="Yes"/>
    <s v="Yes"/>
    <d v="2024-10-29T00:00:00"/>
    <d v="2026-03-06T00:00:00"/>
    <n v="4"/>
    <x v="1"/>
    <n v="1"/>
    <x v="1"/>
  </r>
  <r>
    <s v="VND-263"/>
    <s v="Environmental Policy"/>
    <s v="Yes"/>
    <s v="Yes"/>
    <d v="2025-09-28T00:00:00"/>
    <d v="2026-03-10T00:00:00"/>
    <n v="8"/>
    <x v="1"/>
    <n v="1"/>
    <x v="0"/>
  </r>
  <r>
    <s v="VND-263"/>
    <s v="Sustainability Disclosure"/>
    <s v="Yes"/>
    <s v="Yes"/>
    <d v="2024-11-22T00:00:00"/>
    <d v="2026-03-29T00:00:00"/>
    <n v="27"/>
    <x v="1"/>
    <n v="1"/>
    <x v="0"/>
  </r>
  <r>
    <s v="VND-264"/>
    <s v="ISO 14001"/>
    <s v="Yes"/>
    <s v="Yes"/>
    <d v="2024-07-20T00:00:00"/>
    <d v="2026-03-18T00:00:00"/>
    <n v="16"/>
    <x v="1"/>
    <n v="1"/>
    <x v="0"/>
  </r>
  <r>
    <s v="VND-264"/>
    <s v="Safety Certificate"/>
    <s v="Yes"/>
    <s v="Yes"/>
    <d v="2026-02-18T00:00:00"/>
    <d v="2026-03-24T00:00:00"/>
    <n v="22"/>
    <x v="1"/>
    <n v="1"/>
    <x v="1"/>
  </r>
  <r>
    <s v="VND-264"/>
    <s v="Environmental Policy"/>
    <s v="Yes"/>
    <s v="Yes"/>
    <d v="2024-10-31T00:00:00"/>
    <d v="2026-03-25T00:00:00"/>
    <n v="23"/>
    <x v="1"/>
    <n v="1"/>
    <x v="0"/>
  </r>
  <r>
    <s v="VND-264"/>
    <s v="Sustainability Disclosure"/>
    <s v="Yes"/>
    <s v="Yes"/>
    <d v="2024-06-28T00:00:00"/>
    <d v="2026-03-03T00:00:00"/>
    <n v="1"/>
    <x v="1"/>
    <n v="1"/>
    <x v="0"/>
  </r>
  <r>
    <s v="VND-265"/>
    <s v="ISO 14001"/>
    <s v="Yes"/>
    <s v="Yes"/>
    <d v="2024-08-03T00:00:00"/>
    <d v="2026-03-03T00:00:00"/>
    <n v="1"/>
    <x v="1"/>
    <n v="1"/>
    <x v="0"/>
  </r>
  <r>
    <s v="VND-265"/>
    <s v="Safety Certificate"/>
    <s v="Yes"/>
    <s v="Yes"/>
    <d v="2024-07-25T00:00:00"/>
    <d v="2026-03-14T00:00:00"/>
    <n v="12"/>
    <x v="1"/>
    <n v="1"/>
    <x v="1"/>
  </r>
  <r>
    <s v="VND-265"/>
    <s v="Environmental Policy"/>
    <s v="Yes"/>
    <s v="Yes"/>
    <d v="2025-04-02T00:00:00"/>
    <d v="2026-03-08T00:00:00"/>
    <n v="6"/>
    <x v="1"/>
    <n v="1"/>
    <x v="0"/>
  </r>
  <r>
    <s v="VND-265"/>
    <s v="Sustainability Disclosure"/>
    <s v="Yes"/>
    <s v="Yes"/>
    <d v="2025-10-21T00:00:00"/>
    <d v="2026-03-02T00:00:00"/>
    <n v="0"/>
    <x v="1"/>
    <n v="1"/>
    <x v="0"/>
  </r>
  <r>
    <s v="VND-266"/>
    <s v="ISO 14001"/>
    <s v="Yes"/>
    <s v="Yes"/>
    <d v="2024-09-25T00:00:00"/>
    <d v="2026-03-03T00:00:00"/>
    <n v="1"/>
    <x v="1"/>
    <n v="1"/>
    <x v="0"/>
  </r>
  <r>
    <s v="VND-266"/>
    <s v="Safety Certificate"/>
    <s v="Yes"/>
    <s v="Yes"/>
    <d v="2025-03-31T00:00:00"/>
    <d v="2026-03-11T00:00:00"/>
    <n v="9"/>
    <x v="1"/>
    <n v="1"/>
    <x v="1"/>
  </r>
  <r>
    <s v="VND-266"/>
    <s v="Environmental Policy"/>
    <s v="Yes"/>
    <s v="Yes"/>
    <d v="2025-03-13T00:00:00"/>
    <d v="2026-03-19T00:00:00"/>
    <n v="17"/>
    <x v="1"/>
    <n v="1"/>
    <x v="0"/>
  </r>
  <r>
    <s v="VND-266"/>
    <s v="Sustainability Disclosure"/>
    <s v="Yes"/>
    <s v="Yes"/>
    <d v="2025-08-05T00:00:00"/>
    <d v="2026-03-16T00:00:00"/>
    <n v="14"/>
    <x v="1"/>
    <n v="1"/>
    <x v="0"/>
  </r>
  <r>
    <s v="VND-267"/>
    <s v="ISO 14001"/>
    <s v="Yes"/>
    <s v="Yes"/>
    <d v="2024-06-22T00:00:00"/>
    <d v="2026-03-23T00:00:00"/>
    <n v="21"/>
    <x v="1"/>
    <n v="1"/>
    <x v="0"/>
  </r>
  <r>
    <s v="VND-267"/>
    <s v="Safety Certificate"/>
    <s v="Yes"/>
    <s v="Yes"/>
    <d v="2024-08-28T00:00:00"/>
    <d v="2026-03-26T00:00:00"/>
    <n v="24"/>
    <x v="1"/>
    <n v="1"/>
    <x v="1"/>
  </r>
  <r>
    <s v="VND-267"/>
    <s v="Environmental Policy"/>
    <s v="Yes"/>
    <s v="Yes"/>
    <d v="2025-12-31T00:00:00"/>
    <d v="2026-03-09T00:00:00"/>
    <n v="7"/>
    <x v="1"/>
    <n v="1"/>
    <x v="0"/>
  </r>
  <r>
    <s v="VND-267"/>
    <s v="Sustainability Disclosure"/>
    <s v="Yes"/>
    <s v="Yes"/>
    <d v="2025-07-30T00:00:00"/>
    <d v="2026-03-27T00:00:00"/>
    <n v="25"/>
    <x v="1"/>
    <n v="1"/>
    <x v="0"/>
  </r>
  <r>
    <s v="VND-268"/>
    <s v="ISO 14001"/>
    <s v="Yes"/>
    <s v="Yes"/>
    <d v="2025-11-12T00:00:00"/>
    <d v="2026-03-26T00:00:00"/>
    <n v="24"/>
    <x v="1"/>
    <n v="1"/>
    <x v="0"/>
  </r>
  <r>
    <s v="VND-268"/>
    <s v="Safety Certificate"/>
    <s v="Yes"/>
    <s v="Yes"/>
    <d v="2024-06-28T00:00:00"/>
    <d v="2026-03-22T00:00:00"/>
    <n v="20"/>
    <x v="1"/>
    <n v="1"/>
    <x v="1"/>
  </r>
  <r>
    <s v="VND-268"/>
    <s v="Environmental Policy"/>
    <s v="Yes"/>
    <s v="Yes"/>
    <d v="2026-01-25T00:00:00"/>
    <d v="2026-03-01T00:00:00"/>
    <n v="-1"/>
    <x v="2"/>
    <n v="1"/>
    <x v="0"/>
  </r>
  <r>
    <s v="VND-268"/>
    <s v="Sustainability Disclosure"/>
    <s v="Yes"/>
    <s v="Yes"/>
    <d v="2024-06-27T00:00:00"/>
    <d v="2026-03-05T00:00:00"/>
    <n v="3"/>
    <x v="1"/>
    <n v="1"/>
    <x v="0"/>
  </r>
  <r>
    <s v="VND-269"/>
    <s v="ISO 14001"/>
    <s v="Yes"/>
    <s v="Yes"/>
    <d v="2025-01-16T00:00:00"/>
    <d v="2026-03-30T00:00:00"/>
    <n v="28"/>
    <x v="1"/>
    <n v="1"/>
    <x v="0"/>
  </r>
  <r>
    <s v="VND-269"/>
    <s v="Safety Certificate"/>
    <s v="Yes"/>
    <s v="Yes"/>
    <d v="2024-04-28T00:00:00"/>
    <d v="2026-03-11T00:00:00"/>
    <n v="9"/>
    <x v="1"/>
    <n v="1"/>
    <x v="1"/>
  </r>
  <r>
    <s v="VND-269"/>
    <s v="Environmental Policy"/>
    <s v="Yes"/>
    <s v="Yes"/>
    <d v="2024-12-14T00:00:00"/>
    <d v="2026-03-08T00:00:00"/>
    <n v="6"/>
    <x v="1"/>
    <n v="1"/>
    <x v="0"/>
  </r>
  <r>
    <s v="VND-269"/>
    <s v="Sustainability Disclosure"/>
    <s v="Yes"/>
    <s v="Yes"/>
    <d v="2025-12-27T00:00:00"/>
    <d v="2026-03-17T00:00:00"/>
    <n v="15"/>
    <x v="1"/>
    <n v="1"/>
    <x v="0"/>
  </r>
  <r>
    <s v="VND-270"/>
    <s v="ISO 14001"/>
    <s v="Yes"/>
    <s v="Yes"/>
    <d v="2025-12-23T00:00:00"/>
    <d v="2026-03-06T00:00:00"/>
    <n v="4"/>
    <x v="1"/>
    <n v="1"/>
    <x v="0"/>
  </r>
  <r>
    <s v="VND-270"/>
    <s v="Safety Certificate"/>
    <s v="Yes"/>
    <s v="Yes"/>
    <d v="2024-12-05T00:00:00"/>
    <d v="2026-03-22T00:00:00"/>
    <n v="20"/>
    <x v="1"/>
    <n v="1"/>
    <x v="1"/>
  </r>
  <r>
    <s v="VND-270"/>
    <s v="Environmental Policy"/>
    <s v="Yes"/>
    <s v="Yes"/>
    <d v="2024-11-03T00:00:00"/>
    <d v="2026-03-25T00:00:00"/>
    <n v="23"/>
    <x v="1"/>
    <n v="1"/>
    <x v="0"/>
  </r>
  <r>
    <s v="VND-270"/>
    <s v="Sustainability Disclosure"/>
    <s v="Yes"/>
    <s v="Yes"/>
    <d v="2025-06-07T00:00:00"/>
    <d v="2026-03-22T00:00:00"/>
    <n v="20"/>
    <x v="1"/>
    <n v="1"/>
    <x v="0"/>
  </r>
  <r>
    <s v="VND-271"/>
    <s v="ISO 14001"/>
    <s v="Yes"/>
    <s v="Yes"/>
    <d v="2025-12-19T00:00:00"/>
    <d v="2026-03-23T00:00:00"/>
    <n v="21"/>
    <x v="1"/>
    <n v="1"/>
    <x v="0"/>
  </r>
  <r>
    <s v="VND-271"/>
    <s v="Safety Certificate"/>
    <s v="Yes"/>
    <s v="Yes"/>
    <d v="2024-10-16T00:00:00"/>
    <d v="2026-03-15T00:00:00"/>
    <n v="13"/>
    <x v="1"/>
    <n v="1"/>
    <x v="1"/>
  </r>
  <r>
    <s v="VND-271"/>
    <s v="Environmental Policy"/>
    <s v="Yes"/>
    <s v="Yes"/>
    <d v="2024-12-27T00:00:00"/>
    <d v="2026-03-17T00:00:00"/>
    <n v="15"/>
    <x v="1"/>
    <n v="1"/>
    <x v="0"/>
  </r>
  <r>
    <s v="VND-271"/>
    <s v="Sustainability Disclosure"/>
    <s v="Yes"/>
    <s v="Yes"/>
    <d v="2025-05-23T00:00:00"/>
    <d v="2026-03-08T00:00:00"/>
    <n v="6"/>
    <x v="1"/>
    <n v="1"/>
    <x v="0"/>
  </r>
  <r>
    <s v="VND-272"/>
    <s v="ISO 14001"/>
    <s v="Yes"/>
    <s v="Yes"/>
    <d v="2025-09-05T00:00:00"/>
    <d v="2026-03-29T00:00:00"/>
    <n v="27"/>
    <x v="1"/>
    <n v="1"/>
    <x v="0"/>
  </r>
  <r>
    <s v="VND-272"/>
    <s v="Safety Certificate"/>
    <s v="Yes"/>
    <s v="Yes"/>
    <d v="2025-05-04T00:00:00"/>
    <d v="2026-03-11T00:00:00"/>
    <n v="9"/>
    <x v="1"/>
    <n v="1"/>
    <x v="1"/>
  </r>
  <r>
    <s v="VND-272"/>
    <s v="Environmental Policy"/>
    <s v="Yes"/>
    <s v="Yes"/>
    <d v="2025-07-15T00:00:00"/>
    <d v="2026-03-06T00:00:00"/>
    <n v="4"/>
    <x v="1"/>
    <n v="1"/>
    <x v="0"/>
  </r>
  <r>
    <s v="VND-272"/>
    <s v="Sustainability Disclosure"/>
    <s v="Yes"/>
    <s v="Yes"/>
    <d v="2025-02-21T00:00:00"/>
    <d v="2026-03-06T00:00:00"/>
    <n v="4"/>
    <x v="1"/>
    <n v="1"/>
    <x v="0"/>
  </r>
  <r>
    <s v="VND-273"/>
    <s v="ISO 14001"/>
    <s v="Yes"/>
    <s v="Yes"/>
    <d v="2024-12-31T00:00:00"/>
    <d v="2026-03-20T00:00:00"/>
    <n v="18"/>
    <x v="1"/>
    <n v="1"/>
    <x v="0"/>
  </r>
  <r>
    <s v="VND-273"/>
    <s v="Safety Certificate"/>
    <s v="Yes"/>
    <s v="Yes"/>
    <d v="2025-01-31T00:00:00"/>
    <d v="2026-03-06T00:00:00"/>
    <n v="4"/>
    <x v="1"/>
    <n v="1"/>
    <x v="1"/>
  </r>
  <r>
    <s v="VND-273"/>
    <s v="Environmental Policy"/>
    <s v="Yes"/>
    <s v="Yes"/>
    <d v="2025-12-27T00:00:00"/>
    <d v="2026-03-18T00:00:00"/>
    <n v="16"/>
    <x v="1"/>
    <n v="1"/>
    <x v="0"/>
  </r>
  <r>
    <s v="VND-273"/>
    <s v="Sustainability Disclosure"/>
    <s v="Yes"/>
    <s v="Yes"/>
    <d v="2024-12-31T00:00:00"/>
    <d v="2026-03-14T00:00:00"/>
    <n v="12"/>
    <x v="1"/>
    <n v="1"/>
    <x v="0"/>
  </r>
  <r>
    <s v="VND-274"/>
    <s v="ISO 14001"/>
    <s v="Yes"/>
    <s v="Yes"/>
    <d v="2025-03-21T00:00:00"/>
    <d v="2026-03-07T00:00:00"/>
    <n v="5"/>
    <x v="1"/>
    <n v="1"/>
    <x v="0"/>
  </r>
  <r>
    <s v="VND-274"/>
    <s v="Safety Certificate"/>
    <s v="Yes"/>
    <s v="Yes"/>
    <d v="2025-01-10T00:00:00"/>
    <d v="2026-03-02T00:00:00"/>
    <n v="0"/>
    <x v="1"/>
    <n v="1"/>
    <x v="1"/>
  </r>
  <r>
    <s v="VND-274"/>
    <s v="Environmental Policy"/>
    <s v="Yes"/>
    <s v="Yes"/>
    <d v="2025-04-12T00:00:00"/>
    <d v="2026-03-20T00:00:00"/>
    <n v="18"/>
    <x v="1"/>
    <n v="1"/>
    <x v="0"/>
  </r>
  <r>
    <s v="VND-274"/>
    <s v="Sustainability Disclosure"/>
    <s v="Yes"/>
    <s v="Yes"/>
    <d v="2025-09-26T00:00:00"/>
    <d v="2026-03-06T00:00:00"/>
    <n v="4"/>
    <x v="1"/>
    <n v="1"/>
    <x v="0"/>
  </r>
  <r>
    <s v="VND-275"/>
    <s v="ISO 14001"/>
    <s v="Yes"/>
    <s v="Yes"/>
    <d v="2025-02-23T00:00:00"/>
    <d v="2026-03-03T00:00:00"/>
    <n v="1"/>
    <x v="1"/>
    <n v="1"/>
    <x v="0"/>
  </r>
  <r>
    <s v="VND-275"/>
    <s v="Safety Certificate"/>
    <s v="Yes"/>
    <s v="Yes"/>
    <d v="2025-09-19T00:00:00"/>
    <d v="2026-03-08T00:00:00"/>
    <n v="6"/>
    <x v="1"/>
    <n v="1"/>
    <x v="1"/>
  </r>
  <r>
    <s v="VND-275"/>
    <s v="Environmental Policy"/>
    <s v="Yes"/>
    <s v="Yes"/>
    <d v="2026-01-16T00:00:00"/>
    <d v="2026-03-11T00:00:00"/>
    <n v="9"/>
    <x v="1"/>
    <n v="1"/>
    <x v="0"/>
  </r>
  <r>
    <s v="VND-275"/>
    <s v="Sustainability Disclosure"/>
    <s v="Yes"/>
    <s v="Yes"/>
    <d v="2025-06-26T00:00:00"/>
    <d v="2026-03-20T00:00:00"/>
    <n v="18"/>
    <x v="1"/>
    <n v="1"/>
    <x v="0"/>
  </r>
  <r>
    <s v="VND-276"/>
    <s v="ISO 14001"/>
    <s v="Yes"/>
    <s v="Yes"/>
    <d v="2025-09-08T00:00:00"/>
    <d v="2026-03-26T00:00:00"/>
    <n v="24"/>
    <x v="1"/>
    <n v="1"/>
    <x v="0"/>
  </r>
  <r>
    <s v="VND-276"/>
    <s v="Safety Certificate"/>
    <s v="Yes"/>
    <s v="Yes"/>
    <d v="2024-11-15T00:00:00"/>
    <d v="2026-03-01T00:00:00"/>
    <n v="-1"/>
    <x v="2"/>
    <n v="1"/>
    <x v="1"/>
  </r>
  <r>
    <s v="VND-276"/>
    <s v="Environmental Policy"/>
    <s v="Yes"/>
    <s v="Yes"/>
    <d v="2024-12-04T00:00:00"/>
    <d v="2026-03-16T00:00:00"/>
    <n v="14"/>
    <x v="1"/>
    <n v="1"/>
    <x v="0"/>
  </r>
  <r>
    <s v="VND-276"/>
    <s v="Sustainability Disclosure"/>
    <s v="Yes"/>
    <s v="Yes"/>
    <d v="2024-09-14T00:00:00"/>
    <d v="2026-03-26T00:00:00"/>
    <n v="24"/>
    <x v="1"/>
    <n v="1"/>
    <x v="0"/>
  </r>
  <r>
    <s v="VND-277"/>
    <s v="ISO 14001"/>
    <s v="Yes"/>
    <s v="Yes"/>
    <d v="2025-11-14T00:00:00"/>
    <d v="2026-03-15T00:00:00"/>
    <n v="13"/>
    <x v="1"/>
    <n v="1"/>
    <x v="0"/>
  </r>
  <r>
    <s v="VND-277"/>
    <s v="Safety Certificate"/>
    <s v="Yes"/>
    <s v="Yes"/>
    <d v="2025-07-13T00:00:00"/>
    <d v="2026-03-06T00:00:00"/>
    <n v="4"/>
    <x v="1"/>
    <n v="1"/>
    <x v="1"/>
  </r>
  <r>
    <s v="VND-277"/>
    <s v="Environmental Policy"/>
    <s v="Yes"/>
    <s v="Yes"/>
    <d v="2024-04-27T00:00:00"/>
    <d v="2026-03-06T00:00:00"/>
    <n v="4"/>
    <x v="1"/>
    <n v="1"/>
    <x v="0"/>
  </r>
  <r>
    <s v="VND-277"/>
    <s v="Sustainability Disclosure"/>
    <s v="Yes"/>
    <s v="Yes"/>
    <d v="2024-04-18T00:00:00"/>
    <d v="2026-03-04T00:00:00"/>
    <n v="2"/>
    <x v="1"/>
    <n v="1"/>
    <x v="0"/>
  </r>
  <r>
    <s v="VND-278"/>
    <s v="ISO 14001"/>
    <s v="Yes"/>
    <s v="Yes"/>
    <d v="2025-03-31T00:00:00"/>
    <d v="2026-03-09T00:00:00"/>
    <n v="7"/>
    <x v="1"/>
    <n v="1"/>
    <x v="0"/>
  </r>
  <r>
    <s v="VND-278"/>
    <s v="Safety Certificate"/>
    <s v="Yes"/>
    <s v="Yes"/>
    <d v="2024-05-29T00:00:00"/>
    <d v="2026-03-22T00:00:00"/>
    <n v="20"/>
    <x v="1"/>
    <n v="1"/>
    <x v="1"/>
  </r>
  <r>
    <s v="VND-278"/>
    <s v="Environmental Policy"/>
    <s v="Yes"/>
    <s v="Yes"/>
    <d v="2025-09-22T00:00:00"/>
    <d v="2026-03-21T00:00:00"/>
    <n v="19"/>
    <x v="1"/>
    <n v="1"/>
    <x v="0"/>
  </r>
  <r>
    <s v="VND-278"/>
    <s v="Sustainability Disclosure"/>
    <s v="Yes"/>
    <s v="Yes"/>
    <d v="2024-08-19T00:00:00"/>
    <d v="2026-03-17T00:00:00"/>
    <n v="15"/>
    <x v="1"/>
    <n v="1"/>
    <x v="0"/>
  </r>
  <r>
    <s v="VND-279"/>
    <s v="ISO 14001"/>
    <s v="Yes"/>
    <s v="Yes"/>
    <d v="2025-08-02T00:00:00"/>
    <d v="2026-03-09T00:00:00"/>
    <n v="7"/>
    <x v="1"/>
    <n v="1"/>
    <x v="0"/>
  </r>
  <r>
    <s v="VND-279"/>
    <s v="Safety Certificate"/>
    <s v="Yes"/>
    <s v="Yes"/>
    <d v="2026-01-04T00:00:00"/>
    <d v="2026-03-22T00:00:00"/>
    <n v="20"/>
    <x v="1"/>
    <n v="1"/>
    <x v="1"/>
  </r>
  <r>
    <s v="VND-279"/>
    <s v="Environmental Policy"/>
    <s v="Yes"/>
    <s v="Yes"/>
    <d v="2024-11-27T00:00:00"/>
    <d v="2026-03-18T00:00:00"/>
    <n v="16"/>
    <x v="1"/>
    <n v="1"/>
    <x v="0"/>
  </r>
  <r>
    <s v="VND-279"/>
    <s v="Sustainability Disclosure"/>
    <s v="Yes"/>
    <s v="Yes"/>
    <d v="2025-01-06T00:00:00"/>
    <d v="2026-03-04T00:00:00"/>
    <n v="2"/>
    <x v="1"/>
    <n v="1"/>
    <x v="0"/>
  </r>
  <r>
    <s v="VND-280"/>
    <s v="ISO 14001"/>
    <s v="Yes"/>
    <s v="Yes"/>
    <d v="2024-05-20T00:00:00"/>
    <d v="2026-03-24T00:00:00"/>
    <n v="22"/>
    <x v="1"/>
    <n v="1"/>
    <x v="0"/>
  </r>
  <r>
    <s v="VND-280"/>
    <s v="Safety Certificate"/>
    <s v="Yes"/>
    <s v="Yes"/>
    <d v="2025-11-25T00:00:00"/>
    <d v="2026-03-17T00:00:00"/>
    <n v="15"/>
    <x v="1"/>
    <n v="1"/>
    <x v="1"/>
  </r>
  <r>
    <s v="VND-280"/>
    <s v="Environmental Policy"/>
    <s v="Yes"/>
    <s v="Yes"/>
    <d v="2024-05-21T00:00:00"/>
    <d v="2026-03-13T00:00:00"/>
    <n v="11"/>
    <x v="1"/>
    <n v="1"/>
    <x v="0"/>
  </r>
  <r>
    <s v="VND-280"/>
    <s v="Sustainability Disclosure"/>
    <s v="Yes"/>
    <s v="Yes"/>
    <d v="2025-11-02T00:00:00"/>
    <d v="2026-03-24T00:00:00"/>
    <n v="22"/>
    <x v="1"/>
    <n v="1"/>
    <x v="0"/>
  </r>
  <r>
    <s v="VND-281"/>
    <s v="ISO 14001"/>
    <s v="Yes"/>
    <s v="Yes"/>
    <d v="2026-02-08T00:00:00"/>
    <d v="2026-03-11T00:00:00"/>
    <n v="9"/>
    <x v="1"/>
    <n v="1"/>
    <x v="0"/>
  </r>
  <r>
    <s v="VND-281"/>
    <s v="Safety Certificate"/>
    <s v="Yes"/>
    <s v="Yes"/>
    <d v="2025-12-10T00:00:00"/>
    <d v="2026-03-07T00:00:00"/>
    <n v="5"/>
    <x v="1"/>
    <n v="1"/>
    <x v="1"/>
  </r>
  <r>
    <s v="VND-281"/>
    <s v="Environmental Policy"/>
    <s v="Yes"/>
    <s v="Yes"/>
    <d v="2024-09-30T00:00:00"/>
    <d v="2026-03-05T00:00:00"/>
    <n v="3"/>
    <x v="1"/>
    <n v="1"/>
    <x v="0"/>
  </r>
  <r>
    <s v="VND-281"/>
    <s v="Sustainability Disclosure"/>
    <s v="Yes"/>
    <s v="Yes"/>
    <d v="2026-01-08T00:00:00"/>
    <d v="2026-03-12T00:00:00"/>
    <n v="10"/>
    <x v="1"/>
    <n v="1"/>
    <x v="0"/>
  </r>
  <r>
    <s v="VND-282"/>
    <s v="ISO 14001"/>
    <s v="Yes"/>
    <s v="Yes"/>
    <d v="2025-04-05T00:00:00"/>
    <d v="2026-03-17T00:00:00"/>
    <n v="15"/>
    <x v="1"/>
    <n v="1"/>
    <x v="0"/>
  </r>
  <r>
    <s v="VND-282"/>
    <s v="Safety Certificate"/>
    <s v="Yes"/>
    <s v="Yes"/>
    <d v="2024-05-14T00:00:00"/>
    <d v="2026-03-30T00:00:00"/>
    <n v="28"/>
    <x v="1"/>
    <n v="1"/>
    <x v="1"/>
  </r>
  <r>
    <s v="VND-282"/>
    <s v="Environmental Policy"/>
    <s v="Yes"/>
    <s v="Yes"/>
    <d v="2025-10-21T00:00:00"/>
    <d v="2026-03-21T00:00:00"/>
    <n v="19"/>
    <x v="1"/>
    <n v="1"/>
    <x v="0"/>
  </r>
  <r>
    <s v="VND-282"/>
    <s v="Sustainability Disclosure"/>
    <s v="Yes"/>
    <s v="Yes"/>
    <d v="2025-01-25T00:00:00"/>
    <d v="2026-03-22T00:00:00"/>
    <n v="20"/>
    <x v="1"/>
    <n v="1"/>
    <x v="0"/>
  </r>
  <r>
    <s v="VND-283"/>
    <s v="ISO 14001"/>
    <s v="Yes"/>
    <s v="Yes"/>
    <d v="2024-12-01T00:00:00"/>
    <d v="2026-03-26T00:00:00"/>
    <n v="24"/>
    <x v="1"/>
    <n v="1"/>
    <x v="0"/>
  </r>
  <r>
    <s v="VND-283"/>
    <s v="Safety Certificate"/>
    <s v="Yes"/>
    <s v="Yes"/>
    <d v="2024-10-03T00:00:00"/>
    <d v="2026-03-11T00:00:00"/>
    <n v="9"/>
    <x v="1"/>
    <n v="1"/>
    <x v="1"/>
  </r>
  <r>
    <s v="VND-283"/>
    <s v="Environmental Policy"/>
    <s v="Yes"/>
    <s v="Yes"/>
    <d v="2025-10-03T00:00:00"/>
    <d v="2026-03-11T00:00:00"/>
    <n v="9"/>
    <x v="1"/>
    <n v="1"/>
    <x v="0"/>
  </r>
  <r>
    <s v="VND-283"/>
    <s v="Sustainability Disclosure"/>
    <s v="Yes"/>
    <s v="Yes"/>
    <d v="2024-08-29T00:00:00"/>
    <d v="2026-03-19T00:00:00"/>
    <n v="17"/>
    <x v="1"/>
    <n v="1"/>
    <x v="0"/>
  </r>
  <r>
    <s v="VND-284"/>
    <s v="ISO 14001"/>
    <s v="Yes"/>
    <s v="Yes"/>
    <d v="2025-11-13T00:00:00"/>
    <d v="2026-03-17T00:00:00"/>
    <n v="15"/>
    <x v="1"/>
    <n v="1"/>
    <x v="0"/>
  </r>
  <r>
    <s v="VND-284"/>
    <s v="Safety Certificate"/>
    <s v="Yes"/>
    <s v="Yes"/>
    <d v="2025-12-08T00:00:00"/>
    <d v="2026-03-11T00:00:00"/>
    <n v="9"/>
    <x v="1"/>
    <n v="1"/>
    <x v="1"/>
  </r>
  <r>
    <s v="VND-284"/>
    <s v="Environmental Policy"/>
    <s v="Yes"/>
    <s v="Yes"/>
    <d v="2024-04-14T00:00:00"/>
    <d v="2026-03-09T00:00:00"/>
    <n v="7"/>
    <x v="1"/>
    <n v="1"/>
    <x v="0"/>
  </r>
  <r>
    <s v="VND-284"/>
    <s v="Sustainability Disclosure"/>
    <s v="Yes"/>
    <s v="Yes"/>
    <d v="2025-06-12T00:00:00"/>
    <d v="2026-03-23T00:00:00"/>
    <n v="21"/>
    <x v="1"/>
    <n v="1"/>
    <x v="0"/>
  </r>
  <r>
    <s v="VND-285"/>
    <s v="ISO 14001"/>
    <s v="Yes"/>
    <s v="Yes"/>
    <d v="2024-12-18T00:00:00"/>
    <d v="2026-03-13T00:00:00"/>
    <n v="11"/>
    <x v="1"/>
    <n v="1"/>
    <x v="0"/>
  </r>
  <r>
    <s v="VND-285"/>
    <s v="Safety Certificate"/>
    <s v="Yes"/>
    <s v="Yes"/>
    <d v="2026-01-02T00:00:00"/>
    <d v="2026-03-03T00:00:00"/>
    <n v="1"/>
    <x v="1"/>
    <n v="1"/>
    <x v="1"/>
  </r>
  <r>
    <s v="VND-285"/>
    <s v="Environmental Policy"/>
    <s v="Yes"/>
    <s v="Yes"/>
    <d v="2024-07-01T00:00:00"/>
    <d v="2026-03-04T00:00:00"/>
    <n v="2"/>
    <x v="1"/>
    <n v="1"/>
    <x v="0"/>
  </r>
  <r>
    <s v="VND-285"/>
    <s v="Sustainability Disclosure"/>
    <s v="Yes"/>
    <s v="Yes"/>
    <d v="2025-11-16T00:00:00"/>
    <d v="2026-03-04T00:00:00"/>
    <n v="2"/>
    <x v="1"/>
    <n v="1"/>
    <x v="0"/>
  </r>
  <r>
    <s v="VND-286"/>
    <s v="ISO 14001"/>
    <s v="Yes"/>
    <s v="Yes"/>
    <d v="2024-04-18T00:00:00"/>
    <d v="2026-03-17T00:00:00"/>
    <n v="15"/>
    <x v="1"/>
    <n v="1"/>
    <x v="0"/>
  </r>
  <r>
    <s v="VND-286"/>
    <s v="Safety Certificate"/>
    <s v="Yes"/>
    <s v="Yes"/>
    <d v="2024-10-15T00:00:00"/>
    <d v="2026-03-07T00:00:00"/>
    <n v="5"/>
    <x v="1"/>
    <n v="1"/>
    <x v="1"/>
  </r>
  <r>
    <s v="VND-286"/>
    <s v="Environmental Policy"/>
    <s v="Yes"/>
    <s v="Yes"/>
    <d v="2024-11-02T00:00:00"/>
    <d v="2026-03-07T00:00:00"/>
    <n v="5"/>
    <x v="1"/>
    <n v="1"/>
    <x v="0"/>
  </r>
  <r>
    <s v="VND-286"/>
    <s v="Sustainability Disclosure"/>
    <s v="Yes"/>
    <s v="Yes"/>
    <d v="2025-09-16T00:00:00"/>
    <d v="2026-03-04T00:00:00"/>
    <n v="2"/>
    <x v="1"/>
    <n v="1"/>
    <x v="0"/>
  </r>
  <r>
    <s v="VND-287"/>
    <s v="ISO 14001"/>
    <s v="Yes"/>
    <s v="Yes"/>
    <d v="2025-11-17T00:00:00"/>
    <d v="2026-03-15T00:00:00"/>
    <n v="13"/>
    <x v="1"/>
    <n v="1"/>
    <x v="0"/>
  </r>
  <r>
    <s v="VND-287"/>
    <s v="Safety Certificate"/>
    <s v="Yes"/>
    <s v="Yes"/>
    <d v="2024-06-27T00:00:00"/>
    <d v="2026-03-16T00:00:00"/>
    <n v="14"/>
    <x v="1"/>
    <n v="1"/>
    <x v="1"/>
  </r>
  <r>
    <s v="VND-287"/>
    <s v="Environmental Policy"/>
    <s v="Yes"/>
    <s v="Yes"/>
    <d v="2024-11-02T00:00:00"/>
    <d v="2026-03-21T00:00:00"/>
    <n v="19"/>
    <x v="1"/>
    <n v="1"/>
    <x v="0"/>
  </r>
  <r>
    <s v="VND-287"/>
    <s v="Sustainability Disclosure"/>
    <s v="Yes"/>
    <s v="Yes"/>
    <d v="2024-07-07T00:00:00"/>
    <d v="2026-03-02T00:00:00"/>
    <n v="0"/>
    <x v="1"/>
    <n v="1"/>
    <x v="0"/>
  </r>
  <r>
    <s v="VND-288"/>
    <s v="ISO 14001"/>
    <s v="Yes"/>
    <s v="Yes"/>
    <d v="2024-04-29T00:00:00"/>
    <d v="2026-03-11T00:00:00"/>
    <n v="9"/>
    <x v="1"/>
    <n v="1"/>
    <x v="0"/>
  </r>
  <r>
    <s v="VND-288"/>
    <s v="Safety Certificate"/>
    <s v="Yes"/>
    <s v="Yes"/>
    <d v="2026-01-24T00:00:00"/>
    <d v="2026-03-16T00:00:00"/>
    <n v="14"/>
    <x v="1"/>
    <n v="1"/>
    <x v="1"/>
  </r>
  <r>
    <s v="VND-288"/>
    <s v="Environmental Policy"/>
    <s v="Yes"/>
    <s v="Yes"/>
    <d v="2025-07-24T00:00:00"/>
    <d v="2026-03-23T00:00:00"/>
    <n v="21"/>
    <x v="1"/>
    <n v="1"/>
    <x v="0"/>
  </r>
  <r>
    <s v="VND-288"/>
    <s v="Sustainability Disclosure"/>
    <s v="Yes"/>
    <s v="Yes"/>
    <d v="2024-05-18T00:00:00"/>
    <d v="2026-03-15T00:00:00"/>
    <n v="13"/>
    <x v="1"/>
    <n v="1"/>
    <x v="0"/>
  </r>
  <r>
    <s v="VND-289"/>
    <s v="ISO 14001"/>
    <s v="Yes"/>
    <s v="Yes"/>
    <d v="2025-12-03T00:00:00"/>
    <d v="2025-12-03T00:00:00"/>
    <n v="-89"/>
    <x v="2"/>
    <n v="1"/>
    <x v="0"/>
  </r>
  <r>
    <s v="VND-289"/>
    <s v="Safety Certificate"/>
    <s v="Yes"/>
    <s v="Yes"/>
    <d v="2025-02-20T00:00:00"/>
    <d v="2025-10-12T00:00:00"/>
    <n v="-141"/>
    <x v="2"/>
    <n v="1"/>
    <x v="1"/>
  </r>
  <r>
    <s v="VND-289"/>
    <s v="Environmental Policy"/>
    <s v="Yes"/>
    <s v="Yes"/>
    <d v="2025-10-02T00:00:00"/>
    <d v="2026-01-14T00:00:00"/>
    <n v="-47"/>
    <x v="2"/>
    <n v="1"/>
    <x v="0"/>
  </r>
  <r>
    <s v="VND-289"/>
    <s v="Sustainability Disclosure"/>
    <s v="Yes"/>
    <s v="Yes"/>
    <d v="2024-05-17T00:00:00"/>
    <d v="2025-09-09T00:00:00"/>
    <n v="-174"/>
    <x v="2"/>
    <n v="1"/>
    <x v="0"/>
  </r>
  <r>
    <s v="VND-290"/>
    <s v="ISO 14001"/>
    <s v="Yes"/>
    <s v="Yes"/>
    <d v="2024-12-25T00:00:00"/>
    <d v="2026-01-19T00:00:00"/>
    <n v="-42"/>
    <x v="2"/>
    <n v="1"/>
    <x v="0"/>
  </r>
  <r>
    <s v="VND-290"/>
    <s v="Safety Certificate"/>
    <s v="Yes"/>
    <s v="Yes"/>
    <d v="2025-08-10T00:00:00"/>
    <d v="2026-02-03T00:00:00"/>
    <n v="-27"/>
    <x v="2"/>
    <n v="1"/>
    <x v="1"/>
  </r>
  <r>
    <s v="VND-290"/>
    <s v="Environmental Policy"/>
    <s v="Yes"/>
    <s v="Yes"/>
    <d v="2024-05-17T00:00:00"/>
    <d v="2026-01-25T00:00:00"/>
    <n v="-36"/>
    <x v="2"/>
    <n v="1"/>
    <x v="0"/>
  </r>
  <r>
    <s v="VND-290"/>
    <s v="Sustainability Disclosure"/>
    <s v="Yes"/>
    <s v="Yes"/>
    <d v="2024-07-11T00:00:00"/>
    <d v="2025-09-11T00:00:00"/>
    <n v="-172"/>
    <x v="2"/>
    <n v="1"/>
    <x v="0"/>
  </r>
  <r>
    <s v="VND-291"/>
    <s v="ISO 14001"/>
    <s v="Yes"/>
    <s v="Yes"/>
    <d v="2025-12-04T00:00:00"/>
    <d v="2025-12-28T00:00:00"/>
    <n v="-64"/>
    <x v="2"/>
    <n v="1"/>
    <x v="0"/>
  </r>
  <r>
    <s v="VND-291"/>
    <s v="Safety Certificate"/>
    <s v="Yes"/>
    <s v="Yes"/>
    <d v="2025-06-03T00:00:00"/>
    <d v="2026-02-09T00:00:00"/>
    <n v="-21"/>
    <x v="2"/>
    <n v="1"/>
    <x v="1"/>
  </r>
  <r>
    <s v="VND-291"/>
    <s v="Environmental Policy"/>
    <s v="Yes"/>
    <s v="Yes"/>
    <d v="2025-07-20T00:00:00"/>
    <d v="2025-10-24T00:00:00"/>
    <n v="-129"/>
    <x v="2"/>
    <n v="1"/>
    <x v="0"/>
  </r>
  <r>
    <s v="VND-291"/>
    <s v="Sustainability Disclosure"/>
    <s v="Yes"/>
    <s v="Yes"/>
    <d v="2025-10-24T00:00:00"/>
    <d v="2025-09-01T00:00:00"/>
    <n v="-182"/>
    <x v="2"/>
    <n v="1"/>
    <x v="0"/>
  </r>
  <r>
    <s v="VND-292"/>
    <s v="ISO 14001"/>
    <s v="Yes"/>
    <s v="Yes"/>
    <d v="2025-08-10T00:00:00"/>
    <d v="2026-01-05T00:00:00"/>
    <n v="-56"/>
    <x v="2"/>
    <n v="1"/>
    <x v="0"/>
  </r>
  <r>
    <s v="VND-292"/>
    <s v="Safety Certificate"/>
    <s v="Yes"/>
    <s v="Yes"/>
    <d v="2025-09-05T00:00:00"/>
    <d v="2025-11-14T00:00:00"/>
    <n v="-108"/>
    <x v="2"/>
    <n v="1"/>
    <x v="1"/>
  </r>
  <r>
    <s v="VND-292"/>
    <s v="Environmental Policy"/>
    <s v="Yes"/>
    <s v="Yes"/>
    <d v="2025-06-15T00:00:00"/>
    <d v="2026-01-18T00:00:00"/>
    <n v="-43"/>
    <x v="2"/>
    <n v="1"/>
    <x v="0"/>
  </r>
  <r>
    <s v="VND-292"/>
    <s v="Sustainability Disclosure"/>
    <s v="Yes"/>
    <s v="Yes"/>
    <d v="2025-02-07T00:00:00"/>
    <d v="2025-11-29T00:00:00"/>
    <n v="-93"/>
    <x v="2"/>
    <n v="1"/>
    <x v="0"/>
  </r>
  <r>
    <s v="VND-293"/>
    <s v="ISO 14001"/>
    <s v="Yes"/>
    <s v="Yes"/>
    <d v="2024-12-27T00:00:00"/>
    <d v="2025-10-20T00:00:00"/>
    <n v="-133"/>
    <x v="2"/>
    <n v="1"/>
    <x v="0"/>
  </r>
  <r>
    <s v="VND-293"/>
    <s v="Safety Certificate"/>
    <s v="Yes"/>
    <s v="Yes"/>
    <d v="2024-06-14T00:00:00"/>
    <d v="2026-02-06T00:00:00"/>
    <n v="-24"/>
    <x v="2"/>
    <n v="1"/>
    <x v="1"/>
  </r>
  <r>
    <s v="VND-293"/>
    <s v="Environmental Policy"/>
    <s v="Yes"/>
    <s v="Yes"/>
    <d v="2025-04-20T00:00:00"/>
    <d v="2026-01-07T00:00:00"/>
    <n v="-54"/>
    <x v="2"/>
    <n v="1"/>
    <x v="0"/>
  </r>
  <r>
    <s v="VND-293"/>
    <s v="Sustainability Disclosure"/>
    <s v="Yes"/>
    <s v="Yes"/>
    <d v="2025-01-20T00:00:00"/>
    <d v="2025-10-09T00:00:00"/>
    <n v="-144"/>
    <x v="2"/>
    <n v="1"/>
    <x v="0"/>
  </r>
  <r>
    <s v="VND-294"/>
    <s v="ISO 14001"/>
    <s v="Yes"/>
    <s v="Yes"/>
    <d v="2024-10-31T00:00:00"/>
    <d v="2025-10-17T00:00:00"/>
    <n v="-136"/>
    <x v="2"/>
    <n v="1"/>
    <x v="0"/>
  </r>
  <r>
    <s v="VND-294"/>
    <s v="Safety Certificate"/>
    <s v="Yes"/>
    <s v="Yes"/>
    <d v="2026-02-09T00:00:00"/>
    <d v="2025-10-12T00:00:00"/>
    <n v="-141"/>
    <x v="2"/>
    <n v="1"/>
    <x v="1"/>
  </r>
  <r>
    <s v="VND-294"/>
    <s v="Environmental Policy"/>
    <s v="Yes"/>
    <s v="Yes"/>
    <d v="2024-09-07T00:00:00"/>
    <d v="2025-12-10T00:00:00"/>
    <n v="-82"/>
    <x v="2"/>
    <n v="1"/>
    <x v="0"/>
  </r>
  <r>
    <s v="VND-294"/>
    <s v="Sustainability Disclosure"/>
    <s v="Yes"/>
    <s v="Yes"/>
    <d v="2024-09-28T00:00:00"/>
    <d v="2026-01-26T00:00:00"/>
    <n v="-35"/>
    <x v="2"/>
    <n v="1"/>
    <x v="0"/>
  </r>
  <r>
    <s v="VND-295"/>
    <s v="ISO 14001"/>
    <s v="Yes"/>
    <s v="Yes"/>
    <d v="2025-08-13T00:00:00"/>
    <d v="2025-09-08T00:00:00"/>
    <n v="-175"/>
    <x v="2"/>
    <n v="1"/>
    <x v="0"/>
  </r>
  <r>
    <s v="VND-295"/>
    <s v="Safety Certificate"/>
    <s v="Yes"/>
    <s v="Yes"/>
    <d v="2024-08-11T00:00:00"/>
    <d v="2025-10-29T00:00:00"/>
    <n v="-124"/>
    <x v="2"/>
    <n v="1"/>
    <x v="1"/>
  </r>
  <r>
    <s v="VND-295"/>
    <s v="Environmental Policy"/>
    <s v="Yes"/>
    <s v="Yes"/>
    <d v="2025-03-20T00:00:00"/>
    <d v="2025-11-24T00:00:00"/>
    <n v="-98"/>
    <x v="2"/>
    <n v="1"/>
    <x v="0"/>
  </r>
  <r>
    <s v="VND-295"/>
    <s v="Sustainability Disclosure"/>
    <s v="Yes"/>
    <s v="Yes"/>
    <d v="2025-11-01T00:00:00"/>
    <d v="2026-02-22T00:00:00"/>
    <n v="-8"/>
    <x v="2"/>
    <n v="1"/>
    <x v="0"/>
  </r>
  <r>
    <s v="VND-296"/>
    <s v="ISO 14001"/>
    <s v="Yes"/>
    <s v="Yes"/>
    <d v="2025-01-16T00:00:00"/>
    <d v="2025-11-05T00:00:00"/>
    <n v="-117"/>
    <x v="2"/>
    <n v="1"/>
    <x v="0"/>
  </r>
  <r>
    <s v="VND-296"/>
    <s v="Safety Certificate"/>
    <s v="Yes"/>
    <s v="Yes"/>
    <d v="2024-11-26T00:00:00"/>
    <d v="2025-12-20T00:00:00"/>
    <n v="-72"/>
    <x v="2"/>
    <n v="1"/>
    <x v="1"/>
  </r>
  <r>
    <s v="VND-296"/>
    <s v="Environmental Policy"/>
    <s v="Yes"/>
    <s v="Yes"/>
    <d v="2025-02-03T00:00:00"/>
    <d v="2025-12-16T00:00:00"/>
    <n v="-76"/>
    <x v="2"/>
    <n v="1"/>
    <x v="0"/>
  </r>
  <r>
    <s v="VND-296"/>
    <s v="Sustainability Disclosure"/>
    <s v="Yes"/>
    <s v="Yes"/>
    <d v="2026-01-28T00:00:00"/>
    <d v="2026-01-12T00:00:00"/>
    <n v="-49"/>
    <x v="2"/>
    <n v="1"/>
    <x v="0"/>
  </r>
  <r>
    <s v="VND-297"/>
    <s v="ISO 14001"/>
    <s v="Yes"/>
    <s v="Yes"/>
    <d v="2025-01-01T00:00:00"/>
    <d v="2025-12-16T00:00:00"/>
    <n v="-76"/>
    <x v="2"/>
    <n v="1"/>
    <x v="0"/>
  </r>
  <r>
    <s v="VND-297"/>
    <s v="Safety Certificate"/>
    <s v="Yes"/>
    <s v="Yes"/>
    <d v="2024-10-10T00:00:00"/>
    <d v="2026-02-11T00:00:00"/>
    <n v="-19"/>
    <x v="2"/>
    <n v="1"/>
    <x v="1"/>
  </r>
  <r>
    <s v="VND-297"/>
    <s v="Environmental Policy"/>
    <s v="Yes"/>
    <s v="Yes"/>
    <d v="2025-01-16T00:00:00"/>
    <d v="2025-12-17T00:00:00"/>
    <n v="-75"/>
    <x v="2"/>
    <n v="1"/>
    <x v="0"/>
  </r>
  <r>
    <s v="VND-297"/>
    <s v="Sustainability Disclosure"/>
    <s v="Yes"/>
    <s v="Yes"/>
    <d v="2024-05-20T00:00:00"/>
    <d v="2026-01-28T00:00:00"/>
    <n v="-33"/>
    <x v="2"/>
    <n v="1"/>
    <x v="0"/>
  </r>
  <r>
    <s v="VND-298"/>
    <s v="ISO 14001"/>
    <s v="Yes"/>
    <s v="Yes"/>
    <d v="2024-11-30T00:00:00"/>
    <d v="2026-02-26T00:00:00"/>
    <n v="-4"/>
    <x v="2"/>
    <n v="1"/>
    <x v="0"/>
  </r>
  <r>
    <s v="VND-298"/>
    <s v="Safety Certificate"/>
    <s v="Yes"/>
    <s v="Yes"/>
    <d v="2024-11-27T00:00:00"/>
    <d v="2025-10-04T00:00:00"/>
    <n v="-149"/>
    <x v="2"/>
    <n v="1"/>
    <x v="1"/>
  </r>
  <r>
    <s v="VND-298"/>
    <s v="Environmental Policy"/>
    <s v="Yes"/>
    <s v="Yes"/>
    <d v="2025-05-02T00:00:00"/>
    <d v="2025-09-02T00:00:00"/>
    <n v="-181"/>
    <x v="2"/>
    <n v="1"/>
    <x v="0"/>
  </r>
  <r>
    <s v="VND-298"/>
    <s v="Sustainability Disclosure"/>
    <s v="Yes"/>
    <s v="Yes"/>
    <d v="2024-05-04T00:00:00"/>
    <d v="2025-11-23T00:00:00"/>
    <n v="-99"/>
    <x v="2"/>
    <n v="1"/>
    <x v="0"/>
  </r>
  <r>
    <s v="VND-299"/>
    <s v="ISO 14001"/>
    <s v="Yes"/>
    <s v="Yes"/>
    <d v="2025-09-20T00:00:00"/>
    <d v="2025-12-24T00:00:00"/>
    <n v="-68"/>
    <x v="2"/>
    <n v="1"/>
    <x v="0"/>
  </r>
  <r>
    <s v="VND-299"/>
    <s v="Safety Certificate"/>
    <s v="Yes"/>
    <s v="Yes"/>
    <d v="2025-06-03T00:00:00"/>
    <d v="2025-10-03T00:00:00"/>
    <n v="-150"/>
    <x v="2"/>
    <n v="1"/>
    <x v="1"/>
  </r>
  <r>
    <s v="VND-299"/>
    <s v="Environmental Policy"/>
    <s v="Yes"/>
    <s v="Yes"/>
    <d v="2025-11-11T00:00:00"/>
    <d v="2025-11-16T00:00:00"/>
    <n v="-106"/>
    <x v="2"/>
    <n v="1"/>
    <x v="0"/>
  </r>
  <r>
    <s v="VND-299"/>
    <s v="Sustainability Disclosure"/>
    <s v="Yes"/>
    <s v="Yes"/>
    <d v="2025-10-25T00:00:00"/>
    <d v="2025-09-03T00:00:00"/>
    <n v="-180"/>
    <x v="2"/>
    <n v="1"/>
    <x v="0"/>
  </r>
  <r>
    <s v="VND-300"/>
    <s v="ISO 14001"/>
    <s v="Yes"/>
    <s v="Yes"/>
    <d v="2024-07-21T00:00:00"/>
    <d v="2025-10-03T00:00:00"/>
    <n v="-150"/>
    <x v="2"/>
    <n v="1"/>
    <x v="0"/>
  </r>
  <r>
    <s v="VND-300"/>
    <s v="Safety Certificate"/>
    <s v="Yes"/>
    <s v="Yes"/>
    <d v="2025-10-05T00:00:00"/>
    <d v="2026-01-19T00:00:00"/>
    <n v="-42"/>
    <x v="2"/>
    <n v="1"/>
    <x v="1"/>
  </r>
  <r>
    <s v="VND-300"/>
    <s v="Environmental Policy"/>
    <s v="Yes"/>
    <s v="Yes"/>
    <d v="2025-04-07T00:00:00"/>
    <d v="2025-12-31T00:00:00"/>
    <n v="-61"/>
    <x v="2"/>
    <n v="1"/>
    <x v="0"/>
  </r>
  <r>
    <s v="VND-300"/>
    <s v="Sustainability Disclosure"/>
    <s v="Yes"/>
    <s v="Yes"/>
    <d v="2025-03-18T00:00:00"/>
    <d v="2025-10-18T00:00:00"/>
    <n v="-135"/>
    <x v="2"/>
    <n v="1"/>
    <x v="0"/>
  </r>
  <r>
    <s v="VND-301"/>
    <s v="ISO 14001"/>
    <s v="Yes"/>
    <s v="Yes"/>
    <d v="2025-02-20T00:00:00"/>
    <d v="2026-02-24T00:00:00"/>
    <n v="-6"/>
    <x v="2"/>
    <n v="1"/>
    <x v="0"/>
  </r>
  <r>
    <s v="VND-301"/>
    <s v="Safety Certificate"/>
    <s v="Yes"/>
    <s v="Yes"/>
    <d v="2025-10-06T00:00:00"/>
    <d v="2025-09-06T00:00:00"/>
    <n v="-177"/>
    <x v="2"/>
    <n v="1"/>
    <x v="1"/>
  </r>
  <r>
    <s v="VND-301"/>
    <s v="Environmental Policy"/>
    <s v="Yes"/>
    <s v="Yes"/>
    <d v="2024-06-15T00:00:00"/>
    <d v="2025-10-16T00:00:00"/>
    <n v="-137"/>
    <x v="2"/>
    <n v="1"/>
    <x v="0"/>
  </r>
  <r>
    <s v="VND-301"/>
    <s v="Sustainability Disclosure"/>
    <s v="Yes"/>
    <s v="Yes"/>
    <d v="2025-05-22T00:00:00"/>
    <d v="2025-11-12T00:00:00"/>
    <n v="-110"/>
    <x v="2"/>
    <n v="1"/>
    <x v="0"/>
  </r>
  <r>
    <s v="VND-302"/>
    <s v="ISO 14001"/>
    <s v="Yes"/>
    <s v="Yes"/>
    <d v="2024-11-03T00:00:00"/>
    <d v="2025-12-19T00:00:00"/>
    <n v="-73"/>
    <x v="2"/>
    <n v="1"/>
    <x v="0"/>
  </r>
  <r>
    <s v="VND-302"/>
    <s v="Safety Certificate"/>
    <s v="Yes"/>
    <s v="Yes"/>
    <d v="2024-10-26T00:00:00"/>
    <d v="2026-01-17T00:00:00"/>
    <n v="-44"/>
    <x v="2"/>
    <n v="1"/>
    <x v="1"/>
  </r>
  <r>
    <s v="VND-302"/>
    <s v="Environmental Policy"/>
    <s v="Yes"/>
    <s v="Yes"/>
    <d v="2025-07-20T00:00:00"/>
    <d v="2025-10-17T00:00:00"/>
    <n v="-136"/>
    <x v="2"/>
    <n v="1"/>
    <x v="0"/>
  </r>
  <r>
    <s v="VND-302"/>
    <s v="Sustainability Disclosure"/>
    <s v="Yes"/>
    <s v="Yes"/>
    <d v="2024-10-01T00:00:00"/>
    <d v="2025-12-18T00:00:00"/>
    <n v="-74"/>
    <x v="2"/>
    <n v="1"/>
    <x v="0"/>
  </r>
  <r>
    <s v="VND-303"/>
    <s v="ISO 14001"/>
    <s v="Yes"/>
    <s v="Yes"/>
    <d v="2025-07-24T00:00:00"/>
    <d v="2025-12-27T00:00:00"/>
    <n v="-65"/>
    <x v="2"/>
    <n v="1"/>
    <x v="0"/>
  </r>
  <r>
    <s v="VND-303"/>
    <s v="Safety Certificate"/>
    <s v="Yes"/>
    <s v="Yes"/>
    <d v="2024-09-16T00:00:00"/>
    <d v="2026-02-14T00:00:00"/>
    <n v="-16"/>
    <x v="2"/>
    <n v="1"/>
    <x v="1"/>
  </r>
  <r>
    <s v="VND-303"/>
    <s v="Environmental Policy"/>
    <s v="Yes"/>
    <s v="Yes"/>
    <d v="2024-08-04T00:00:00"/>
    <d v="2025-10-06T00:00:00"/>
    <n v="-147"/>
    <x v="2"/>
    <n v="1"/>
    <x v="0"/>
  </r>
  <r>
    <s v="VND-303"/>
    <s v="Sustainability Disclosure"/>
    <s v="Yes"/>
    <s v="Yes"/>
    <d v="2025-05-03T00:00:00"/>
    <d v="2026-02-04T00:00:00"/>
    <n v="-26"/>
    <x v="2"/>
    <n v="1"/>
    <x v="0"/>
  </r>
  <r>
    <s v="VND-304"/>
    <s v="ISO 14001"/>
    <s v="Yes"/>
    <s v="Yes"/>
    <d v="2025-04-03T00:00:00"/>
    <d v="2025-12-14T00:00:00"/>
    <n v="-78"/>
    <x v="2"/>
    <n v="1"/>
    <x v="0"/>
  </r>
  <r>
    <s v="VND-304"/>
    <s v="Safety Certificate"/>
    <s v="Yes"/>
    <s v="Yes"/>
    <d v="2025-08-26T00:00:00"/>
    <d v="2025-10-17T00:00:00"/>
    <n v="-136"/>
    <x v="2"/>
    <n v="1"/>
    <x v="1"/>
  </r>
  <r>
    <s v="VND-304"/>
    <s v="Environmental Policy"/>
    <s v="Yes"/>
    <s v="Yes"/>
    <d v="2024-12-21T00:00:00"/>
    <d v="2026-02-09T00:00:00"/>
    <n v="-21"/>
    <x v="2"/>
    <n v="1"/>
    <x v="0"/>
  </r>
  <r>
    <s v="VND-304"/>
    <s v="Sustainability Disclosure"/>
    <s v="Yes"/>
    <s v="Yes"/>
    <d v="2024-12-28T00:00:00"/>
    <d v="2025-09-21T00:00:00"/>
    <n v="-162"/>
    <x v="2"/>
    <n v="1"/>
    <x v="0"/>
  </r>
  <r>
    <s v="VND-305"/>
    <s v="ISO 14001"/>
    <s v="Yes"/>
    <s v="Yes"/>
    <d v="2025-05-24T00:00:00"/>
    <d v="2025-09-10T00:00:00"/>
    <n v="-173"/>
    <x v="2"/>
    <n v="1"/>
    <x v="0"/>
  </r>
  <r>
    <s v="VND-305"/>
    <s v="Safety Certificate"/>
    <s v="Yes"/>
    <s v="Yes"/>
    <d v="2024-08-03T00:00:00"/>
    <d v="2026-02-05T00:00:00"/>
    <n v="-25"/>
    <x v="2"/>
    <n v="1"/>
    <x v="1"/>
  </r>
  <r>
    <s v="VND-305"/>
    <s v="Environmental Policy"/>
    <s v="Yes"/>
    <s v="Yes"/>
    <d v="2024-06-16T00:00:00"/>
    <d v="2025-11-25T00:00:00"/>
    <n v="-97"/>
    <x v="2"/>
    <n v="1"/>
    <x v="0"/>
  </r>
  <r>
    <s v="VND-305"/>
    <s v="Sustainability Disclosure"/>
    <s v="Yes"/>
    <s v="Yes"/>
    <d v="2024-07-14T00:00:00"/>
    <d v="2026-01-17T00:00:00"/>
    <n v="-44"/>
    <x v="2"/>
    <n v="1"/>
    <x v="0"/>
  </r>
  <r>
    <s v="VND-306"/>
    <s v="ISO 14001"/>
    <s v="Yes"/>
    <s v="Yes"/>
    <d v="2024-08-27T00:00:00"/>
    <d v="2025-12-27T00:00:00"/>
    <n v="-65"/>
    <x v="2"/>
    <n v="1"/>
    <x v="0"/>
  </r>
  <r>
    <s v="VND-306"/>
    <s v="Safety Certificate"/>
    <s v="Yes"/>
    <s v="Yes"/>
    <d v="2024-05-13T00:00:00"/>
    <d v="2026-01-09T00:00:00"/>
    <n v="-52"/>
    <x v="2"/>
    <n v="1"/>
    <x v="1"/>
  </r>
  <r>
    <s v="VND-306"/>
    <s v="Environmental Policy"/>
    <s v="Yes"/>
    <s v="Yes"/>
    <d v="2025-05-16T00:00:00"/>
    <d v="2025-10-07T00:00:00"/>
    <n v="-146"/>
    <x v="2"/>
    <n v="1"/>
    <x v="0"/>
  </r>
  <r>
    <s v="VND-306"/>
    <s v="Sustainability Disclosure"/>
    <s v="Yes"/>
    <s v="Yes"/>
    <d v="2024-05-02T00:00:00"/>
    <d v="2026-02-21T00:00:00"/>
    <n v="-9"/>
    <x v="2"/>
    <n v="1"/>
    <x v="0"/>
  </r>
  <r>
    <s v="VND-307"/>
    <s v="ISO 14001"/>
    <s v="Yes"/>
    <s v="Yes"/>
    <d v="2025-11-17T00:00:00"/>
    <d v="2025-11-23T00:00:00"/>
    <n v="-99"/>
    <x v="2"/>
    <n v="1"/>
    <x v="0"/>
  </r>
  <r>
    <s v="VND-307"/>
    <s v="Safety Certificate"/>
    <s v="Yes"/>
    <s v="Yes"/>
    <d v="2025-07-11T00:00:00"/>
    <d v="2026-01-19T00:00:00"/>
    <n v="-42"/>
    <x v="2"/>
    <n v="1"/>
    <x v="1"/>
  </r>
  <r>
    <s v="VND-307"/>
    <s v="Environmental Policy"/>
    <s v="Yes"/>
    <s v="Yes"/>
    <d v="2025-06-30T00:00:00"/>
    <d v="2025-10-12T00:00:00"/>
    <n v="-141"/>
    <x v="2"/>
    <n v="1"/>
    <x v="0"/>
  </r>
  <r>
    <s v="VND-307"/>
    <s v="Sustainability Disclosure"/>
    <s v="Yes"/>
    <s v="Yes"/>
    <d v="2025-07-18T00:00:00"/>
    <d v="2025-11-14T00:00:00"/>
    <n v="-108"/>
    <x v="2"/>
    <n v="1"/>
    <x v="0"/>
  </r>
  <r>
    <s v="VND-308"/>
    <s v="ISO 14001"/>
    <s v="Yes"/>
    <s v="Yes"/>
    <d v="2025-02-18T00:00:00"/>
    <d v="2025-11-30T00:00:00"/>
    <n v="-92"/>
    <x v="2"/>
    <n v="1"/>
    <x v="0"/>
  </r>
  <r>
    <s v="VND-308"/>
    <s v="Safety Certificate"/>
    <s v="Yes"/>
    <s v="Yes"/>
    <d v="2025-01-16T00:00:00"/>
    <d v="2025-10-21T00:00:00"/>
    <n v="-132"/>
    <x v="2"/>
    <n v="1"/>
    <x v="1"/>
  </r>
  <r>
    <s v="VND-308"/>
    <s v="Environmental Policy"/>
    <s v="Yes"/>
    <s v="Yes"/>
    <d v="2024-08-13T00:00:00"/>
    <d v="2026-01-31T00:00:00"/>
    <n v="-30"/>
    <x v="2"/>
    <n v="1"/>
    <x v="0"/>
  </r>
  <r>
    <s v="VND-308"/>
    <s v="Sustainability Disclosure"/>
    <s v="Yes"/>
    <s v="Yes"/>
    <d v="2025-12-15T00:00:00"/>
    <d v="2026-01-10T00:00:00"/>
    <n v="-51"/>
    <x v="2"/>
    <n v="1"/>
    <x v="0"/>
  </r>
  <r>
    <s v="VND-309"/>
    <s v="ISO 14001"/>
    <s v="Yes"/>
    <s v="Yes"/>
    <d v="2025-11-02T00:00:00"/>
    <d v="2025-12-31T00:00:00"/>
    <n v="-61"/>
    <x v="2"/>
    <n v="1"/>
    <x v="0"/>
  </r>
  <r>
    <s v="VND-309"/>
    <s v="Safety Certificate"/>
    <s v="Yes"/>
    <s v="Yes"/>
    <d v="2024-07-21T00:00:00"/>
    <d v="2025-10-30T00:00:00"/>
    <n v="-123"/>
    <x v="2"/>
    <n v="1"/>
    <x v="1"/>
  </r>
  <r>
    <s v="VND-309"/>
    <s v="Environmental Policy"/>
    <s v="Yes"/>
    <s v="Yes"/>
    <d v="2025-01-10T00:00:00"/>
    <d v="2025-10-30T00:00:00"/>
    <n v="-123"/>
    <x v="2"/>
    <n v="1"/>
    <x v="0"/>
  </r>
  <r>
    <s v="VND-309"/>
    <s v="Sustainability Disclosure"/>
    <s v="Yes"/>
    <s v="Yes"/>
    <d v="2024-09-05T00:00:00"/>
    <d v="2025-10-16T00:00:00"/>
    <n v="-137"/>
    <x v="2"/>
    <n v="1"/>
    <x v="0"/>
  </r>
  <r>
    <s v="VND-310"/>
    <s v="ISO 14001"/>
    <s v="Yes"/>
    <s v="Yes"/>
    <d v="2024-10-14T00:00:00"/>
    <d v="2025-10-06T00:00:00"/>
    <n v="-147"/>
    <x v="2"/>
    <n v="1"/>
    <x v="0"/>
  </r>
  <r>
    <s v="VND-310"/>
    <s v="Safety Certificate"/>
    <s v="Yes"/>
    <s v="Yes"/>
    <d v="2024-07-03T00:00:00"/>
    <d v="2025-12-07T00:00:00"/>
    <n v="-85"/>
    <x v="2"/>
    <n v="1"/>
    <x v="1"/>
  </r>
  <r>
    <s v="VND-310"/>
    <s v="Environmental Policy"/>
    <s v="Yes"/>
    <s v="Yes"/>
    <d v="2024-05-17T00:00:00"/>
    <d v="2025-09-25T00:00:00"/>
    <n v="-158"/>
    <x v="2"/>
    <n v="1"/>
    <x v="0"/>
  </r>
  <r>
    <s v="VND-310"/>
    <s v="Sustainability Disclosure"/>
    <s v="Yes"/>
    <s v="Yes"/>
    <d v="2025-02-26T00:00:00"/>
    <d v="2026-02-10T00:00:00"/>
    <n v="-20"/>
    <x v="2"/>
    <n v="1"/>
    <x v="0"/>
  </r>
  <r>
    <s v="VND-311"/>
    <s v="ISO 14001"/>
    <s v="Yes"/>
    <s v="Yes"/>
    <d v="2025-05-15T00:00:00"/>
    <d v="2025-10-02T00:00:00"/>
    <n v="-151"/>
    <x v="2"/>
    <n v="1"/>
    <x v="0"/>
  </r>
  <r>
    <s v="VND-311"/>
    <s v="Safety Certificate"/>
    <s v="Yes"/>
    <s v="Yes"/>
    <d v="2025-07-12T00:00:00"/>
    <d v="2026-02-27T00:00:00"/>
    <n v="-3"/>
    <x v="2"/>
    <n v="1"/>
    <x v="1"/>
  </r>
  <r>
    <s v="VND-311"/>
    <s v="Environmental Policy"/>
    <s v="Yes"/>
    <s v="Yes"/>
    <d v="2024-11-26T00:00:00"/>
    <d v="2025-11-11T00:00:00"/>
    <n v="-111"/>
    <x v="2"/>
    <n v="1"/>
    <x v="0"/>
  </r>
  <r>
    <s v="VND-311"/>
    <s v="Sustainability Disclosure"/>
    <s v="Yes"/>
    <s v="Yes"/>
    <d v="2026-01-05T00:00:00"/>
    <d v="2025-11-23T00:00:00"/>
    <n v="-99"/>
    <x v="2"/>
    <n v="1"/>
    <x v="0"/>
  </r>
  <r>
    <s v="VND-312"/>
    <s v="ISO 14001"/>
    <s v="Yes"/>
    <s v="Yes"/>
    <d v="2025-02-05T00:00:00"/>
    <d v="2026-01-15T00:00:00"/>
    <n v="-46"/>
    <x v="2"/>
    <n v="1"/>
    <x v="0"/>
  </r>
  <r>
    <s v="VND-312"/>
    <s v="Safety Certificate"/>
    <s v="Yes"/>
    <s v="Yes"/>
    <d v="2024-08-30T00:00:00"/>
    <d v="2025-12-14T00:00:00"/>
    <n v="-78"/>
    <x v="2"/>
    <n v="1"/>
    <x v="1"/>
  </r>
  <r>
    <s v="VND-312"/>
    <s v="Environmental Policy"/>
    <s v="Yes"/>
    <s v="Yes"/>
    <d v="2025-02-07T00:00:00"/>
    <d v="2026-01-13T00:00:00"/>
    <n v="-48"/>
    <x v="2"/>
    <n v="1"/>
    <x v="0"/>
  </r>
  <r>
    <s v="VND-312"/>
    <s v="Sustainability Disclosure"/>
    <s v="Yes"/>
    <s v="Yes"/>
    <d v="2026-01-22T00:00:00"/>
    <d v="2026-01-22T00:00:00"/>
    <n v="-39"/>
    <x v="2"/>
    <n v="1"/>
    <x v="0"/>
  </r>
  <r>
    <s v="VND-313"/>
    <s v="ISO 14001"/>
    <s v="Yes"/>
    <s v="Yes"/>
    <d v="2025-04-30T00:00:00"/>
    <d v="2025-10-29T00:00:00"/>
    <n v="-124"/>
    <x v="2"/>
    <n v="1"/>
    <x v="0"/>
  </r>
  <r>
    <s v="VND-313"/>
    <s v="Safety Certificate"/>
    <s v="Yes"/>
    <s v="Yes"/>
    <d v="2024-06-06T00:00:00"/>
    <d v="2025-12-16T00:00:00"/>
    <n v="-76"/>
    <x v="2"/>
    <n v="1"/>
    <x v="1"/>
  </r>
  <r>
    <s v="VND-313"/>
    <s v="Environmental Policy"/>
    <s v="Yes"/>
    <s v="Yes"/>
    <d v="2025-10-14T00:00:00"/>
    <d v="2025-12-29T00:00:00"/>
    <n v="-63"/>
    <x v="2"/>
    <n v="1"/>
    <x v="0"/>
  </r>
  <r>
    <s v="VND-313"/>
    <s v="Sustainability Disclosure"/>
    <s v="Yes"/>
    <s v="Yes"/>
    <d v="2024-10-25T00:00:00"/>
    <d v="2025-09-01T00:00:00"/>
    <n v="-182"/>
    <x v="2"/>
    <n v="1"/>
    <x v="0"/>
  </r>
  <r>
    <s v="VND-314"/>
    <s v="ISO 14001"/>
    <s v="Yes"/>
    <s v="Yes"/>
    <d v="2025-07-24T00:00:00"/>
    <d v="2026-02-13T00:00:00"/>
    <n v="-17"/>
    <x v="2"/>
    <n v="1"/>
    <x v="0"/>
  </r>
  <r>
    <s v="VND-314"/>
    <s v="Safety Certificate"/>
    <s v="Yes"/>
    <s v="Yes"/>
    <d v="2025-11-28T00:00:00"/>
    <d v="2025-12-30T00:00:00"/>
    <n v="-62"/>
    <x v="2"/>
    <n v="1"/>
    <x v="1"/>
  </r>
  <r>
    <s v="VND-314"/>
    <s v="Environmental Policy"/>
    <s v="Yes"/>
    <s v="Yes"/>
    <d v="2025-10-15T00:00:00"/>
    <d v="2025-11-15T00:00:00"/>
    <n v="-107"/>
    <x v="2"/>
    <n v="1"/>
    <x v="0"/>
  </r>
  <r>
    <s v="VND-314"/>
    <s v="Sustainability Disclosure"/>
    <s v="Yes"/>
    <s v="Yes"/>
    <d v="2024-11-11T00:00:00"/>
    <d v="2025-12-22T00:00:00"/>
    <n v="-70"/>
    <x v="2"/>
    <n v="1"/>
    <x v="0"/>
  </r>
  <r>
    <s v="VND-315"/>
    <s v="ISO 14001"/>
    <s v="Yes"/>
    <s v="Yes"/>
    <d v="2025-12-13T00:00:00"/>
    <d v="2026-02-12T00:00:00"/>
    <n v="-18"/>
    <x v="2"/>
    <n v="1"/>
    <x v="0"/>
  </r>
  <r>
    <s v="VND-315"/>
    <s v="Safety Certificate"/>
    <s v="Yes"/>
    <s v="Yes"/>
    <d v="2025-07-25T00:00:00"/>
    <d v="2025-12-20T00:00:00"/>
    <n v="-72"/>
    <x v="2"/>
    <n v="1"/>
    <x v="1"/>
  </r>
  <r>
    <s v="VND-315"/>
    <s v="Environmental Policy"/>
    <s v="Yes"/>
    <s v="Yes"/>
    <d v="2024-11-10T00:00:00"/>
    <d v="2026-02-08T00:00:00"/>
    <n v="-22"/>
    <x v="2"/>
    <n v="1"/>
    <x v="0"/>
  </r>
  <r>
    <s v="VND-315"/>
    <s v="Sustainability Disclosure"/>
    <s v="Yes"/>
    <s v="Yes"/>
    <d v="2025-09-29T00:00:00"/>
    <d v="2025-11-16T00:00:00"/>
    <n v="-106"/>
    <x v="2"/>
    <n v="1"/>
    <x v="0"/>
  </r>
  <r>
    <s v="VND-316"/>
    <s v="ISO 14001"/>
    <s v="Yes"/>
    <s v="Yes"/>
    <d v="2025-08-04T00:00:00"/>
    <d v="2025-11-30T00:00:00"/>
    <n v="-92"/>
    <x v="2"/>
    <n v="1"/>
    <x v="0"/>
  </r>
  <r>
    <s v="VND-316"/>
    <s v="Safety Certificate"/>
    <s v="Yes"/>
    <s v="Yes"/>
    <d v="2025-11-23T00:00:00"/>
    <d v="2025-10-29T00:00:00"/>
    <n v="-124"/>
    <x v="2"/>
    <n v="1"/>
    <x v="1"/>
  </r>
  <r>
    <s v="VND-316"/>
    <s v="Environmental Policy"/>
    <s v="Yes"/>
    <s v="Yes"/>
    <d v="2026-01-15T00:00:00"/>
    <d v="2025-10-08T00:00:00"/>
    <n v="-145"/>
    <x v="2"/>
    <n v="1"/>
    <x v="0"/>
  </r>
  <r>
    <s v="VND-316"/>
    <s v="Sustainability Disclosure"/>
    <s v="Yes"/>
    <s v="Yes"/>
    <d v="2025-06-19T00:00:00"/>
    <d v="2026-01-01T00:00:00"/>
    <n v="-60"/>
    <x v="2"/>
    <n v="1"/>
    <x v="0"/>
  </r>
  <r>
    <s v="VND-317"/>
    <s v="ISO 14001"/>
    <s v="Yes"/>
    <s v="Yes"/>
    <d v="2024-04-03T00:00:00"/>
    <d v="2026-01-25T00:00:00"/>
    <n v="-36"/>
    <x v="2"/>
    <n v="1"/>
    <x v="0"/>
  </r>
  <r>
    <s v="VND-317"/>
    <s v="Safety Certificate"/>
    <s v="Yes"/>
    <s v="Yes"/>
    <d v="2025-02-02T00:00:00"/>
    <d v="2025-11-24T00:00:00"/>
    <n v="-98"/>
    <x v="2"/>
    <n v="1"/>
    <x v="1"/>
  </r>
  <r>
    <s v="VND-317"/>
    <s v="Environmental Policy"/>
    <s v="Yes"/>
    <s v="Yes"/>
    <d v="2025-01-06T00:00:00"/>
    <d v="2026-01-22T00:00:00"/>
    <n v="-39"/>
    <x v="2"/>
    <n v="1"/>
    <x v="0"/>
  </r>
  <r>
    <s v="VND-317"/>
    <s v="Sustainability Disclosure"/>
    <s v="Yes"/>
    <s v="Yes"/>
    <d v="2025-05-15T00:00:00"/>
    <d v="2026-01-26T00:00:00"/>
    <n v="-35"/>
    <x v="2"/>
    <n v="1"/>
    <x v="0"/>
  </r>
  <r>
    <s v="VND-318"/>
    <s v="ISO 14001"/>
    <s v="Yes"/>
    <s v="Yes"/>
    <d v="2025-07-29T00:00:00"/>
    <d v="2025-11-24T00:00:00"/>
    <n v="-98"/>
    <x v="2"/>
    <n v="1"/>
    <x v="0"/>
  </r>
  <r>
    <s v="VND-318"/>
    <s v="Safety Certificate"/>
    <s v="Yes"/>
    <s v="Yes"/>
    <d v="2024-12-07T00:00:00"/>
    <d v="2026-02-21T00:00:00"/>
    <n v="-9"/>
    <x v="2"/>
    <n v="1"/>
    <x v="1"/>
  </r>
  <r>
    <s v="VND-318"/>
    <s v="Environmental Policy"/>
    <s v="Yes"/>
    <s v="Yes"/>
    <d v="2025-10-20T00:00:00"/>
    <d v="2025-12-18T00:00:00"/>
    <n v="-74"/>
    <x v="2"/>
    <n v="1"/>
    <x v="0"/>
  </r>
  <r>
    <s v="VND-318"/>
    <s v="Sustainability Disclosure"/>
    <s v="Yes"/>
    <s v="Yes"/>
    <d v="2024-10-09T00:00:00"/>
    <d v="2025-09-22T00:00:00"/>
    <n v="-161"/>
    <x v="2"/>
    <n v="1"/>
    <x v="0"/>
  </r>
  <r>
    <s v="VND-319"/>
    <s v="ISO 14001"/>
    <s v="Yes"/>
    <s v="Yes"/>
    <d v="2024-03-30T00:00:00"/>
    <d v="2025-11-13T00:00:00"/>
    <n v="-109"/>
    <x v="2"/>
    <n v="1"/>
    <x v="0"/>
  </r>
  <r>
    <s v="VND-319"/>
    <s v="Safety Certificate"/>
    <s v="Yes"/>
    <s v="Yes"/>
    <d v="2024-08-20T00:00:00"/>
    <d v="2025-11-05T00:00:00"/>
    <n v="-117"/>
    <x v="2"/>
    <n v="1"/>
    <x v="1"/>
  </r>
  <r>
    <s v="VND-319"/>
    <s v="Environmental Policy"/>
    <s v="Yes"/>
    <s v="Yes"/>
    <d v="2025-09-20T00:00:00"/>
    <d v="2025-11-26T00:00:00"/>
    <n v="-96"/>
    <x v="2"/>
    <n v="1"/>
    <x v="0"/>
  </r>
  <r>
    <s v="VND-319"/>
    <s v="Sustainability Disclosure"/>
    <s v="Yes"/>
    <s v="Yes"/>
    <d v="2024-12-14T00:00:00"/>
    <d v="2026-02-11T00:00:00"/>
    <n v="-19"/>
    <x v="2"/>
    <n v="1"/>
    <x v="0"/>
  </r>
  <r>
    <s v="VND-320"/>
    <s v="ISO 14001"/>
    <s v="Yes"/>
    <s v="Yes"/>
    <d v="2024-06-28T00:00:00"/>
    <d v="2025-09-21T00:00:00"/>
    <n v="-162"/>
    <x v="2"/>
    <n v="1"/>
    <x v="0"/>
  </r>
  <r>
    <s v="VND-320"/>
    <s v="Safety Certificate"/>
    <s v="Yes"/>
    <s v="Yes"/>
    <d v="2025-09-03T00:00:00"/>
    <d v="2025-11-24T00:00:00"/>
    <n v="-98"/>
    <x v="2"/>
    <n v="1"/>
    <x v="1"/>
  </r>
  <r>
    <s v="VND-320"/>
    <s v="Environmental Policy"/>
    <s v="Yes"/>
    <s v="Yes"/>
    <d v="2025-01-07T00:00:00"/>
    <d v="2026-01-05T00:00:00"/>
    <n v="-56"/>
    <x v="2"/>
    <n v="1"/>
    <x v="0"/>
  </r>
  <r>
    <s v="VND-320"/>
    <s v="Sustainability Disclosure"/>
    <s v="Yes"/>
    <s v="Yes"/>
    <d v="2025-10-07T00:00:00"/>
    <d v="2026-02-16T00:00:00"/>
    <n v="-14"/>
    <x v="2"/>
    <n v="1"/>
    <x v="0"/>
  </r>
  <r>
    <s v="VND-321"/>
    <s v="ISO 14001"/>
    <s v="Yes"/>
    <s v="No"/>
    <d v="2025-08-11T00:00:00"/>
    <d v="2026-01-05T00:00:00"/>
    <n v="-56"/>
    <x v="3"/>
    <n v="1"/>
    <x v="0"/>
  </r>
  <r>
    <s v="VND-321"/>
    <s v="Safety Certificate"/>
    <s v="Yes"/>
    <s v="No"/>
    <d v="2024-07-25T00:00:00"/>
    <d v="2025-10-20T00:00:00"/>
    <n v="-133"/>
    <x v="3"/>
    <n v="1"/>
    <x v="1"/>
  </r>
  <r>
    <s v="VND-321"/>
    <s v="Environmental Policy"/>
    <s v="Yes"/>
    <s v="No"/>
    <d v="2025-09-09T00:00:00"/>
    <d v="2026-02-03T00:00:00"/>
    <n v="-27"/>
    <x v="3"/>
    <n v="1"/>
    <x v="0"/>
  </r>
  <r>
    <s v="VND-321"/>
    <s v="Sustainability Disclosure"/>
    <s v="Yes"/>
    <s v="No"/>
    <d v="2025-11-08T00:00:00"/>
    <d v="2026-02-09T00:00:00"/>
    <n v="-21"/>
    <x v="3"/>
    <n v="1"/>
    <x v="0"/>
  </r>
  <r>
    <s v="VND-322"/>
    <s v="ISO 14001"/>
    <s v="Yes"/>
    <s v="No"/>
    <d v="2024-05-27T00:00:00"/>
    <d v="2025-09-30T00:00:00"/>
    <n v="-153"/>
    <x v="3"/>
    <n v="1"/>
    <x v="0"/>
  </r>
  <r>
    <s v="VND-322"/>
    <s v="Safety Certificate"/>
    <s v="Yes"/>
    <s v="No"/>
    <d v="2024-05-31T00:00:00"/>
    <d v="2026-01-10T00:00:00"/>
    <n v="-51"/>
    <x v="3"/>
    <n v="1"/>
    <x v="1"/>
  </r>
  <r>
    <s v="VND-322"/>
    <s v="Environmental Policy"/>
    <s v="Yes"/>
    <s v="No"/>
    <d v="2025-09-29T00:00:00"/>
    <d v="2025-10-02T00:00:00"/>
    <n v="-151"/>
    <x v="3"/>
    <n v="1"/>
    <x v="0"/>
  </r>
  <r>
    <s v="VND-322"/>
    <s v="Sustainability Disclosure"/>
    <s v="Yes"/>
    <s v="No"/>
    <d v="2025-04-11T00:00:00"/>
    <d v="2026-02-24T00:00:00"/>
    <n v="-6"/>
    <x v="3"/>
    <n v="1"/>
    <x v="0"/>
  </r>
  <r>
    <s v="VND-323"/>
    <s v="ISO 14001"/>
    <s v="Yes"/>
    <s v="No"/>
    <d v="2024-12-18T00:00:00"/>
    <d v="2026-01-02T00:00:00"/>
    <n v="-59"/>
    <x v="3"/>
    <n v="1"/>
    <x v="0"/>
  </r>
  <r>
    <s v="VND-323"/>
    <s v="Safety Certificate"/>
    <s v="Yes"/>
    <s v="No"/>
    <d v="2024-05-25T00:00:00"/>
    <d v="2025-09-23T00:00:00"/>
    <n v="-160"/>
    <x v="3"/>
    <n v="1"/>
    <x v="1"/>
  </r>
  <r>
    <s v="VND-323"/>
    <s v="Environmental Policy"/>
    <s v="Yes"/>
    <s v="No"/>
    <d v="2024-12-01T00:00:00"/>
    <d v="2025-11-08T00:00:00"/>
    <n v="-114"/>
    <x v="3"/>
    <n v="1"/>
    <x v="0"/>
  </r>
  <r>
    <s v="VND-323"/>
    <s v="Sustainability Disclosure"/>
    <s v="Yes"/>
    <s v="No"/>
    <d v="2024-04-23T00:00:00"/>
    <d v="2025-09-09T00:00:00"/>
    <n v="-174"/>
    <x v="3"/>
    <n v="1"/>
    <x v="0"/>
  </r>
  <r>
    <s v="VND-324"/>
    <s v="ISO 14001"/>
    <s v="Yes"/>
    <s v="No"/>
    <d v="2024-08-08T00:00:00"/>
    <d v="2025-11-24T00:00:00"/>
    <n v="-98"/>
    <x v="3"/>
    <n v="1"/>
    <x v="0"/>
  </r>
  <r>
    <s v="VND-324"/>
    <s v="Safety Certificate"/>
    <s v="Yes"/>
    <s v="No"/>
    <d v="2024-05-12T00:00:00"/>
    <d v="2025-10-14T00:00:00"/>
    <n v="-139"/>
    <x v="3"/>
    <n v="1"/>
    <x v="1"/>
  </r>
  <r>
    <s v="VND-324"/>
    <s v="Environmental Policy"/>
    <s v="Yes"/>
    <s v="No"/>
    <d v="2025-01-15T00:00:00"/>
    <d v="2026-02-09T00:00:00"/>
    <n v="-21"/>
    <x v="3"/>
    <n v="1"/>
    <x v="0"/>
  </r>
  <r>
    <s v="VND-324"/>
    <s v="Sustainability Disclosure"/>
    <s v="Yes"/>
    <s v="No"/>
    <d v="2025-11-10T00:00:00"/>
    <d v="2025-09-20T00:00:00"/>
    <n v="-163"/>
    <x v="3"/>
    <n v="1"/>
    <x v="0"/>
  </r>
  <r>
    <s v="VND-325"/>
    <s v="ISO 14001"/>
    <s v="Yes"/>
    <s v="No"/>
    <d v="2025-08-25T00:00:00"/>
    <d v="2026-01-27T00:00:00"/>
    <n v="-34"/>
    <x v="3"/>
    <n v="1"/>
    <x v="0"/>
  </r>
  <r>
    <s v="VND-325"/>
    <s v="Safety Certificate"/>
    <s v="Yes"/>
    <s v="No"/>
    <d v="2024-05-29T00:00:00"/>
    <d v="2025-10-24T00:00:00"/>
    <n v="-129"/>
    <x v="3"/>
    <n v="1"/>
    <x v="1"/>
  </r>
  <r>
    <s v="VND-325"/>
    <s v="Environmental Policy"/>
    <s v="Yes"/>
    <s v="No"/>
    <d v="2025-03-19T00:00:00"/>
    <d v="2025-11-16T00:00:00"/>
    <n v="-106"/>
    <x v="3"/>
    <n v="1"/>
    <x v="0"/>
  </r>
  <r>
    <s v="VND-325"/>
    <s v="Sustainability Disclosure"/>
    <s v="Yes"/>
    <s v="No"/>
    <d v="2025-06-13T00:00:00"/>
    <d v="2025-09-22T00:00:00"/>
    <n v="-161"/>
    <x v="3"/>
    <n v="1"/>
    <x v="0"/>
  </r>
  <r>
    <s v="VND-326"/>
    <s v="ISO 14001"/>
    <s v="Yes"/>
    <s v="No"/>
    <d v="2025-06-07T00:00:00"/>
    <d v="2026-01-04T00:00:00"/>
    <n v="-57"/>
    <x v="3"/>
    <n v="1"/>
    <x v="0"/>
  </r>
  <r>
    <s v="VND-326"/>
    <s v="Safety Certificate"/>
    <s v="Yes"/>
    <s v="No"/>
    <d v="2025-08-17T00:00:00"/>
    <d v="2025-12-03T00:00:00"/>
    <n v="-89"/>
    <x v="3"/>
    <n v="1"/>
    <x v="1"/>
  </r>
  <r>
    <s v="VND-326"/>
    <s v="Environmental Policy"/>
    <s v="Yes"/>
    <s v="No"/>
    <d v="2025-06-29T00:00:00"/>
    <d v="2025-10-06T00:00:00"/>
    <n v="-147"/>
    <x v="3"/>
    <n v="1"/>
    <x v="0"/>
  </r>
  <r>
    <s v="VND-326"/>
    <s v="Sustainability Disclosure"/>
    <s v="Yes"/>
    <s v="No"/>
    <d v="2024-04-27T00:00:00"/>
    <d v="2025-10-29T00:00:00"/>
    <n v="-124"/>
    <x v="3"/>
    <n v="1"/>
    <x v="0"/>
  </r>
  <r>
    <s v="VND-327"/>
    <s v="ISO 14001"/>
    <s v="Yes"/>
    <s v="No"/>
    <d v="2025-03-14T00:00:00"/>
    <d v="2026-01-16T00:00:00"/>
    <n v="-45"/>
    <x v="3"/>
    <n v="1"/>
    <x v="0"/>
  </r>
  <r>
    <s v="VND-327"/>
    <s v="Safety Certificate"/>
    <s v="Yes"/>
    <s v="No"/>
    <d v="2025-10-21T00:00:00"/>
    <d v="2026-01-18T00:00:00"/>
    <n v="-43"/>
    <x v="3"/>
    <n v="1"/>
    <x v="1"/>
  </r>
  <r>
    <s v="VND-327"/>
    <s v="Environmental Policy"/>
    <s v="Yes"/>
    <s v="No"/>
    <d v="2025-06-24T00:00:00"/>
    <d v="2025-11-13T00:00:00"/>
    <n v="-109"/>
    <x v="3"/>
    <n v="1"/>
    <x v="0"/>
  </r>
  <r>
    <s v="VND-327"/>
    <s v="Sustainability Disclosure"/>
    <s v="Yes"/>
    <s v="No"/>
    <d v="2024-08-13T00:00:00"/>
    <d v="2025-10-09T00:00:00"/>
    <n v="-144"/>
    <x v="3"/>
    <n v="1"/>
    <x v="0"/>
  </r>
  <r>
    <s v="VND-328"/>
    <s v="ISO 14001"/>
    <s v="Yes"/>
    <s v="No"/>
    <d v="2024-05-24T00:00:00"/>
    <d v="2025-09-14T00:00:00"/>
    <n v="-169"/>
    <x v="3"/>
    <n v="1"/>
    <x v="0"/>
  </r>
  <r>
    <s v="VND-328"/>
    <s v="Safety Certificate"/>
    <s v="Yes"/>
    <s v="No"/>
    <d v="2024-08-23T00:00:00"/>
    <d v="2025-12-15T00:00:00"/>
    <n v="-77"/>
    <x v="3"/>
    <n v="1"/>
    <x v="1"/>
  </r>
  <r>
    <s v="VND-328"/>
    <s v="Environmental Policy"/>
    <s v="Yes"/>
    <s v="No"/>
    <d v="2025-08-08T00:00:00"/>
    <d v="2025-10-20T00:00:00"/>
    <n v="-133"/>
    <x v="3"/>
    <n v="1"/>
    <x v="0"/>
  </r>
  <r>
    <s v="VND-328"/>
    <s v="Sustainability Disclosure"/>
    <s v="Yes"/>
    <s v="No"/>
    <d v="2024-09-04T00:00:00"/>
    <d v="2025-12-20T00:00:00"/>
    <n v="-72"/>
    <x v="3"/>
    <n v="1"/>
    <x v="0"/>
  </r>
  <r>
    <s v="VND-329"/>
    <s v="ISO 14001"/>
    <s v="Yes"/>
    <s v="No"/>
    <d v="2024-09-07T00:00:00"/>
    <d v="2025-11-17T00:00:00"/>
    <n v="-105"/>
    <x v="3"/>
    <n v="1"/>
    <x v="0"/>
  </r>
  <r>
    <s v="VND-329"/>
    <s v="Safety Certificate"/>
    <s v="Yes"/>
    <s v="No"/>
    <d v="2024-07-29T00:00:00"/>
    <d v="2025-09-08T00:00:00"/>
    <n v="-175"/>
    <x v="3"/>
    <n v="1"/>
    <x v="1"/>
  </r>
  <r>
    <s v="VND-329"/>
    <s v="Environmental Policy"/>
    <s v="Yes"/>
    <s v="No"/>
    <d v="2025-11-05T00:00:00"/>
    <d v="2026-02-23T00:00:00"/>
    <n v="-7"/>
    <x v="3"/>
    <n v="1"/>
    <x v="0"/>
  </r>
  <r>
    <s v="VND-329"/>
    <s v="Sustainability Disclosure"/>
    <s v="Yes"/>
    <s v="No"/>
    <d v="2025-04-08T00:00:00"/>
    <d v="2026-01-01T00:00:00"/>
    <n v="-60"/>
    <x v="3"/>
    <n v="1"/>
    <x v="0"/>
  </r>
  <r>
    <s v="VND-330"/>
    <s v="ISO 14001"/>
    <s v="Yes"/>
    <s v="No"/>
    <d v="2024-11-25T00:00:00"/>
    <d v="2025-09-08T00:00:00"/>
    <n v="-175"/>
    <x v="3"/>
    <n v="1"/>
    <x v="0"/>
  </r>
  <r>
    <s v="VND-330"/>
    <s v="Safety Certificate"/>
    <s v="Yes"/>
    <s v="No"/>
    <d v="2025-07-05T00:00:00"/>
    <d v="2025-10-01T00:00:00"/>
    <n v="-152"/>
    <x v="3"/>
    <n v="1"/>
    <x v="1"/>
  </r>
  <r>
    <s v="VND-330"/>
    <s v="Environmental Policy"/>
    <s v="Yes"/>
    <s v="No"/>
    <d v="2024-06-19T00:00:00"/>
    <d v="2025-10-10T00:00:00"/>
    <n v="-143"/>
    <x v="3"/>
    <n v="1"/>
    <x v="0"/>
  </r>
  <r>
    <s v="VND-330"/>
    <s v="Sustainability Disclosure"/>
    <s v="Yes"/>
    <s v="No"/>
    <d v="2025-04-27T00:00:00"/>
    <d v="2025-10-18T00:00:00"/>
    <n v="-135"/>
    <x v="3"/>
    <n v="1"/>
    <x v="0"/>
  </r>
  <r>
    <s v="VND-331"/>
    <s v="ISO 14001"/>
    <s v="Yes"/>
    <s v="No"/>
    <d v="2024-05-16T00:00:00"/>
    <d v="2025-11-25T00:00:00"/>
    <n v="-97"/>
    <x v="3"/>
    <n v="1"/>
    <x v="0"/>
  </r>
  <r>
    <s v="VND-331"/>
    <s v="Safety Certificate"/>
    <s v="Yes"/>
    <s v="No"/>
    <d v="2025-03-18T00:00:00"/>
    <d v="2025-10-14T00:00:00"/>
    <n v="-139"/>
    <x v="3"/>
    <n v="1"/>
    <x v="1"/>
  </r>
  <r>
    <s v="VND-331"/>
    <s v="Environmental Policy"/>
    <s v="Yes"/>
    <s v="No"/>
    <d v="2025-11-11T00:00:00"/>
    <d v="2026-01-12T00:00:00"/>
    <n v="-49"/>
    <x v="3"/>
    <n v="1"/>
    <x v="0"/>
  </r>
  <r>
    <s v="VND-331"/>
    <s v="Sustainability Disclosure"/>
    <s v="Yes"/>
    <s v="No"/>
    <d v="2025-07-23T00:00:00"/>
    <d v="2026-02-16T00:00:00"/>
    <n v="-14"/>
    <x v="3"/>
    <n v="1"/>
    <x v="0"/>
  </r>
  <r>
    <s v="VND-332"/>
    <s v="ISO 14001"/>
    <s v="Yes"/>
    <s v="No"/>
    <d v="2024-12-03T00:00:00"/>
    <d v="2026-02-04T00:00:00"/>
    <n v="-26"/>
    <x v="3"/>
    <n v="1"/>
    <x v="0"/>
  </r>
  <r>
    <s v="VND-332"/>
    <s v="Safety Certificate"/>
    <s v="Yes"/>
    <s v="No"/>
    <d v="2025-04-20T00:00:00"/>
    <d v="2025-10-14T00:00:00"/>
    <n v="-139"/>
    <x v="3"/>
    <n v="1"/>
    <x v="1"/>
  </r>
  <r>
    <s v="VND-332"/>
    <s v="Environmental Policy"/>
    <s v="Yes"/>
    <s v="No"/>
    <d v="2024-04-04T00:00:00"/>
    <d v="2025-10-01T00:00:00"/>
    <n v="-152"/>
    <x v="3"/>
    <n v="1"/>
    <x v="0"/>
  </r>
  <r>
    <s v="VND-332"/>
    <s v="Sustainability Disclosure"/>
    <s v="Yes"/>
    <s v="No"/>
    <d v="2025-02-25T00:00:00"/>
    <d v="2025-09-15T00:00:00"/>
    <n v="-168"/>
    <x v="3"/>
    <n v="1"/>
    <x v="0"/>
  </r>
  <r>
    <s v="VND-333"/>
    <s v="ISO 14001"/>
    <s v="Yes"/>
    <s v="No"/>
    <d v="2025-10-20T00:00:00"/>
    <d v="2025-12-13T00:00:00"/>
    <n v="-79"/>
    <x v="3"/>
    <n v="1"/>
    <x v="0"/>
  </r>
  <r>
    <s v="VND-333"/>
    <s v="Safety Certificate"/>
    <s v="Yes"/>
    <s v="No"/>
    <d v="2025-10-25T00:00:00"/>
    <d v="2026-02-12T00:00:00"/>
    <n v="-18"/>
    <x v="3"/>
    <n v="1"/>
    <x v="1"/>
  </r>
  <r>
    <s v="VND-333"/>
    <s v="Environmental Policy"/>
    <s v="Yes"/>
    <s v="No"/>
    <d v="2024-12-25T00:00:00"/>
    <d v="2026-01-09T00:00:00"/>
    <n v="-52"/>
    <x v="3"/>
    <n v="1"/>
    <x v="0"/>
  </r>
  <r>
    <s v="VND-333"/>
    <s v="Sustainability Disclosure"/>
    <s v="Yes"/>
    <s v="No"/>
    <d v="2026-02-06T00:00:00"/>
    <d v="2025-09-23T00:00:00"/>
    <n v="-160"/>
    <x v="3"/>
    <n v="1"/>
    <x v="0"/>
  </r>
  <r>
    <s v="VND-334"/>
    <s v="ISO 14001"/>
    <s v="Yes"/>
    <s v="No"/>
    <d v="2025-03-18T00:00:00"/>
    <d v="2025-09-23T00:00:00"/>
    <n v="-160"/>
    <x v="3"/>
    <n v="1"/>
    <x v="0"/>
  </r>
  <r>
    <s v="VND-334"/>
    <s v="Safety Certificate"/>
    <s v="Yes"/>
    <s v="No"/>
    <d v="2024-06-14T00:00:00"/>
    <d v="2026-01-07T00:00:00"/>
    <n v="-54"/>
    <x v="3"/>
    <n v="1"/>
    <x v="1"/>
  </r>
  <r>
    <s v="VND-334"/>
    <s v="Environmental Policy"/>
    <s v="Yes"/>
    <s v="No"/>
    <d v="2025-10-07T00:00:00"/>
    <d v="2025-11-03T00:00:00"/>
    <n v="-119"/>
    <x v="3"/>
    <n v="1"/>
    <x v="0"/>
  </r>
  <r>
    <s v="VND-334"/>
    <s v="Sustainability Disclosure"/>
    <s v="Yes"/>
    <s v="No"/>
    <d v="2025-07-03T00:00:00"/>
    <d v="2026-01-06T00:00:00"/>
    <n v="-55"/>
    <x v="3"/>
    <n v="1"/>
    <x v="0"/>
  </r>
  <r>
    <s v="VND-335"/>
    <s v="ISO 14001"/>
    <s v="Yes"/>
    <s v="No"/>
    <d v="2025-04-17T00:00:00"/>
    <d v="2025-10-31T00:00:00"/>
    <n v="-122"/>
    <x v="3"/>
    <n v="1"/>
    <x v="0"/>
  </r>
  <r>
    <s v="VND-335"/>
    <s v="Safety Certificate"/>
    <s v="Yes"/>
    <s v="No"/>
    <d v="2025-11-21T00:00:00"/>
    <d v="2025-09-13T00:00:00"/>
    <n v="-170"/>
    <x v="3"/>
    <n v="1"/>
    <x v="1"/>
  </r>
  <r>
    <s v="VND-335"/>
    <s v="Environmental Policy"/>
    <s v="Yes"/>
    <s v="No"/>
    <d v="2024-08-12T00:00:00"/>
    <d v="2025-12-16T00:00:00"/>
    <n v="-76"/>
    <x v="3"/>
    <n v="1"/>
    <x v="0"/>
  </r>
  <r>
    <s v="VND-335"/>
    <s v="Sustainability Disclosure"/>
    <s v="Yes"/>
    <s v="No"/>
    <d v="2024-11-04T00:00:00"/>
    <d v="2025-11-04T00:00:00"/>
    <n v="-118"/>
    <x v="3"/>
    <n v="1"/>
    <x v="0"/>
  </r>
  <r>
    <s v="VND-336"/>
    <s v="ISO 14001"/>
    <s v="Yes"/>
    <s v="No"/>
    <d v="2024-05-17T00:00:00"/>
    <d v="2025-10-19T00:00:00"/>
    <n v="-134"/>
    <x v="3"/>
    <n v="1"/>
    <x v="0"/>
  </r>
  <r>
    <s v="VND-336"/>
    <s v="Safety Certificate"/>
    <s v="Yes"/>
    <s v="No"/>
    <d v="2024-10-22T00:00:00"/>
    <d v="2025-10-07T00:00:00"/>
    <n v="-146"/>
    <x v="3"/>
    <n v="1"/>
    <x v="1"/>
  </r>
  <r>
    <s v="VND-336"/>
    <s v="Environmental Policy"/>
    <s v="Yes"/>
    <s v="No"/>
    <d v="2026-02-10T00:00:00"/>
    <d v="2025-11-25T00:00:00"/>
    <n v="-97"/>
    <x v="3"/>
    <n v="1"/>
    <x v="0"/>
  </r>
  <r>
    <s v="VND-336"/>
    <s v="Sustainability Disclosure"/>
    <s v="Yes"/>
    <s v="No"/>
    <d v="2024-05-04T00:00:00"/>
    <d v="2026-01-11T00:00:00"/>
    <n v="-50"/>
    <x v="3"/>
    <n v="1"/>
    <x v="0"/>
  </r>
  <r>
    <s v="VND-337"/>
    <s v="ISO 14001"/>
    <s v="Yes"/>
    <s v="No"/>
    <d v="2025-07-20T00:00:00"/>
    <d v="2025-10-18T00:00:00"/>
    <n v="-135"/>
    <x v="3"/>
    <n v="1"/>
    <x v="0"/>
  </r>
  <r>
    <s v="VND-337"/>
    <s v="Safety Certificate"/>
    <s v="Yes"/>
    <s v="No"/>
    <d v="2025-05-26T00:00:00"/>
    <d v="2025-12-23T00:00:00"/>
    <n v="-69"/>
    <x v="3"/>
    <n v="1"/>
    <x v="1"/>
  </r>
  <r>
    <s v="VND-337"/>
    <s v="Environmental Policy"/>
    <s v="Yes"/>
    <s v="No"/>
    <d v="2025-10-15T00:00:00"/>
    <d v="2026-02-21T00:00:00"/>
    <n v="-9"/>
    <x v="3"/>
    <n v="1"/>
    <x v="0"/>
  </r>
  <r>
    <s v="VND-337"/>
    <s v="Sustainability Disclosure"/>
    <s v="Yes"/>
    <s v="No"/>
    <d v="2025-03-12T00:00:00"/>
    <d v="2026-01-07T00:00:00"/>
    <n v="-54"/>
    <x v="3"/>
    <n v="1"/>
    <x v="0"/>
  </r>
  <r>
    <s v="VND-338"/>
    <s v="ISO 14001"/>
    <s v="Yes"/>
    <s v="No"/>
    <d v="2024-10-11T00:00:00"/>
    <d v="2025-10-18T00:00:00"/>
    <n v="-135"/>
    <x v="3"/>
    <n v="1"/>
    <x v="0"/>
  </r>
  <r>
    <s v="VND-338"/>
    <s v="Safety Certificate"/>
    <s v="Yes"/>
    <s v="No"/>
    <d v="2025-02-18T00:00:00"/>
    <d v="2025-10-31T00:00:00"/>
    <n v="-122"/>
    <x v="3"/>
    <n v="1"/>
    <x v="1"/>
  </r>
  <r>
    <s v="VND-338"/>
    <s v="Environmental Policy"/>
    <s v="Yes"/>
    <s v="No"/>
    <d v="2024-06-07T00:00:00"/>
    <d v="2026-01-28T00:00:00"/>
    <n v="-33"/>
    <x v="3"/>
    <n v="1"/>
    <x v="0"/>
  </r>
  <r>
    <s v="VND-338"/>
    <s v="Sustainability Disclosure"/>
    <s v="Yes"/>
    <s v="No"/>
    <d v="2024-12-27T00:00:00"/>
    <d v="2025-10-14T00:00:00"/>
    <n v="-139"/>
    <x v="3"/>
    <n v="1"/>
    <x v="0"/>
  </r>
  <r>
    <s v="VND-339"/>
    <s v="ISO 14001"/>
    <s v="Yes"/>
    <s v="No"/>
    <d v="2024-09-20T00:00:00"/>
    <d v="2025-10-27T00:00:00"/>
    <n v="-126"/>
    <x v="3"/>
    <n v="1"/>
    <x v="0"/>
  </r>
  <r>
    <s v="VND-339"/>
    <s v="Safety Certificate"/>
    <s v="Yes"/>
    <s v="No"/>
    <d v="2024-10-24T00:00:00"/>
    <d v="2025-11-22T00:00:00"/>
    <n v="-100"/>
    <x v="3"/>
    <n v="1"/>
    <x v="1"/>
  </r>
  <r>
    <s v="VND-339"/>
    <s v="Environmental Policy"/>
    <s v="Yes"/>
    <s v="No"/>
    <d v="2025-05-05T00:00:00"/>
    <d v="2025-11-10T00:00:00"/>
    <n v="-112"/>
    <x v="3"/>
    <n v="1"/>
    <x v="0"/>
  </r>
  <r>
    <s v="VND-339"/>
    <s v="Sustainability Disclosure"/>
    <s v="Yes"/>
    <s v="No"/>
    <d v="2025-02-28T00:00:00"/>
    <d v="2025-12-10T00:00:00"/>
    <n v="-82"/>
    <x v="3"/>
    <n v="1"/>
    <x v="0"/>
  </r>
  <r>
    <s v="VND-340"/>
    <s v="ISO 14001"/>
    <s v="Yes"/>
    <s v="No"/>
    <d v="2024-04-11T00:00:00"/>
    <d v="2026-01-27T00:00:00"/>
    <n v="-34"/>
    <x v="3"/>
    <n v="1"/>
    <x v="0"/>
  </r>
  <r>
    <s v="VND-340"/>
    <s v="Safety Certificate"/>
    <s v="Yes"/>
    <s v="No"/>
    <d v="2025-07-30T00:00:00"/>
    <d v="2026-01-20T00:00:00"/>
    <n v="-41"/>
    <x v="3"/>
    <n v="1"/>
    <x v="1"/>
  </r>
  <r>
    <s v="VND-340"/>
    <s v="Environmental Policy"/>
    <s v="Yes"/>
    <s v="No"/>
    <d v="2025-12-22T00:00:00"/>
    <d v="2025-11-07T00:00:00"/>
    <n v="-115"/>
    <x v="3"/>
    <n v="1"/>
    <x v="0"/>
  </r>
  <r>
    <s v="VND-340"/>
    <s v="Sustainability Disclosure"/>
    <s v="Yes"/>
    <s v="No"/>
    <d v="2025-09-25T00:00:00"/>
    <d v="2026-02-08T00:00:00"/>
    <n v="-22"/>
    <x v="3"/>
    <n v="1"/>
    <x v="0"/>
  </r>
  <r>
    <s v="VND-341"/>
    <s v="ISO 14001"/>
    <s v="Yes"/>
    <s v="No"/>
    <d v="2025-10-26T00:00:00"/>
    <d v="2025-11-05T00:00:00"/>
    <n v="-117"/>
    <x v="3"/>
    <n v="1"/>
    <x v="0"/>
  </r>
  <r>
    <s v="VND-341"/>
    <s v="Safety Certificate"/>
    <s v="Yes"/>
    <s v="No"/>
    <d v="2026-01-19T00:00:00"/>
    <d v="2025-11-21T00:00:00"/>
    <n v="-101"/>
    <x v="3"/>
    <n v="1"/>
    <x v="1"/>
  </r>
  <r>
    <s v="VND-341"/>
    <s v="Environmental Policy"/>
    <s v="Yes"/>
    <s v="No"/>
    <d v="2026-02-15T00:00:00"/>
    <d v="2026-02-09T00:00:00"/>
    <n v="-21"/>
    <x v="3"/>
    <n v="1"/>
    <x v="0"/>
  </r>
  <r>
    <s v="VND-341"/>
    <s v="Sustainability Disclosure"/>
    <s v="Yes"/>
    <s v="No"/>
    <d v="2024-11-14T00:00:00"/>
    <d v="2025-12-13T00:00:00"/>
    <n v="-79"/>
    <x v="3"/>
    <n v="1"/>
    <x v="0"/>
  </r>
  <r>
    <s v="VND-342"/>
    <s v="ISO 14001"/>
    <s v="Yes"/>
    <s v="No"/>
    <d v="2024-11-16T00:00:00"/>
    <d v="2025-11-09T00:00:00"/>
    <n v="-113"/>
    <x v="3"/>
    <n v="1"/>
    <x v="0"/>
  </r>
  <r>
    <s v="VND-342"/>
    <s v="Safety Certificate"/>
    <s v="Yes"/>
    <s v="No"/>
    <d v="2025-08-11T00:00:00"/>
    <d v="2025-12-02T00:00:00"/>
    <n v="-90"/>
    <x v="3"/>
    <n v="1"/>
    <x v="1"/>
  </r>
  <r>
    <s v="VND-342"/>
    <s v="Environmental Policy"/>
    <s v="Yes"/>
    <s v="No"/>
    <d v="2025-04-23T00:00:00"/>
    <d v="2026-02-19T00:00:00"/>
    <n v="-11"/>
    <x v="3"/>
    <n v="1"/>
    <x v="0"/>
  </r>
  <r>
    <s v="VND-342"/>
    <s v="Sustainability Disclosure"/>
    <s v="Yes"/>
    <s v="No"/>
    <d v="2025-08-13T00:00:00"/>
    <d v="2026-02-09T00:00:00"/>
    <n v="-21"/>
    <x v="3"/>
    <n v="1"/>
    <x v="0"/>
  </r>
  <r>
    <s v="VND-343"/>
    <s v="ISO 14001"/>
    <s v="Yes"/>
    <s v="No"/>
    <d v="2024-08-05T00:00:00"/>
    <d v="2026-01-25T00:00:00"/>
    <n v="-36"/>
    <x v="3"/>
    <n v="1"/>
    <x v="0"/>
  </r>
  <r>
    <s v="VND-343"/>
    <s v="Safety Certificate"/>
    <s v="Yes"/>
    <s v="No"/>
    <d v="2024-04-03T00:00:00"/>
    <d v="2026-01-16T00:00:00"/>
    <n v="-45"/>
    <x v="3"/>
    <n v="1"/>
    <x v="1"/>
  </r>
  <r>
    <s v="VND-343"/>
    <s v="Environmental Policy"/>
    <s v="Yes"/>
    <s v="No"/>
    <d v="2025-08-29T00:00:00"/>
    <d v="2025-10-09T00:00:00"/>
    <n v="-144"/>
    <x v="3"/>
    <n v="1"/>
    <x v="0"/>
  </r>
  <r>
    <s v="VND-343"/>
    <s v="Sustainability Disclosure"/>
    <s v="Yes"/>
    <s v="No"/>
    <d v="2025-10-19T00:00:00"/>
    <d v="2026-01-21T00:00:00"/>
    <n v="-40"/>
    <x v="3"/>
    <n v="1"/>
    <x v="0"/>
  </r>
  <r>
    <s v="VND-344"/>
    <s v="ISO 14001"/>
    <s v="Yes"/>
    <s v="No"/>
    <d v="2025-03-28T00:00:00"/>
    <d v="2025-12-16T00:00:00"/>
    <n v="-76"/>
    <x v="3"/>
    <n v="1"/>
    <x v="0"/>
  </r>
  <r>
    <s v="VND-344"/>
    <s v="Safety Certificate"/>
    <s v="Yes"/>
    <s v="No"/>
    <d v="2025-10-29T00:00:00"/>
    <d v="2025-10-17T00:00:00"/>
    <n v="-136"/>
    <x v="3"/>
    <n v="1"/>
    <x v="1"/>
  </r>
  <r>
    <s v="VND-344"/>
    <s v="Environmental Policy"/>
    <s v="Yes"/>
    <s v="No"/>
    <d v="2025-12-16T00:00:00"/>
    <d v="2026-02-16T00:00:00"/>
    <n v="-14"/>
    <x v="3"/>
    <n v="1"/>
    <x v="0"/>
  </r>
  <r>
    <s v="VND-344"/>
    <s v="Sustainability Disclosure"/>
    <s v="Yes"/>
    <s v="No"/>
    <d v="2024-05-27T00:00:00"/>
    <d v="2025-11-05T00:00:00"/>
    <n v="-117"/>
    <x v="3"/>
    <n v="1"/>
    <x v="0"/>
  </r>
  <r>
    <s v="VND-345"/>
    <s v="ISO 14001"/>
    <s v="Yes"/>
    <s v="No"/>
    <d v="2025-05-27T00:00:00"/>
    <d v="2025-11-04T00:00:00"/>
    <n v="-118"/>
    <x v="3"/>
    <n v="1"/>
    <x v="0"/>
  </r>
  <r>
    <s v="VND-345"/>
    <s v="Safety Certificate"/>
    <s v="Yes"/>
    <s v="No"/>
    <d v="2025-12-13T00:00:00"/>
    <d v="2025-11-29T00:00:00"/>
    <n v="-93"/>
    <x v="3"/>
    <n v="1"/>
    <x v="1"/>
  </r>
  <r>
    <s v="VND-345"/>
    <s v="Environmental Policy"/>
    <s v="Yes"/>
    <s v="No"/>
    <d v="2024-12-29T00:00:00"/>
    <d v="2025-09-29T00:00:00"/>
    <n v="-154"/>
    <x v="3"/>
    <n v="1"/>
    <x v="0"/>
  </r>
  <r>
    <s v="VND-345"/>
    <s v="Sustainability Disclosure"/>
    <s v="Yes"/>
    <s v="No"/>
    <d v="2024-12-30T00:00:00"/>
    <d v="2025-10-06T00:00:00"/>
    <n v="-147"/>
    <x v="3"/>
    <n v="1"/>
    <x v="0"/>
  </r>
  <r>
    <s v="VND-346"/>
    <s v="ISO 14001"/>
    <s v="Yes"/>
    <s v="No"/>
    <d v="2024-12-25T00:00:00"/>
    <d v="2025-11-13T00:00:00"/>
    <n v="-109"/>
    <x v="3"/>
    <n v="1"/>
    <x v="0"/>
  </r>
  <r>
    <s v="VND-346"/>
    <s v="Safety Certificate"/>
    <s v="Yes"/>
    <s v="No"/>
    <d v="2025-02-02T00:00:00"/>
    <d v="2025-09-19T00:00:00"/>
    <n v="-164"/>
    <x v="3"/>
    <n v="1"/>
    <x v="1"/>
  </r>
  <r>
    <s v="VND-346"/>
    <s v="Environmental Policy"/>
    <s v="Yes"/>
    <s v="No"/>
    <d v="2025-07-29T00:00:00"/>
    <d v="2026-01-27T00:00:00"/>
    <n v="-34"/>
    <x v="3"/>
    <n v="1"/>
    <x v="0"/>
  </r>
  <r>
    <s v="VND-346"/>
    <s v="Sustainability Disclosure"/>
    <s v="Yes"/>
    <s v="No"/>
    <d v="2024-04-20T00:00:00"/>
    <d v="2025-10-22T00:00:00"/>
    <n v="-131"/>
    <x v="3"/>
    <n v="1"/>
    <x v="0"/>
  </r>
  <r>
    <s v="VND-347"/>
    <s v="ISO 14001"/>
    <s v="Yes"/>
    <s v="No"/>
    <d v="2025-07-31T00:00:00"/>
    <d v="2026-01-24T00:00:00"/>
    <n v="-37"/>
    <x v="3"/>
    <n v="1"/>
    <x v="0"/>
  </r>
  <r>
    <s v="VND-347"/>
    <s v="Safety Certificate"/>
    <s v="Yes"/>
    <s v="No"/>
    <d v="2025-07-09T00:00:00"/>
    <d v="2025-11-18T00:00:00"/>
    <n v="-104"/>
    <x v="3"/>
    <n v="1"/>
    <x v="1"/>
  </r>
  <r>
    <s v="VND-347"/>
    <s v="Environmental Policy"/>
    <s v="Yes"/>
    <s v="No"/>
    <d v="2025-10-08T00:00:00"/>
    <d v="2026-01-15T00:00:00"/>
    <n v="-46"/>
    <x v="3"/>
    <n v="1"/>
    <x v="0"/>
  </r>
  <r>
    <s v="VND-347"/>
    <s v="Sustainability Disclosure"/>
    <s v="Yes"/>
    <s v="No"/>
    <d v="2025-12-13T00:00:00"/>
    <d v="2025-10-17T00:00:00"/>
    <n v="-136"/>
    <x v="3"/>
    <n v="1"/>
    <x v="0"/>
  </r>
  <r>
    <s v="VND-348"/>
    <s v="ISO 14001"/>
    <s v="Yes"/>
    <s v="No"/>
    <d v="2024-10-06T00:00:00"/>
    <d v="2025-10-20T00:00:00"/>
    <n v="-133"/>
    <x v="3"/>
    <n v="1"/>
    <x v="0"/>
  </r>
  <r>
    <s v="VND-348"/>
    <s v="Safety Certificate"/>
    <s v="Yes"/>
    <s v="No"/>
    <d v="2025-08-25T00:00:00"/>
    <d v="2025-09-23T00:00:00"/>
    <n v="-160"/>
    <x v="3"/>
    <n v="1"/>
    <x v="1"/>
  </r>
  <r>
    <s v="VND-348"/>
    <s v="Environmental Policy"/>
    <s v="Yes"/>
    <s v="No"/>
    <d v="2024-06-08T00:00:00"/>
    <d v="2026-01-13T00:00:00"/>
    <n v="-48"/>
    <x v="3"/>
    <n v="1"/>
    <x v="0"/>
  </r>
  <r>
    <s v="VND-348"/>
    <s v="Sustainability Disclosure"/>
    <s v="Yes"/>
    <s v="No"/>
    <d v="2024-11-03T00:00:00"/>
    <d v="2026-02-17T00:00:00"/>
    <n v="-13"/>
    <x v="3"/>
    <n v="1"/>
    <x v="0"/>
  </r>
  <r>
    <s v="VND-349"/>
    <s v="ISO 14001"/>
    <s v="Yes"/>
    <s v="No"/>
    <d v="2024-05-01T00:00:00"/>
    <d v="2025-10-14T00:00:00"/>
    <n v="-139"/>
    <x v="3"/>
    <n v="1"/>
    <x v="0"/>
  </r>
  <r>
    <s v="VND-349"/>
    <s v="Safety Certificate"/>
    <s v="Yes"/>
    <s v="No"/>
    <d v="2025-10-11T00:00:00"/>
    <d v="2026-02-08T00:00:00"/>
    <n v="-22"/>
    <x v="3"/>
    <n v="1"/>
    <x v="1"/>
  </r>
  <r>
    <s v="VND-349"/>
    <s v="Environmental Policy"/>
    <s v="Yes"/>
    <s v="No"/>
    <d v="2024-06-03T00:00:00"/>
    <d v="2025-10-04T00:00:00"/>
    <n v="-149"/>
    <x v="3"/>
    <n v="1"/>
    <x v="0"/>
  </r>
  <r>
    <s v="VND-349"/>
    <s v="Sustainability Disclosure"/>
    <s v="Yes"/>
    <s v="No"/>
    <d v="2024-11-16T00:00:00"/>
    <d v="2025-09-19T00:00:00"/>
    <n v="-164"/>
    <x v="3"/>
    <n v="1"/>
    <x v="0"/>
  </r>
  <r>
    <s v="VND-350"/>
    <s v="ISO 14001"/>
    <s v="Yes"/>
    <s v="No"/>
    <d v="2025-10-30T00:00:00"/>
    <d v="2025-09-05T00:00:00"/>
    <n v="-178"/>
    <x v="3"/>
    <n v="1"/>
    <x v="0"/>
  </r>
  <r>
    <s v="VND-350"/>
    <s v="Safety Certificate"/>
    <s v="Yes"/>
    <s v="No"/>
    <d v="2026-01-06T00:00:00"/>
    <d v="2025-12-10T00:00:00"/>
    <n v="-82"/>
    <x v="3"/>
    <n v="1"/>
    <x v="1"/>
  </r>
  <r>
    <s v="VND-350"/>
    <s v="Environmental Policy"/>
    <s v="Yes"/>
    <s v="No"/>
    <d v="2025-12-22T00:00:00"/>
    <d v="2026-02-13T00:00:00"/>
    <n v="-17"/>
    <x v="3"/>
    <n v="1"/>
    <x v="0"/>
  </r>
  <r>
    <s v="VND-350"/>
    <s v="Sustainability Disclosure"/>
    <s v="Yes"/>
    <s v="No"/>
    <d v="2024-10-10T00:00:00"/>
    <d v="2026-02-17T00:00:00"/>
    <n v="-13"/>
    <x v="3"/>
    <n v="1"/>
    <x v="0"/>
  </r>
  <r>
    <s v="VND-351"/>
    <s v="ISO 14001"/>
    <s v="Yes"/>
    <s v="No"/>
    <d v="2024-09-13T00:00:00"/>
    <d v="2026-02-10T00:00:00"/>
    <n v="-20"/>
    <x v="3"/>
    <n v="1"/>
    <x v="0"/>
  </r>
  <r>
    <s v="VND-351"/>
    <s v="Safety Certificate"/>
    <s v="Yes"/>
    <s v="No"/>
    <d v="2024-08-31T00:00:00"/>
    <d v="2025-11-10T00:00:00"/>
    <n v="-112"/>
    <x v="3"/>
    <n v="1"/>
    <x v="1"/>
  </r>
  <r>
    <s v="VND-351"/>
    <s v="Environmental Policy"/>
    <s v="Yes"/>
    <s v="No"/>
    <d v="2024-06-27T00:00:00"/>
    <d v="2025-12-05T00:00:00"/>
    <n v="-87"/>
    <x v="3"/>
    <n v="1"/>
    <x v="0"/>
  </r>
  <r>
    <s v="VND-351"/>
    <s v="Sustainability Disclosure"/>
    <s v="Yes"/>
    <s v="No"/>
    <d v="2024-07-18T00:00:00"/>
    <d v="2025-10-20T00:00:00"/>
    <n v="-133"/>
    <x v="3"/>
    <n v="1"/>
    <x v="0"/>
  </r>
  <r>
    <s v="VND-352"/>
    <s v="ISO 14001"/>
    <s v="Yes"/>
    <s v="No"/>
    <d v="2024-11-14T00:00:00"/>
    <d v="2025-10-27T00:00:00"/>
    <n v="-126"/>
    <x v="3"/>
    <n v="1"/>
    <x v="0"/>
  </r>
  <r>
    <s v="VND-352"/>
    <s v="Safety Certificate"/>
    <s v="Yes"/>
    <s v="No"/>
    <d v="2025-04-03T00:00:00"/>
    <d v="2025-10-18T00:00:00"/>
    <n v="-135"/>
    <x v="3"/>
    <n v="1"/>
    <x v="1"/>
  </r>
  <r>
    <s v="VND-352"/>
    <s v="Environmental Policy"/>
    <s v="Yes"/>
    <s v="No"/>
    <d v="2025-12-09T00:00:00"/>
    <d v="2026-02-14T00:00:00"/>
    <n v="-16"/>
    <x v="3"/>
    <n v="1"/>
    <x v="0"/>
  </r>
  <r>
    <s v="VND-352"/>
    <s v="Sustainability Disclosure"/>
    <s v="Yes"/>
    <s v="No"/>
    <d v="2024-12-03T00:00:00"/>
    <d v="2026-01-16T00:00:00"/>
    <n v="-45"/>
    <x v="3"/>
    <n v="1"/>
    <x v="0"/>
  </r>
  <r>
    <s v="VND-353"/>
    <s v="ISO 14001"/>
    <s v="Yes"/>
    <s v="No"/>
    <d v="2025-06-02T00:00:00"/>
    <d v="2025-11-04T00:00:00"/>
    <n v="-118"/>
    <x v="3"/>
    <n v="1"/>
    <x v="0"/>
  </r>
  <r>
    <s v="VND-353"/>
    <s v="Safety Certificate"/>
    <s v="Yes"/>
    <s v="No"/>
    <d v="2024-10-02T00:00:00"/>
    <d v="2025-11-16T00:00:00"/>
    <n v="-106"/>
    <x v="3"/>
    <n v="1"/>
    <x v="1"/>
  </r>
  <r>
    <s v="VND-353"/>
    <s v="Environmental Policy"/>
    <s v="Yes"/>
    <s v="No"/>
    <d v="2024-12-29T00:00:00"/>
    <d v="2025-09-10T00:00:00"/>
    <n v="-173"/>
    <x v="3"/>
    <n v="1"/>
    <x v="0"/>
  </r>
  <r>
    <s v="VND-353"/>
    <s v="Sustainability Disclosure"/>
    <s v="Yes"/>
    <s v="No"/>
    <d v="2024-05-18T00:00:00"/>
    <d v="2025-12-02T00:00:00"/>
    <n v="-90"/>
    <x v="3"/>
    <n v="1"/>
    <x v="0"/>
  </r>
  <r>
    <s v="VND-354"/>
    <s v="ISO 14001"/>
    <s v="Yes"/>
    <s v="No"/>
    <d v="2025-07-27T00:00:00"/>
    <d v="2025-11-29T00:00:00"/>
    <n v="-93"/>
    <x v="3"/>
    <n v="1"/>
    <x v="0"/>
  </r>
  <r>
    <s v="VND-354"/>
    <s v="Safety Certificate"/>
    <s v="Yes"/>
    <s v="No"/>
    <d v="2025-12-23T00:00:00"/>
    <d v="2025-11-02T00:00:00"/>
    <n v="-120"/>
    <x v="3"/>
    <n v="1"/>
    <x v="1"/>
  </r>
  <r>
    <s v="VND-354"/>
    <s v="Environmental Policy"/>
    <s v="Yes"/>
    <s v="No"/>
    <d v="2025-08-13T00:00:00"/>
    <d v="2025-11-16T00:00:00"/>
    <n v="-106"/>
    <x v="3"/>
    <n v="1"/>
    <x v="0"/>
  </r>
  <r>
    <s v="VND-354"/>
    <s v="Sustainability Disclosure"/>
    <s v="Yes"/>
    <s v="No"/>
    <d v="2025-04-20T00:00:00"/>
    <d v="2025-09-03T00:00:00"/>
    <n v="-180"/>
    <x v="3"/>
    <n v="1"/>
    <x v="0"/>
  </r>
  <r>
    <s v="VND-355"/>
    <s v="ISO 14001"/>
    <s v="Yes"/>
    <s v="No"/>
    <d v="2025-09-10T00:00:00"/>
    <d v="2025-11-02T00:00:00"/>
    <n v="-120"/>
    <x v="3"/>
    <n v="1"/>
    <x v="0"/>
  </r>
  <r>
    <s v="VND-355"/>
    <s v="Safety Certificate"/>
    <s v="Yes"/>
    <s v="No"/>
    <d v="2024-06-21T00:00:00"/>
    <d v="2025-09-10T00:00:00"/>
    <n v="-173"/>
    <x v="3"/>
    <n v="1"/>
    <x v="1"/>
  </r>
  <r>
    <s v="VND-355"/>
    <s v="Environmental Policy"/>
    <s v="Yes"/>
    <s v="No"/>
    <d v="2024-05-07T00:00:00"/>
    <d v="2025-11-28T00:00:00"/>
    <n v="-94"/>
    <x v="3"/>
    <n v="1"/>
    <x v="0"/>
  </r>
  <r>
    <s v="VND-355"/>
    <s v="Sustainability Disclosure"/>
    <s v="Yes"/>
    <s v="No"/>
    <d v="2025-01-29T00:00:00"/>
    <d v="2026-01-30T00:00:00"/>
    <n v="-31"/>
    <x v="3"/>
    <n v="1"/>
    <x v="0"/>
  </r>
  <r>
    <s v="VND-356"/>
    <s v="ISO 14001"/>
    <s v="Yes"/>
    <s v="No"/>
    <d v="2026-01-30T00:00:00"/>
    <d v="2025-12-28T00:00:00"/>
    <n v="-64"/>
    <x v="3"/>
    <n v="1"/>
    <x v="0"/>
  </r>
  <r>
    <s v="VND-356"/>
    <s v="Safety Certificate"/>
    <s v="Yes"/>
    <s v="No"/>
    <d v="2025-07-01T00:00:00"/>
    <d v="2026-02-07T00:00:00"/>
    <n v="-23"/>
    <x v="3"/>
    <n v="1"/>
    <x v="1"/>
  </r>
  <r>
    <s v="VND-356"/>
    <s v="Environmental Policy"/>
    <s v="Yes"/>
    <s v="No"/>
    <d v="2025-10-10T00:00:00"/>
    <d v="2025-09-28T00:00:00"/>
    <n v="-155"/>
    <x v="3"/>
    <n v="1"/>
    <x v="0"/>
  </r>
  <r>
    <s v="VND-356"/>
    <s v="Sustainability Disclosure"/>
    <s v="Yes"/>
    <s v="No"/>
    <d v="2024-11-08T00:00:00"/>
    <d v="2025-12-01T00:00:00"/>
    <n v="-91"/>
    <x v="3"/>
    <n v="1"/>
    <x v="0"/>
  </r>
  <r>
    <s v="VND-357"/>
    <s v="ISO 14001"/>
    <s v="Yes"/>
    <s v="No"/>
    <d v="2025-10-17T00:00:00"/>
    <d v="2025-10-12T00:00:00"/>
    <n v="-141"/>
    <x v="3"/>
    <n v="1"/>
    <x v="0"/>
  </r>
  <r>
    <s v="VND-357"/>
    <s v="Safety Certificate"/>
    <s v="Yes"/>
    <s v="No"/>
    <d v="2025-06-27T00:00:00"/>
    <d v="2025-11-26T00:00:00"/>
    <n v="-96"/>
    <x v="3"/>
    <n v="1"/>
    <x v="1"/>
  </r>
  <r>
    <s v="VND-357"/>
    <s v="Environmental Policy"/>
    <s v="Yes"/>
    <s v="No"/>
    <d v="2024-08-17T00:00:00"/>
    <d v="2025-10-18T00:00:00"/>
    <n v="-135"/>
    <x v="3"/>
    <n v="1"/>
    <x v="0"/>
  </r>
  <r>
    <s v="VND-357"/>
    <s v="Sustainability Disclosure"/>
    <s v="Yes"/>
    <s v="No"/>
    <d v="2024-04-06T00:00:00"/>
    <d v="2025-09-26T00:00:00"/>
    <n v="-157"/>
    <x v="3"/>
    <n v="1"/>
    <x v="0"/>
  </r>
  <r>
    <s v="VND-358"/>
    <s v="ISO 14001"/>
    <s v="Yes"/>
    <s v="No"/>
    <d v="2024-03-30T00:00:00"/>
    <d v="2025-09-14T00:00:00"/>
    <n v="-169"/>
    <x v="3"/>
    <n v="1"/>
    <x v="0"/>
  </r>
  <r>
    <s v="VND-358"/>
    <s v="Safety Certificate"/>
    <s v="Yes"/>
    <s v="No"/>
    <d v="2024-04-09T00:00:00"/>
    <d v="2025-09-09T00:00:00"/>
    <n v="-174"/>
    <x v="3"/>
    <n v="1"/>
    <x v="1"/>
  </r>
  <r>
    <s v="VND-358"/>
    <s v="Environmental Policy"/>
    <s v="Yes"/>
    <s v="No"/>
    <d v="2025-05-21T00:00:00"/>
    <d v="2025-12-12T00:00:00"/>
    <n v="-80"/>
    <x v="3"/>
    <n v="1"/>
    <x v="0"/>
  </r>
  <r>
    <s v="VND-358"/>
    <s v="Sustainability Disclosure"/>
    <s v="Yes"/>
    <s v="No"/>
    <d v="2024-10-23T00:00:00"/>
    <d v="2025-12-09T00:00:00"/>
    <n v="-83"/>
    <x v="3"/>
    <n v="1"/>
    <x v="0"/>
  </r>
  <r>
    <s v="VND-359"/>
    <s v="ISO 14001"/>
    <s v="Yes"/>
    <s v="No"/>
    <d v="2024-07-10T00:00:00"/>
    <d v="2026-01-13T00:00:00"/>
    <n v="-48"/>
    <x v="3"/>
    <n v="1"/>
    <x v="0"/>
  </r>
  <r>
    <s v="VND-359"/>
    <s v="Safety Certificate"/>
    <s v="Yes"/>
    <s v="No"/>
    <d v="2025-12-12T00:00:00"/>
    <d v="2025-12-08T00:00:00"/>
    <n v="-84"/>
    <x v="3"/>
    <n v="1"/>
    <x v="1"/>
  </r>
  <r>
    <s v="VND-359"/>
    <s v="Environmental Policy"/>
    <s v="Yes"/>
    <s v="No"/>
    <d v="2024-11-04T00:00:00"/>
    <d v="2025-11-13T00:00:00"/>
    <n v="-109"/>
    <x v="3"/>
    <n v="1"/>
    <x v="0"/>
  </r>
  <r>
    <s v="VND-359"/>
    <s v="Sustainability Disclosure"/>
    <s v="Yes"/>
    <s v="No"/>
    <d v="2026-01-30T00:00:00"/>
    <d v="2025-12-04T00:00:00"/>
    <n v="-88"/>
    <x v="3"/>
    <n v="1"/>
    <x v="0"/>
  </r>
  <r>
    <s v="VND-360"/>
    <s v="ISO 14001"/>
    <s v="Yes"/>
    <s v="No"/>
    <d v="2025-09-01T00:00:00"/>
    <d v="2026-01-28T00:00:00"/>
    <n v="-33"/>
    <x v="3"/>
    <n v="1"/>
    <x v="0"/>
  </r>
  <r>
    <s v="VND-360"/>
    <s v="Safety Certificate"/>
    <s v="Yes"/>
    <s v="No"/>
    <d v="2024-10-06T00:00:00"/>
    <d v="2026-01-07T00:00:00"/>
    <n v="-54"/>
    <x v="3"/>
    <n v="1"/>
    <x v="1"/>
  </r>
  <r>
    <s v="VND-360"/>
    <s v="Environmental Policy"/>
    <s v="Yes"/>
    <s v="No"/>
    <d v="2025-09-25T00:00:00"/>
    <d v="2025-10-05T00:00:00"/>
    <n v="-148"/>
    <x v="3"/>
    <n v="1"/>
    <x v="0"/>
  </r>
  <r>
    <s v="VND-360"/>
    <s v="Sustainability Disclosure"/>
    <s v="Yes"/>
    <s v="No"/>
    <d v="2025-12-17T00:00:00"/>
    <d v="2025-10-08T00:00:00"/>
    <n v="-145"/>
    <x v="3"/>
    <n v="1"/>
    <x v="0"/>
  </r>
  <r>
    <s v="VND-361"/>
    <s v="ISO 14001"/>
    <s v="Yes"/>
    <s v="No"/>
    <d v="2024-09-03T00:00:00"/>
    <d v="2026-01-10T00:00:00"/>
    <n v="-51"/>
    <x v="3"/>
    <n v="1"/>
    <x v="0"/>
  </r>
  <r>
    <s v="VND-361"/>
    <s v="Safety Certificate"/>
    <s v="Yes"/>
    <s v="No"/>
    <d v="2025-08-05T00:00:00"/>
    <d v="2025-11-19T00:00:00"/>
    <n v="-103"/>
    <x v="3"/>
    <n v="1"/>
    <x v="1"/>
  </r>
  <r>
    <s v="VND-361"/>
    <s v="Environmental Policy"/>
    <s v="Yes"/>
    <s v="No"/>
    <d v="2025-07-25T00:00:00"/>
    <d v="2026-01-16T00:00:00"/>
    <n v="-45"/>
    <x v="3"/>
    <n v="1"/>
    <x v="0"/>
  </r>
  <r>
    <s v="VND-361"/>
    <s v="Sustainability Disclosure"/>
    <s v="Yes"/>
    <s v="No"/>
    <d v="2025-11-10T00:00:00"/>
    <d v="2025-12-13T00:00:00"/>
    <n v="-79"/>
    <x v="3"/>
    <n v="1"/>
    <x v="0"/>
  </r>
  <r>
    <s v="VND-362"/>
    <s v="ISO 14001"/>
    <s v="Yes"/>
    <s v="No"/>
    <d v="2025-09-16T00:00:00"/>
    <d v="2025-09-14T00:00:00"/>
    <n v="-169"/>
    <x v="3"/>
    <n v="1"/>
    <x v="0"/>
  </r>
  <r>
    <s v="VND-362"/>
    <s v="Safety Certificate"/>
    <s v="Yes"/>
    <s v="No"/>
    <d v="2025-11-02T00:00:00"/>
    <d v="2025-09-25T00:00:00"/>
    <n v="-158"/>
    <x v="3"/>
    <n v="1"/>
    <x v="1"/>
  </r>
  <r>
    <s v="VND-362"/>
    <s v="Environmental Policy"/>
    <s v="Yes"/>
    <s v="No"/>
    <d v="2025-09-11T00:00:00"/>
    <d v="2026-01-26T00:00:00"/>
    <n v="-35"/>
    <x v="3"/>
    <n v="1"/>
    <x v="0"/>
  </r>
  <r>
    <s v="VND-362"/>
    <s v="Sustainability Disclosure"/>
    <s v="Yes"/>
    <s v="No"/>
    <d v="2025-07-28T00:00:00"/>
    <d v="2025-12-26T00:00:00"/>
    <n v="-66"/>
    <x v="3"/>
    <n v="1"/>
    <x v="0"/>
  </r>
  <r>
    <s v="VND-363"/>
    <s v="ISO 14001"/>
    <s v="Yes"/>
    <s v="No"/>
    <d v="2025-05-30T00:00:00"/>
    <d v="2026-02-27T00:00:00"/>
    <n v="-3"/>
    <x v="3"/>
    <n v="1"/>
    <x v="0"/>
  </r>
  <r>
    <s v="VND-363"/>
    <s v="Safety Certificate"/>
    <s v="Yes"/>
    <s v="No"/>
    <d v="2025-11-17T00:00:00"/>
    <d v="2025-10-09T00:00:00"/>
    <n v="-144"/>
    <x v="3"/>
    <n v="1"/>
    <x v="1"/>
  </r>
  <r>
    <s v="VND-363"/>
    <s v="Environmental Policy"/>
    <s v="Yes"/>
    <s v="No"/>
    <d v="2025-09-04T00:00:00"/>
    <d v="2026-02-09T00:00:00"/>
    <n v="-21"/>
    <x v="3"/>
    <n v="1"/>
    <x v="0"/>
  </r>
  <r>
    <s v="VND-363"/>
    <s v="Sustainability Disclosure"/>
    <s v="Yes"/>
    <s v="No"/>
    <d v="2025-06-05T00:00:00"/>
    <d v="2025-10-28T00:00:00"/>
    <n v="-125"/>
    <x v="3"/>
    <n v="1"/>
    <x v="0"/>
  </r>
  <r>
    <s v="VND-364"/>
    <s v="ISO 14001"/>
    <s v="Yes"/>
    <s v="No"/>
    <d v="2024-08-08T00:00:00"/>
    <d v="2025-12-24T00:00:00"/>
    <n v="-68"/>
    <x v="3"/>
    <n v="1"/>
    <x v="0"/>
  </r>
  <r>
    <s v="VND-364"/>
    <s v="Safety Certificate"/>
    <s v="Yes"/>
    <s v="No"/>
    <d v="2025-03-18T00:00:00"/>
    <d v="2026-02-24T00:00:00"/>
    <n v="-6"/>
    <x v="3"/>
    <n v="1"/>
    <x v="1"/>
  </r>
  <r>
    <s v="VND-364"/>
    <s v="Environmental Policy"/>
    <s v="Yes"/>
    <s v="No"/>
    <d v="2025-12-17T00:00:00"/>
    <d v="2025-10-25T00:00:00"/>
    <n v="-128"/>
    <x v="3"/>
    <n v="1"/>
    <x v="0"/>
  </r>
  <r>
    <s v="VND-364"/>
    <s v="Sustainability Disclosure"/>
    <s v="Yes"/>
    <s v="No"/>
    <d v="2024-04-28T00:00:00"/>
    <d v="2025-10-19T00:00:00"/>
    <n v="-134"/>
    <x v="3"/>
    <n v="1"/>
    <x v="0"/>
  </r>
  <r>
    <s v="VND-365"/>
    <s v="ISO 14001"/>
    <s v="Yes"/>
    <s v="No"/>
    <d v="2024-12-25T00:00:00"/>
    <d v="2026-01-04T00:00:00"/>
    <n v="-57"/>
    <x v="3"/>
    <n v="1"/>
    <x v="0"/>
  </r>
  <r>
    <s v="VND-365"/>
    <s v="Safety Certificate"/>
    <s v="Yes"/>
    <s v="No"/>
    <d v="2024-07-21T00:00:00"/>
    <d v="2026-01-05T00:00:00"/>
    <n v="-56"/>
    <x v="3"/>
    <n v="1"/>
    <x v="1"/>
  </r>
  <r>
    <s v="VND-365"/>
    <s v="Environmental Policy"/>
    <s v="Yes"/>
    <s v="No"/>
    <d v="2025-01-19T00:00:00"/>
    <d v="2025-10-06T00:00:00"/>
    <n v="-147"/>
    <x v="3"/>
    <n v="1"/>
    <x v="0"/>
  </r>
  <r>
    <s v="VND-365"/>
    <s v="Sustainability Disclosure"/>
    <s v="Yes"/>
    <s v="No"/>
    <d v="2024-09-15T00:00:00"/>
    <d v="2026-01-10T00:00:00"/>
    <n v="-51"/>
    <x v="3"/>
    <n v="1"/>
    <x v="0"/>
  </r>
  <r>
    <s v="VND-366"/>
    <s v="ISO 14001"/>
    <s v="Yes"/>
    <s v="No"/>
    <d v="2025-02-03T00:00:00"/>
    <d v="2025-09-05T00:00:00"/>
    <n v="-178"/>
    <x v="3"/>
    <n v="1"/>
    <x v="0"/>
  </r>
  <r>
    <s v="VND-366"/>
    <s v="Safety Certificate"/>
    <s v="Yes"/>
    <s v="No"/>
    <d v="2024-11-09T00:00:00"/>
    <d v="2025-11-11T00:00:00"/>
    <n v="-111"/>
    <x v="3"/>
    <n v="1"/>
    <x v="1"/>
  </r>
  <r>
    <s v="VND-366"/>
    <s v="Environmental Policy"/>
    <s v="Yes"/>
    <s v="No"/>
    <d v="2024-06-11T00:00:00"/>
    <d v="2025-11-26T00:00:00"/>
    <n v="-96"/>
    <x v="3"/>
    <n v="1"/>
    <x v="0"/>
  </r>
  <r>
    <s v="VND-366"/>
    <s v="Sustainability Disclosure"/>
    <s v="Yes"/>
    <s v="No"/>
    <d v="2025-01-12T00:00:00"/>
    <d v="2025-12-20T00:00:00"/>
    <n v="-72"/>
    <x v="3"/>
    <n v="1"/>
    <x v="0"/>
  </r>
  <r>
    <s v="VND-367"/>
    <s v="ISO 14001"/>
    <s v="Yes"/>
    <s v="No"/>
    <d v="2025-10-12T00:00:00"/>
    <d v="2025-09-28T00:00:00"/>
    <n v="-155"/>
    <x v="3"/>
    <n v="1"/>
    <x v="0"/>
  </r>
  <r>
    <s v="VND-367"/>
    <s v="Safety Certificate"/>
    <s v="Yes"/>
    <s v="No"/>
    <d v="2025-11-26T00:00:00"/>
    <d v="2026-02-19T00:00:00"/>
    <n v="-11"/>
    <x v="3"/>
    <n v="1"/>
    <x v="1"/>
  </r>
  <r>
    <s v="VND-367"/>
    <s v="Environmental Policy"/>
    <s v="Yes"/>
    <s v="No"/>
    <d v="2025-08-18T00:00:00"/>
    <d v="2025-12-21T00:00:00"/>
    <n v="-71"/>
    <x v="3"/>
    <n v="1"/>
    <x v="0"/>
  </r>
  <r>
    <s v="VND-367"/>
    <s v="Sustainability Disclosure"/>
    <s v="Yes"/>
    <s v="No"/>
    <d v="2025-11-19T00:00:00"/>
    <d v="2025-10-23T00:00:00"/>
    <n v="-130"/>
    <x v="3"/>
    <n v="1"/>
    <x v="0"/>
  </r>
  <r>
    <s v="VND-368"/>
    <s v="ISO 14001"/>
    <s v="Yes"/>
    <s v="No"/>
    <d v="2025-10-28T00:00:00"/>
    <d v="2025-12-14T00:00:00"/>
    <n v="-78"/>
    <x v="3"/>
    <n v="1"/>
    <x v="0"/>
  </r>
  <r>
    <s v="VND-368"/>
    <s v="Safety Certificate"/>
    <s v="Yes"/>
    <s v="No"/>
    <d v="2025-01-21T00:00:00"/>
    <d v="2025-10-17T00:00:00"/>
    <n v="-136"/>
    <x v="3"/>
    <n v="1"/>
    <x v="1"/>
  </r>
  <r>
    <s v="VND-368"/>
    <s v="Environmental Policy"/>
    <s v="Yes"/>
    <s v="No"/>
    <d v="2024-12-31T00:00:00"/>
    <d v="2025-09-12T00:00:00"/>
    <n v="-171"/>
    <x v="3"/>
    <n v="1"/>
    <x v="0"/>
  </r>
  <r>
    <s v="VND-368"/>
    <s v="Sustainability Disclosure"/>
    <s v="Yes"/>
    <s v="No"/>
    <d v="2025-03-22T00:00:00"/>
    <d v="2025-11-23T00:00:00"/>
    <n v="-99"/>
    <x v="3"/>
    <n v="1"/>
    <x v="0"/>
  </r>
  <r>
    <s v="VND-369"/>
    <s v="ISO 14001"/>
    <s v="Yes"/>
    <s v="No"/>
    <d v="2025-11-08T00:00:00"/>
    <d v="2025-09-29T00:00:00"/>
    <n v="-154"/>
    <x v="3"/>
    <n v="1"/>
    <x v="0"/>
  </r>
  <r>
    <s v="VND-369"/>
    <s v="Safety Certificate"/>
    <s v="Yes"/>
    <s v="No"/>
    <d v="2025-06-26T00:00:00"/>
    <d v="2025-11-02T00:00:00"/>
    <n v="-120"/>
    <x v="3"/>
    <n v="1"/>
    <x v="1"/>
  </r>
  <r>
    <s v="VND-369"/>
    <s v="Environmental Policy"/>
    <s v="Yes"/>
    <s v="No"/>
    <d v="2025-07-13T00:00:00"/>
    <d v="2026-02-13T00:00:00"/>
    <n v="-17"/>
    <x v="3"/>
    <n v="1"/>
    <x v="0"/>
  </r>
  <r>
    <s v="VND-369"/>
    <s v="Sustainability Disclosure"/>
    <s v="Yes"/>
    <s v="No"/>
    <d v="2025-10-28T00:00:00"/>
    <d v="2025-10-04T00:00:00"/>
    <n v="-149"/>
    <x v="3"/>
    <n v="1"/>
    <x v="0"/>
  </r>
  <r>
    <s v="VND-370"/>
    <s v="ISO 14001"/>
    <s v="Yes"/>
    <s v="No"/>
    <d v="2024-09-18T00:00:00"/>
    <d v="2025-09-13T00:00:00"/>
    <n v="-170"/>
    <x v="3"/>
    <n v="1"/>
    <x v="0"/>
  </r>
  <r>
    <s v="VND-370"/>
    <s v="Safety Certificate"/>
    <s v="Yes"/>
    <s v="No"/>
    <d v="2025-12-04T00:00:00"/>
    <d v="2026-02-03T00:00:00"/>
    <n v="-27"/>
    <x v="3"/>
    <n v="1"/>
    <x v="1"/>
  </r>
  <r>
    <s v="VND-370"/>
    <s v="Environmental Policy"/>
    <s v="Yes"/>
    <s v="No"/>
    <d v="2024-09-09T00:00:00"/>
    <d v="2026-01-08T00:00:00"/>
    <n v="-53"/>
    <x v="3"/>
    <n v="1"/>
    <x v="0"/>
  </r>
  <r>
    <s v="VND-370"/>
    <s v="Sustainability Disclosure"/>
    <s v="Yes"/>
    <s v="No"/>
    <d v="2025-08-04T00:00:00"/>
    <d v="2025-12-14T00:00:00"/>
    <n v="-78"/>
    <x v="3"/>
    <n v="1"/>
    <x v="0"/>
  </r>
  <r>
    <s v="VND-371"/>
    <s v="ISO 14001"/>
    <s v="Yes"/>
    <s v="No"/>
    <d v="2025-04-13T00:00:00"/>
    <d v="2026-02-18T00:00:00"/>
    <n v="-12"/>
    <x v="3"/>
    <n v="1"/>
    <x v="0"/>
  </r>
  <r>
    <s v="VND-371"/>
    <s v="Safety Certificate"/>
    <s v="Yes"/>
    <s v="No"/>
    <d v="2025-12-07T00:00:00"/>
    <d v="2025-12-02T00:00:00"/>
    <n v="-90"/>
    <x v="3"/>
    <n v="1"/>
    <x v="1"/>
  </r>
  <r>
    <s v="VND-371"/>
    <s v="Environmental Policy"/>
    <s v="Yes"/>
    <s v="No"/>
    <d v="2025-01-17T00:00:00"/>
    <d v="2025-12-12T00:00:00"/>
    <n v="-80"/>
    <x v="3"/>
    <n v="1"/>
    <x v="0"/>
  </r>
  <r>
    <s v="VND-371"/>
    <s v="Sustainability Disclosure"/>
    <s v="Yes"/>
    <s v="No"/>
    <d v="2025-05-30T00:00:00"/>
    <d v="2025-11-06T00:00:00"/>
    <n v="-116"/>
    <x v="3"/>
    <n v="1"/>
    <x v="0"/>
  </r>
  <r>
    <s v="VND-372"/>
    <s v="ISO 14001"/>
    <s v="Yes"/>
    <s v="No"/>
    <d v="2024-11-24T00:00:00"/>
    <d v="2025-09-30T00:00:00"/>
    <n v="-153"/>
    <x v="3"/>
    <n v="1"/>
    <x v="0"/>
  </r>
  <r>
    <s v="VND-372"/>
    <s v="Safety Certificate"/>
    <s v="Yes"/>
    <s v="No"/>
    <d v="2024-05-28T00:00:00"/>
    <d v="2026-01-22T00:00:00"/>
    <n v="-39"/>
    <x v="3"/>
    <n v="1"/>
    <x v="1"/>
  </r>
  <r>
    <s v="VND-372"/>
    <s v="Environmental Policy"/>
    <s v="Yes"/>
    <s v="No"/>
    <d v="2024-06-06T00:00:00"/>
    <d v="2025-09-04T00:00:00"/>
    <n v="-179"/>
    <x v="3"/>
    <n v="1"/>
    <x v="0"/>
  </r>
  <r>
    <s v="VND-372"/>
    <s v="Sustainability Disclosure"/>
    <s v="Yes"/>
    <s v="No"/>
    <d v="2025-06-13T00:00:00"/>
    <d v="2025-09-10T00:00:00"/>
    <n v="-173"/>
    <x v="3"/>
    <n v="1"/>
    <x v="0"/>
  </r>
  <r>
    <s v="VND-373"/>
    <s v="ISO 14001"/>
    <s v="Yes"/>
    <s v="No"/>
    <d v="2024-06-15T00:00:00"/>
    <d v="2025-12-17T00:00:00"/>
    <n v="-75"/>
    <x v="3"/>
    <n v="1"/>
    <x v="0"/>
  </r>
  <r>
    <s v="VND-373"/>
    <s v="Safety Certificate"/>
    <s v="Yes"/>
    <s v="No"/>
    <d v="2026-01-01T00:00:00"/>
    <d v="2025-09-08T00:00:00"/>
    <n v="-175"/>
    <x v="3"/>
    <n v="1"/>
    <x v="1"/>
  </r>
  <r>
    <s v="VND-373"/>
    <s v="Environmental Policy"/>
    <s v="Yes"/>
    <s v="No"/>
    <d v="2025-02-19T00:00:00"/>
    <d v="2025-09-22T00:00:00"/>
    <n v="-161"/>
    <x v="3"/>
    <n v="1"/>
    <x v="0"/>
  </r>
  <r>
    <s v="VND-373"/>
    <s v="Sustainability Disclosure"/>
    <s v="Yes"/>
    <s v="No"/>
    <d v="2025-03-31T00:00:00"/>
    <d v="2025-09-14T00:00:00"/>
    <n v="-169"/>
    <x v="3"/>
    <n v="1"/>
    <x v="0"/>
  </r>
  <r>
    <s v="VND-374"/>
    <s v="ISO 14001"/>
    <s v="Yes"/>
    <s v="No"/>
    <d v="2025-01-04T00:00:00"/>
    <d v="2025-09-25T00:00:00"/>
    <n v="-158"/>
    <x v="3"/>
    <n v="1"/>
    <x v="0"/>
  </r>
  <r>
    <s v="VND-374"/>
    <s v="Safety Certificate"/>
    <s v="Yes"/>
    <s v="No"/>
    <d v="2024-04-05T00:00:00"/>
    <d v="2025-11-05T00:00:00"/>
    <n v="-117"/>
    <x v="3"/>
    <n v="1"/>
    <x v="1"/>
  </r>
  <r>
    <s v="VND-374"/>
    <s v="Environmental Policy"/>
    <s v="Yes"/>
    <s v="No"/>
    <d v="2024-04-13T00:00:00"/>
    <d v="2025-12-18T00:00:00"/>
    <n v="-74"/>
    <x v="3"/>
    <n v="1"/>
    <x v="0"/>
  </r>
  <r>
    <s v="VND-374"/>
    <s v="Sustainability Disclosure"/>
    <s v="Yes"/>
    <s v="No"/>
    <d v="2025-06-25T00:00:00"/>
    <d v="2025-11-05T00:00:00"/>
    <n v="-117"/>
    <x v="3"/>
    <n v="1"/>
    <x v="0"/>
  </r>
  <r>
    <s v="VND-375"/>
    <s v="ISO 14001"/>
    <s v="Yes"/>
    <s v="No"/>
    <d v="2025-12-26T00:00:00"/>
    <d v="2025-10-10T00:00:00"/>
    <n v="-143"/>
    <x v="3"/>
    <n v="1"/>
    <x v="0"/>
  </r>
  <r>
    <s v="VND-375"/>
    <s v="Safety Certificate"/>
    <s v="Yes"/>
    <s v="No"/>
    <d v="2026-02-12T00:00:00"/>
    <d v="2025-10-18T00:00:00"/>
    <n v="-135"/>
    <x v="3"/>
    <n v="1"/>
    <x v="1"/>
  </r>
  <r>
    <s v="VND-375"/>
    <s v="Environmental Policy"/>
    <s v="Yes"/>
    <s v="No"/>
    <d v="2025-12-27T00:00:00"/>
    <d v="2025-11-25T00:00:00"/>
    <n v="-97"/>
    <x v="3"/>
    <n v="1"/>
    <x v="0"/>
  </r>
  <r>
    <s v="VND-375"/>
    <s v="Sustainability Disclosure"/>
    <s v="Yes"/>
    <s v="No"/>
    <d v="2025-06-27T00:00:00"/>
    <d v="2026-01-06T00:00:00"/>
    <n v="-55"/>
    <x v="3"/>
    <n v="1"/>
    <x v="0"/>
  </r>
  <r>
    <s v="VND-376"/>
    <s v="ISO 14001"/>
    <s v="Yes"/>
    <s v="No"/>
    <d v="2024-08-06T00:00:00"/>
    <d v="2025-12-12T00:00:00"/>
    <n v="-80"/>
    <x v="3"/>
    <n v="1"/>
    <x v="0"/>
  </r>
  <r>
    <s v="VND-376"/>
    <s v="Safety Certificate"/>
    <s v="Yes"/>
    <s v="No"/>
    <d v="2026-01-09T00:00:00"/>
    <d v="2025-12-03T00:00:00"/>
    <n v="-89"/>
    <x v="3"/>
    <n v="1"/>
    <x v="1"/>
  </r>
  <r>
    <s v="VND-376"/>
    <s v="Environmental Policy"/>
    <s v="Yes"/>
    <s v="No"/>
    <d v="2025-02-12T00:00:00"/>
    <d v="2025-10-28T00:00:00"/>
    <n v="-125"/>
    <x v="3"/>
    <n v="1"/>
    <x v="0"/>
  </r>
  <r>
    <s v="VND-376"/>
    <s v="Sustainability Disclosure"/>
    <s v="Yes"/>
    <s v="No"/>
    <d v="2024-10-21T00:00:00"/>
    <d v="2025-12-11T00:00:00"/>
    <n v="-81"/>
    <x v="3"/>
    <n v="1"/>
    <x v="0"/>
  </r>
  <r>
    <s v="VND-377"/>
    <s v="ISO 14001"/>
    <s v="Yes"/>
    <s v="No"/>
    <d v="2025-01-22T00:00:00"/>
    <d v="2025-12-20T00:00:00"/>
    <n v="-72"/>
    <x v="3"/>
    <n v="1"/>
    <x v="0"/>
  </r>
  <r>
    <s v="VND-377"/>
    <s v="Safety Certificate"/>
    <s v="Yes"/>
    <s v="No"/>
    <d v="2024-10-05T00:00:00"/>
    <d v="2025-10-03T00:00:00"/>
    <n v="-150"/>
    <x v="3"/>
    <n v="1"/>
    <x v="1"/>
  </r>
  <r>
    <s v="VND-377"/>
    <s v="Environmental Policy"/>
    <s v="Yes"/>
    <s v="No"/>
    <d v="2024-12-07T00:00:00"/>
    <d v="2026-01-04T00:00:00"/>
    <n v="-57"/>
    <x v="3"/>
    <n v="1"/>
    <x v="0"/>
  </r>
  <r>
    <s v="VND-377"/>
    <s v="Sustainability Disclosure"/>
    <s v="Yes"/>
    <s v="No"/>
    <d v="2025-05-07T00:00:00"/>
    <d v="2025-12-26T00:00:00"/>
    <n v="-66"/>
    <x v="3"/>
    <n v="1"/>
    <x v="0"/>
  </r>
  <r>
    <s v="VND-378"/>
    <s v="ISO 14001"/>
    <s v="Yes"/>
    <s v="No"/>
    <d v="2025-01-17T00:00:00"/>
    <d v="2025-11-23T00:00:00"/>
    <n v="-99"/>
    <x v="3"/>
    <n v="1"/>
    <x v="0"/>
  </r>
  <r>
    <s v="VND-378"/>
    <s v="Safety Certificate"/>
    <s v="Yes"/>
    <s v="No"/>
    <d v="2024-04-22T00:00:00"/>
    <d v="2025-11-13T00:00:00"/>
    <n v="-109"/>
    <x v="3"/>
    <n v="1"/>
    <x v="1"/>
  </r>
  <r>
    <s v="VND-378"/>
    <s v="Environmental Policy"/>
    <s v="Yes"/>
    <s v="No"/>
    <d v="2025-03-12T00:00:00"/>
    <d v="2026-01-27T00:00:00"/>
    <n v="-34"/>
    <x v="3"/>
    <n v="1"/>
    <x v="0"/>
  </r>
  <r>
    <s v="VND-378"/>
    <s v="Sustainability Disclosure"/>
    <s v="Yes"/>
    <s v="No"/>
    <d v="2024-06-11T00:00:00"/>
    <d v="2026-01-01T00:00:00"/>
    <n v="-60"/>
    <x v="3"/>
    <n v="1"/>
    <x v="0"/>
  </r>
  <r>
    <s v="VND-379"/>
    <s v="ISO 14001"/>
    <s v="Yes"/>
    <s v="No"/>
    <d v="2025-04-10T00:00:00"/>
    <d v="2026-01-31T00:00:00"/>
    <n v="-30"/>
    <x v="3"/>
    <n v="1"/>
    <x v="0"/>
  </r>
  <r>
    <s v="VND-379"/>
    <s v="Safety Certificate"/>
    <s v="Yes"/>
    <s v="No"/>
    <d v="2026-01-06T00:00:00"/>
    <d v="2025-10-16T00:00:00"/>
    <n v="-137"/>
    <x v="3"/>
    <n v="1"/>
    <x v="1"/>
  </r>
  <r>
    <s v="VND-379"/>
    <s v="Environmental Policy"/>
    <s v="Yes"/>
    <s v="No"/>
    <d v="2025-05-17T00:00:00"/>
    <d v="2026-02-22T00:00:00"/>
    <n v="-8"/>
    <x v="3"/>
    <n v="1"/>
    <x v="0"/>
  </r>
  <r>
    <s v="VND-379"/>
    <s v="Sustainability Disclosure"/>
    <s v="Yes"/>
    <s v="No"/>
    <d v="2025-08-28T00:00:00"/>
    <d v="2026-02-17T00:00:00"/>
    <n v="-13"/>
    <x v="3"/>
    <n v="1"/>
    <x v="0"/>
  </r>
  <r>
    <s v="VND-380"/>
    <s v="ISO 14001"/>
    <s v="Yes"/>
    <s v="No"/>
    <d v="2025-10-19T00:00:00"/>
    <d v="2025-10-21T00:00:00"/>
    <n v="-132"/>
    <x v="3"/>
    <n v="1"/>
    <x v="0"/>
  </r>
  <r>
    <s v="VND-380"/>
    <s v="Safety Certificate"/>
    <s v="Yes"/>
    <s v="No"/>
    <d v="2024-06-17T00:00:00"/>
    <d v="2026-01-15T00:00:00"/>
    <n v="-46"/>
    <x v="3"/>
    <n v="1"/>
    <x v="1"/>
  </r>
  <r>
    <s v="VND-380"/>
    <s v="Environmental Policy"/>
    <s v="Yes"/>
    <s v="No"/>
    <d v="2026-01-02T00:00:00"/>
    <d v="2025-10-04T00:00:00"/>
    <n v="-149"/>
    <x v="3"/>
    <n v="1"/>
    <x v="0"/>
  </r>
  <r>
    <s v="VND-380"/>
    <s v="Sustainability Disclosure"/>
    <s v="Yes"/>
    <s v="No"/>
    <d v="2025-12-30T00:00:00"/>
    <d v="2026-02-03T00:00:00"/>
    <n v="-27"/>
    <x v="3"/>
    <n v="1"/>
    <x v="0"/>
  </r>
  <r>
    <s v="VND-381"/>
    <s v="ISO 14001"/>
    <s v="Yes"/>
    <s v="No"/>
    <d v="2025-09-20T00:00:00"/>
    <d v="2025-12-08T00:00:00"/>
    <n v="-84"/>
    <x v="3"/>
    <n v="1"/>
    <x v="0"/>
  </r>
  <r>
    <s v="VND-381"/>
    <s v="Safety Certificate"/>
    <s v="Yes"/>
    <s v="No"/>
    <d v="2024-12-27T00:00:00"/>
    <d v="2025-11-06T00:00:00"/>
    <n v="-116"/>
    <x v="3"/>
    <n v="1"/>
    <x v="1"/>
  </r>
  <r>
    <s v="VND-381"/>
    <s v="Environmental Policy"/>
    <s v="Yes"/>
    <s v="No"/>
    <d v="2025-11-28T00:00:00"/>
    <d v="2026-02-24T00:00:00"/>
    <n v="-6"/>
    <x v="3"/>
    <n v="1"/>
    <x v="0"/>
  </r>
  <r>
    <s v="VND-381"/>
    <s v="Sustainability Disclosure"/>
    <s v="Yes"/>
    <s v="No"/>
    <d v="2024-05-29T00:00:00"/>
    <d v="2025-12-26T00:00:00"/>
    <n v="-66"/>
    <x v="3"/>
    <n v="1"/>
    <x v="0"/>
  </r>
  <r>
    <s v="VND-382"/>
    <s v="ISO 14001"/>
    <s v="Yes"/>
    <s v="No"/>
    <d v="2024-07-21T00:00:00"/>
    <d v="2025-12-16T00:00:00"/>
    <n v="-76"/>
    <x v="3"/>
    <n v="1"/>
    <x v="0"/>
  </r>
  <r>
    <s v="VND-382"/>
    <s v="Safety Certificate"/>
    <s v="Yes"/>
    <s v="No"/>
    <d v="2025-02-22T00:00:00"/>
    <d v="2025-11-04T00:00:00"/>
    <n v="-118"/>
    <x v="3"/>
    <n v="1"/>
    <x v="1"/>
  </r>
  <r>
    <s v="VND-382"/>
    <s v="Environmental Policy"/>
    <s v="Yes"/>
    <s v="No"/>
    <d v="2024-03-30T00:00:00"/>
    <d v="2026-01-02T00:00:00"/>
    <n v="-59"/>
    <x v="3"/>
    <n v="1"/>
    <x v="0"/>
  </r>
  <r>
    <s v="VND-382"/>
    <s v="Sustainability Disclosure"/>
    <s v="Yes"/>
    <s v="No"/>
    <d v="2024-07-11T00:00:00"/>
    <d v="2026-02-11T00:00:00"/>
    <n v="-19"/>
    <x v="3"/>
    <n v="1"/>
    <x v="0"/>
  </r>
  <r>
    <s v="VND-383"/>
    <s v="ISO 14001"/>
    <s v="Yes"/>
    <s v="No"/>
    <d v="2024-06-17T00:00:00"/>
    <d v="2025-11-30T00:00:00"/>
    <n v="-92"/>
    <x v="3"/>
    <n v="1"/>
    <x v="0"/>
  </r>
  <r>
    <s v="VND-383"/>
    <s v="Safety Certificate"/>
    <s v="Yes"/>
    <s v="No"/>
    <d v="2024-10-12T00:00:00"/>
    <d v="2025-11-15T00:00:00"/>
    <n v="-107"/>
    <x v="3"/>
    <n v="1"/>
    <x v="1"/>
  </r>
  <r>
    <s v="VND-383"/>
    <s v="Environmental Policy"/>
    <s v="Yes"/>
    <s v="No"/>
    <d v="2025-06-24T00:00:00"/>
    <d v="2026-01-12T00:00:00"/>
    <n v="-49"/>
    <x v="3"/>
    <n v="1"/>
    <x v="0"/>
  </r>
  <r>
    <s v="VND-383"/>
    <s v="Sustainability Disclosure"/>
    <s v="Yes"/>
    <s v="No"/>
    <d v="2025-11-12T00:00:00"/>
    <d v="2025-12-07T00:00:00"/>
    <n v="-85"/>
    <x v="3"/>
    <n v="1"/>
    <x v="0"/>
  </r>
  <r>
    <s v="VND-384"/>
    <s v="ISO 14001"/>
    <s v="Yes"/>
    <s v="No"/>
    <d v="2025-04-09T00:00:00"/>
    <d v="2025-10-04T00:00:00"/>
    <n v="-149"/>
    <x v="3"/>
    <n v="1"/>
    <x v="0"/>
  </r>
  <r>
    <s v="VND-384"/>
    <s v="Safety Certificate"/>
    <s v="Yes"/>
    <s v="No"/>
    <d v="2025-02-16T00:00:00"/>
    <d v="2025-11-07T00:00:00"/>
    <n v="-115"/>
    <x v="3"/>
    <n v="1"/>
    <x v="1"/>
  </r>
  <r>
    <s v="VND-384"/>
    <s v="Environmental Policy"/>
    <s v="Yes"/>
    <s v="No"/>
    <d v="2024-09-25T00:00:00"/>
    <d v="2025-09-03T00:00:00"/>
    <n v="-180"/>
    <x v="3"/>
    <n v="1"/>
    <x v="0"/>
  </r>
  <r>
    <s v="VND-384"/>
    <s v="Sustainability Disclosure"/>
    <s v="Yes"/>
    <s v="No"/>
    <d v="2025-02-16T00:00:00"/>
    <d v="2025-11-19T00:00:00"/>
    <n v="-103"/>
    <x v="3"/>
    <n v="1"/>
    <x v="0"/>
  </r>
  <r>
    <s v="VND-385"/>
    <s v="ISO 14001"/>
    <s v="Yes"/>
    <s v="No"/>
    <d v="2024-11-13T00:00:00"/>
    <d v="2025-10-05T00:00:00"/>
    <n v="-148"/>
    <x v="3"/>
    <n v="1"/>
    <x v="0"/>
  </r>
  <r>
    <s v="VND-385"/>
    <s v="Safety Certificate"/>
    <s v="Yes"/>
    <s v="No"/>
    <d v="2024-10-07T00:00:00"/>
    <d v="2025-11-13T00:00:00"/>
    <n v="-109"/>
    <x v="3"/>
    <n v="1"/>
    <x v="1"/>
  </r>
  <r>
    <s v="VND-385"/>
    <s v="Environmental Policy"/>
    <s v="Yes"/>
    <s v="No"/>
    <d v="2026-02-17T00:00:00"/>
    <d v="2026-01-07T00:00:00"/>
    <n v="-54"/>
    <x v="3"/>
    <n v="1"/>
    <x v="0"/>
  </r>
  <r>
    <s v="VND-385"/>
    <s v="Sustainability Disclosure"/>
    <s v="Yes"/>
    <s v="No"/>
    <d v="2024-04-26T00:00:00"/>
    <d v="2025-10-02T00:00:00"/>
    <n v="-151"/>
    <x v="3"/>
    <n v="1"/>
    <x v="0"/>
  </r>
  <r>
    <s v="VND-386"/>
    <s v="ISO 14001"/>
    <s v="Yes"/>
    <s v="No"/>
    <d v="2024-09-05T00:00:00"/>
    <d v="2025-10-04T00:00:00"/>
    <n v="-149"/>
    <x v="3"/>
    <n v="1"/>
    <x v="0"/>
  </r>
  <r>
    <s v="VND-386"/>
    <s v="Safety Certificate"/>
    <s v="Yes"/>
    <s v="No"/>
    <d v="2025-08-07T00:00:00"/>
    <d v="2025-12-26T00:00:00"/>
    <n v="-66"/>
    <x v="3"/>
    <n v="1"/>
    <x v="1"/>
  </r>
  <r>
    <s v="VND-386"/>
    <s v="Environmental Policy"/>
    <s v="Yes"/>
    <s v="No"/>
    <d v="2024-06-15T00:00:00"/>
    <d v="2025-11-12T00:00:00"/>
    <n v="-110"/>
    <x v="3"/>
    <n v="1"/>
    <x v="0"/>
  </r>
  <r>
    <s v="VND-386"/>
    <s v="Sustainability Disclosure"/>
    <s v="Yes"/>
    <s v="No"/>
    <d v="2024-08-16T00:00:00"/>
    <d v="2025-10-31T00:00:00"/>
    <n v="-122"/>
    <x v="3"/>
    <n v="1"/>
    <x v="0"/>
  </r>
  <r>
    <s v="VND-387"/>
    <s v="ISO 14001"/>
    <s v="Yes"/>
    <s v="No"/>
    <d v="2024-04-08T00:00:00"/>
    <d v="2025-12-14T00:00:00"/>
    <n v="-78"/>
    <x v="3"/>
    <n v="1"/>
    <x v="0"/>
  </r>
  <r>
    <s v="VND-387"/>
    <s v="Safety Certificate"/>
    <s v="Yes"/>
    <s v="No"/>
    <d v="2025-02-17T00:00:00"/>
    <d v="2025-11-23T00:00:00"/>
    <n v="-99"/>
    <x v="3"/>
    <n v="1"/>
    <x v="1"/>
  </r>
  <r>
    <s v="VND-387"/>
    <s v="Environmental Policy"/>
    <s v="Yes"/>
    <s v="No"/>
    <d v="2025-07-15T00:00:00"/>
    <d v="2025-11-09T00:00:00"/>
    <n v="-113"/>
    <x v="3"/>
    <n v="1"/>
    <x v="0"/>
  </r>
  <r>
    <s v="VND-387"/>
    <s v="Sustainability Disclosure"/>
    <s v="Yes"/>
    <s v="No"/>
    <d v="2024-11-12T00:00:00"/>
    <d v="2026-02-20T00:00:00"/>
    <n v="-10"/>
    <x v="3"/>
    <n v="1"/>
    <x v="0"/>
  </r>
  <r>
    <s v="VND-388"/>
    <s v="ISO 14001"/>
    <s v="Yes"/>
    <s v="No"/>
    <d v="2024-07-23T00:00:00"/>
    <d v="2025-11-26T00:00:00"/>
    <n v="-96"/>
    <x v="3"/>
    <n v="1"/>
    <x v="0"/>
  </r>
  <r>
    <s v="VND-388"/>
    <s v="Safety Certificate"/>
    <s v="Yes"/>
    <s v="No"/>
    <d v="2025-07-28T00:00:00"/>
    <d v="2025-10-08T00:00:00"/>
    <n v="-145"/>
    <x v="3"/>
    <n v="1"/>
    <x v="1"/>
  </r>
  <r>
    <s v="VND-388"/>
    <s v="Environmental Policy"/>
    <s v="Yes"/>
    <s v="No"/>
    <d v="2024-08-27T00:00:00"/>
    <d v="2025-12-22T00:00:00"/>
    <n v="-70"/>
    <x v="3"/>
    <n v="1"/>
    <x v="0"/>
  </r>
  <r>
    <s v="VND-388"/>
    <s v="Sustainability Disclosure"/>
    <s v="Yes"/>
    <s v="No"/>
    <d v="2025-02-25T00:00:00"/>
    <d v="2025-10-19T00:00:00"/>
    <n v="-134"/>
    <x v="3"/>
    <n v="1"/>
    <x v="0"/>
  </r>
  <r>
    <s v="VND-389"/>
    <s v="ISO 14001"/>
    <s v="Yes"/>
    <s v="No"/>
    <d v="2025-08-31T00:00:00"/>
    <d v="2025-09-17T00:00:00"/>
    <n v="-166"/>
    <x v="3"/>
    <n v="1"/>
    <x v="0"/>
  </r>
  <r>
    <s v="VND-389"/>
    <s v="Safety Certificate"/>
    <s v="Yes"/>
    <s v="No"/>
    <d v="2025-10-04T00:00:00"/>
    <d v="2025-09-27T00:00:00"/>
    <n v="-156"/>
    <x v="3"/>
    <n v="1"/>
    <x v="1"/>
  </r>
  <r>
    <s v="VND-389"/>
    <s v="Environmental Policy"/>
    <s v="Yes"/>
    <s v="No"/>
    <d v="2025-03-18T00:00:00"/>
    <d v="2025-11-05T00:00:00"/>
    <n v="-117"/>
    <x v="3"/>
    <n v="1"/>
    <x v="0"/>
  </r>
  <r>
    <s v="VND-389"/>
    <s v="Sustainability Disclosure"/>
    <s v="Yes"/>
    <s v="No"/>
    <d v="2025-06-30T00:00:00"/>
    <d v="2025-09-17T00:00:00"/>
    <n v="-166"/>
    <x v="3"/>
    <n v="1"/>
    <x v="0"/>
  </r>
  <r>
    <s v="VND-390"/>
    <s v="ISO 14001"/>
    <s v="Yes"/>
    <s v="No"/>
    <d v="2024-12-06T00:00:00"/>
    <d v="2025-10-07T00:00:00"/>
    <n v="-146"/>
    <x v="3"/>
    <n v="1"/>
    <x v="0"/>
  </r>
  <r>
    <s v="VND-390"/>
    <s v="Safety Certificate"/>
    <s v="Yes"/>
    <s v="No"/>
    <d v="2025-08-28T00:00:00"/>
    <d v="2026-02-01T00:00:00"/>
    <n v="-29"/>
    <x v="3"/>
    <n v="1"/>
    <x v="1"/>
  </r>
  <r>
    <s v="VND-390"/>
    <s v="Environmental Policy"/>
    <s v="Yes"/>
    <s v="No"/>
    <d v="2024-05-11T00:00:00"/>
    <d v="2025-12-22T00:00:00"/>
    <n v="-70"/>
    <x v="3"/>
    <n v="1"/>
    <x v="0"/>
  </r>
  <r>
    <s v="VND-390"/>
    <s v="Sustainability Disclosure"/>
    <s v="Yes"/>
    <s v="No"/>
    <d v="2025-12-25T00:00:00"/>
    <d v="2026-02-27T00:00:00"/>
    <n v="-3"/>
    <x v="3"/>
    <n v="1"/>
    <x v="0"/>
  </r>
  <r>
    <s v="VND-391"/>
    <s v="ISO 14001"/>
    <s v="Yes"/>
    <s v="No"/>
    <d v="2025-05-02T00:00:00"/>
    <d v="2025-10-18T00:00:00"/>
    <n v="-135"/>
    <x v="3"/>
    <n v="1"/>
    <x v="0"/>
  </r>
  <r>
    <s v="VND-391"/>
    <s v="Safety Certificate"/>
    <s v="Yes"/>
    <s v="No"/>
    <d v="2024-10-16T00:00:00"/>
    <d v="2025-11-12T00:00:00"/>
    <n v="-110"/>
    <x v="3"/>
    <n v="1"/>
    <x v="1"/>
  </r>
  <r>
    <s v="VND-391"/>
    <s v="Environmental Policy"/>
    <s v="Yes"/>
    <s v="No"/>
    <d v="2025-03-26T00:00:00"/>
    <d v="2025-09-17T00:00:00"/>
    <n v="-166"/>
    <x v="3"/>
    <n v="1"/>
    <x v="0"/>
  </r>
  <r>
    <s v="VND-391"/>
    <s v="Sustainability Disclosure"/>
    <s v="Yes"/>
    <s v="No"/>
    <d v="2025-01-05T00:00:00"/>
    <d v="2025-12-18T00:00:00"/>
    <n v="-74"/>
    <x v="3"/>
    <n v="1"/>
    <x v="0"/>
  </r>
  <r>
    <s v="VND-392"/>
    <s v="ISO 14001"/>
    <s v="Yes"/>
    <s v="No"/>
    <d v="2024-07-06T00:00:00"/>
    <d v="2026-01-03T00:00:00"/>
    <n v="-58"/>
    <x v="3"/>
    <n v="1"/>
    <x v="0"/>
  </r>
  <r>
    <s v="VND-392"/>
    <s v="Safety Certificate"/>
    <s v="Yes"/>
    <s v="No"/>
    <d v="2024-04-05T00:00:00"/>
    <d v="2026-01-21T00:00:00"/>
    <n v="-40"/>
    <x v="3"/>
    <n v="1"/>
    <x v="1"/>
  </r>
  <r>
    <s v="VND-392"/>
    <s v="Environmental Policy"/>
    <s v="Yes"/>
    <s v="No"/>
    <d v="2024-07-14T00:00:00"/>
    <d v="2025-11-29T00:00:00"/>
    <n v="-93"/>
    <x v="3"/>
    <n v="1"/>
    <x v="0"/>
  </r>
  <r>
    <s v="VND-392"/>
    <s v="Sustainability Disclosure"/>
    <s v="Yes"/>
    <s v="No"/>
    <d v="2024-09-24T00:00:00"/>
    <d v="2025-12-10T00:00:00"/>
    <n v="-82"/>
    <x v="3"/>
    <n v="1"/>
    <x v="0"/>
  </r>
  <r>
    <s v="VND-393"/>
    <s v="ISO 14001"/>
    <s v="Yes"/>
    <s v="No"/>
    <d v="2025-10-10T00:00:00"/>
    <d v="2025-12-29T00:00:00"/>
    <n v="-63"/>
    <x v="3"/>
    <n v="1"/>
    <x v="0"/>
  </r>
  <r>
    <s v="VND-393"/>
    <s v="Safety Certificate"/>
    <s v="Yes"/>
    <s v="No"/>
    <d v="2025-07-26T00:00:00"/>
    <d v="2025-10-03T00:00:00"/>
    <n v="-150"/>
    <x v="3"/>
    <n v="1"/>
    <x v="1"/>
  </r>
  <r>
    <s v="VND-393"/>
    <s v="Environmental Policy"/>
    <s v="Yes"/>
    <s v="No"/>
    <d v="2024-12-05T00:00:00"/>
    <d v="2025-12-07T00:00:00"/>
    <n v="-85"/>
    <x v="3"/>
    <n v="1"/>
    <x v="0"/>
  </r>
  <r>
    <s v="VND-393"/>
    <s v="Sustainability Disclosure"/>
    <s v="Yes"/>
    <s v="No"/>
    <d v="2024-11-20T00:00:00"/>
    <d v="2025-09-10T00:00:00"/>
    <n v="-173"/>
    <x v="3"/>
    <n v="1"/>
    <x v="0"/>
  </r>
  <r>
    <s v="VND-394"/>
    <s v="ISO 14001"/>
    <s v="Yes"/>
    <s v="No"/>
    <d v="2024-09-08T00:00:00"/>
    <d v="2026-01-20T00:00:00"/>
    <n v="-41"/>
    <x v="3"/>
    <n v="1"/>
    <x v="0"/>
  </r>
  <r>
    <s v="VND-394"/>
    <s v="Safety Certificate"/>
    <s v="Yes"/>
    <s v="No"/>
    <d v="2024-11-23T00:00:00"/>
    <d v="2025-10-29T00:00:00"/>
    <n v="-124"/>
    <x v="3"/>
    <n v="1"/>
    <x v="1"/>
  </r>
  <r>
    <s v="VND-394"/>
    <s v="Environmental Policy"/>
    <s v="Yes"/>
    <s v="No"/>
    <d v="2025-07-26T00:00:00"/>
    <d v="2026-02-09T00:00:00"/>
    <n v="-21"/>
    <x v="3"/>
    <n v="1"/>
    <x v="0"/>
  </r>
  <r>
    <s v="VND-394"/>
    <s v="Sustainability Disclosure"/>
    <s v="Yes"/>
    <s v="No"/>
    <d v="2025-11-25T00:00:00"/>
    <d v="2025-12-11T00:00:00"/>
    <n v="-81"/>
    <x v="3"/>
    <n v="1"/>
    <x v="0"/>
  </r>
  <r>
    <s v="VND-395"/>
    <s v="ISO 14001"/>
    <s v="Yes"/>
    <s v="No"/>
    <d v="2025-07-16T00:00:00"/>
    <d v="2026-01-31T00:00:00"/>
    <n v="-30"/>
    <x v="3"/>
    <n v="1"/>
    <x v="0"/>
  </r>
  <r>
    <s v="VND-395"/>
    <s v="Safety Certificate"/>
    <s v="Yes"/>
    <s v="No"/>
    <d v="2025-01-22T00:00:00"/>
    <d v="2025-10-12T00:00:00"/>
    <n v="-141"/>
    <x v="3"/>
    <n v="1"/>
    <x v="1"/>
  </r>
  <r>
    <s v="VND-395"/>
    <s v="Environmental Policy"/>
    <s v="Yes"/>
    <s v="No"/>
    <d v="2025-02-16T00:00:00"/>
    <d v="2026-01-09T00:00:00"/>
    <n v="-52"/>
    <x v="3"/>
    <n v="1"/>
    <x v="0"/>
  </r>
  <r>
    <s v="VND-395"/>
    <s v="Sustainability Disclosure"/>
    <s v="Yes"/>
    <s v="No"/>
    <d v="2025-05-07T00:00:00"/>
    <d v="2026-02-27T00:00:00"/>
    <n v="-3"/>
    <x v="3"/>
    <n v="1"/>
    <x v="0"/>
  </r>
  <r>
    <s v="VND-396"/>
    <s v="ISO 14001"/>
    <s v="Yes"/>
    <s v="No"/>
    <d v="2025-05-05T00:00:00"/>
    <d v="2025-10-13T00:00:00"/>
    <n v="-140"/>
    <x v="3"/>
    <n v="1"/>
    <x v="0"/>
  </r>
  <r>
    <s v="VND-396"/>
    <s v="Safety Certificate"/>
    <s v="Yes"/>
    <s v="No"/>
    <d v="2024-12-21T00:00:00"/>
    <d v="2025-09-27T00:00:00"/>
    <n v="-156"/>
    <x v="3"/>
    <n v="1"/>
    <x v="1"/>
  </r>
  <r>
    <s v="VND-396"/>
    <s v="Environmental Policy"/>
    <s v="Yes"/>
    <s v="No"/>
    <d v="2024-12-28T00:00:00"/>
    <d v="2026-02-14T00:00:00"/>
    <n v="-16"/>
    <x v="3"/>
    <n v="1"/>
    <x v="0"/>
  </r>
  <r>
    <s v="VND-396"/>
    <s v="Sustainability Disclosure"/>
    <s v="Yes"/>
    <s v="No"/>
    <d v="2024-06-06T00:00:00"/>
    <d v="2026-01-08T00:00:00"/>
    <n v="-53"/>
    <x v="3"/>
    <n v="1"/>
    <x v="0"/>
  </r>
  <r>
    <s v="VND-397"/>
    <s v="ISO 14001"/>
    <s v="Yes"/>
    <s v="No"/>
    <d v="2024-06-30T00:00:00"/>
    <d v="2026-01-03T00:00:00"/>
    <n v="-58"/>
    <x v="3"/>
    <n v="1"/>
    <x v="0"/>
  </r>
  <r>
    <s v="VND-397"/>
    <s v="Safety Certificate"/>
    <s v="Yes"/>
    <s v="No"/>
    <d v="2025-03-03T00:00:00"/>
    <d v="2025-10-27T00:00:00"/>
    <n v="-126"/>
    <x v="3"/>
    <n v="1"/>
    <x v="1"/>
  </r>
  <r>
    <s v="VND-397"/>
    <s v="Environmental Policy"/>
    <s v="Yes"/>
    <s v="No"/>
    <d v="2025-08-15T00:00:00"/>
    <d v="2026-01-07T00:00:00"/>
    <n v="-54"/>
    <x v="3"/>
    <n v="1"/>
    <x v="0"/>
  </r>
  <r>
    <s v="VND-397"/>
    <s v="Sustainability Disclosure"/>
    <s v="Yes"/>
    <s v="No"/>
    <d v="2025-06-23T00:00:00"/>
    <d v="2026-01-15T00:00:00"/>
    <n v="-46"/>
    <x v="3"/>
    <n v="1"/>
    <x v="0"/>
  </r>
  <r>
    <s v="VND-398"/>
    <s v="ISO 14001"/>
    <s v="Yes"/>
    <s v="No"/>
    <d v="2025-08-01T00:00:00"/>
    <d v="2025-10-27T00:00:00"/>
    <n v="-126"/>
    <x v="3"/>
    <n v="1"/>
    <x v="0"/>
  </r>
  <r>
    <s v="VND-398"/>
    <s v="Safety Certificate"/>
    <s v="Yes"/>
    <s v="No"/>
    <d v="2025-05-05T00:00:00"/>
    <d v="2025-09-06T00:00:00"/>
    <n v="-177"/>
    <x v="3"/>
    <n v="1"/>
    <x v="1"/>
  </r>
  <r>
    <s v="VND-398"/>
    <s v="Environmental Policy"/>
    <s v="Yes"/>
    <s v="No"/>
    <d v="2025-04-07T00:00:00"/>
    <d v="2025-09-13T00:00:00"/>
    <n v="-170"/>
    <x v="3"/>
    <n v="1"/>
    <x v="0"/>
  </r>
  <r>
    <s v="VND-398"/>
    <s v="Sustainability Disclosure"/>
    <s v="Yes"/>
    <s v="No"/>
    <d v="2024-05-01T00:00:00"/>
    <d v="2026-01-20T00:00:00"/>
    <n v="-41"/>
    <x v="3"/>
    <n v="1"/>
    <x v="0"/>
  </r>
  <r>
    <s v="VND-399"/>
    <s v="ISO 14001"/>
    <s v="Yes"/>
    <s v="No"/>
    <d v="2024-04-08T00:00:00"/>
    <d v="2026-02-12T00:00:00"/>
    <n v="-18"/>
    <x v="3"/>
    <n v="1"/>
    <x v="0"/>
  </r>
  <r>
    <s v="VND-399"/>
    <s v="Safety Certificate"/>
    <s v="Yes"/>
    <s v="No"/>
    <d v="2025-02-27T00:00:00"/>
    <d v="2026-01-27T00:00:00"/>
    <n v="-34"/>
    <x v="3"/>
    <n v="1"/>
    <x v="1"/>
  </r>
  <r>
    <s v="VND-399"/>
    <s v="Environmental Policy"/>
    <s v="Yes"/>
    <s v="No"/>
    <d v="2024-12-21T00:00:00"/>
    <d v="2025-12-17T00:00:00"/>
    <n v="-75"/>
    <x v="3"/>
    <n v="1"/>
    <x v="0"/>
  </r>
  <r>
    <s v="VND-399"/>
    <s v="Sustainability Disclosure"/>
    <s v="Yes"/>
    <s v="No"/>
    <d v="2025-11-10T00:00:00"/>
    <d v="2025-09-26T00:00:00"/>
    <n v="-157"/>
    <x v="3"/>
    <n v="1"/>
    <x v="0"/>
  </r>
  <r>
    <s v="VND-400"/>
    <s v="ISO 14001"/>
    <s v="Yes"/>
    <s v="No"/>
    <d v="2024-04-30T00:00:00"/>
    <d v="2025-11-02T00:00:00"/>
    <n v="-120"/>
    <x v="3"/>
    <n v="1"/>
    <x v="0"/>
  </r>
  <r>
    <s v="VND-400"/>
    <s v="Safety Certificate"/>
    <s v="Yes"/>
    <s v="No"/>
    <d v="2025-09-30T00:00:00"/>
    <d v="2026-01-25T00:00:00"/>
    <n v="-36"/>
    <x v="3"/>
    <n v="1"/>
    <x v="1"/>
  </r>
  <r>
    <s v="VND-400"/>
    <s v="Environmental Policy"/>
    <s v="Yes"/>
    <s v="No"/>
    <d v="2025-08-28T00:00:00"/>
    <d v="2025-10-25T00:00:00"/>
    <n v="-128"/>
    <x v="3"/>
    <n v="1"/>
    <x v="0"/>
  </r>
  <r>
    <s v="VND-400"/>
    <s v="Sustainability Disclosure"/>
    <s v="Yes"/>
    <s v="No"/>
    <d v="2025-07-19T00:00:00"/>
    <d v="2026-01-21T00:00:00"/>
    <n v="-40"/>
    <x v="3"/>
    <n v="1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VND-110"/>
    <s v="EPA Notice"/>
    <x v="0"/>
    <d v="2024-12-31T00:00:00"/>
    <x v="0"/>
    <n v="0"/>
  </r>
  <r>
    <s v="VND-063"/>
    <s v="Safety Violation"/>
    <x v="0"/>
    <d v="2025-04-10T00:00:00"/>
    <x v="0"/>
    <n v="0"/>
  </r>
  <r>
    <s v="VND-191"/>
    <s v="EPA Notice"/>
    <x v="1"/>
    <d v="2024-12-21T00:00:00"/>
    <x v="0"/>
    <n v="0"/>
  </r>
  <r>
    <s v="VND-383"/>
    <s v="Safety Violation"/>
    <x v="1"/>
    <d v="2025-03-04T00:00:00"/>
    <x v="0"/>
    <n v="0"/>
  </r>
  <r>
    <s v="VND-308"/>
    <s v="Safety Violation"/>
    <x v="0"/>
    <d v="2024-09-09T00:00:00"/>
    <x v="1"/>
    <n v="0"/>
  </r>
  <r>
    <s v="VND-231"/>
    <s v="Permit Delay"/>
    <x v="1"/>
    <d v="2025-11-06T00:00:00"/>
    <x v="0"/>
    <n v="0"/>
  </r>
  <r>
    <s v="VND-104"/>
    <s v="Spill/Release"/>
    <x v="1"/>
    <d v="2025-01-21T00:00:00"/>
    <x v="0"/>
    <n v="0"/>
  </r>
  <r>
    <s v="VND-237"/>
    <s v="Permit Delay"/>
    <x v="0"/>
    <d v="2024-06-09T00:00:00"/>
    <x v="0"/>
    <n v="0"/>
  </r>
  <r>
    <s v="VND-367"/>
    <s v="Safety Violation"/>
    <x v="2"/>
    <d v="2025-07-23T00:00:00"/>
    <x v="0"/>
    <n v="0"/>
  </r>
  <r>
    <s v="VND-117"/>
    <s v="Safety Violation"/>
    <x v="1"/>
    <d v="2025-06-04T00:00:00"/>
    <x v="0"/>
    <n v="0"/>
  </r>
  <r>
    <s v="VND-036"/>
    <s v="Safety Violation"/>
    <x v="0"/>
    <d v="2025-03-16T00:00:00"/>
    <x v="0"/>
    <n v="0"/>
  </r>
  <r>
    <s v="VND-338"/>
    <s v="Spill/Release"/>
    <x v="0"/>
    <d v="2025-10-23T00:00:00"/>
    <x v="0"/>
    <n v="0"/>
  </r>
  <r>
    <s v="VND-079"/>
    <s v="EPA Notice"/>
    <x v="0"/>
    <d v="2024-06-13T00:00:00"/>
    <x v="0"/>
    <n v="0"/>
  </r>
  <r>
    <s v="VND-058"/>
    <s v="Permit Delay"/>
    <x v="0"/>
    <d v="2025-01-10T00:00:00"/>
    <x v="0"/>
    <n v="0"/>
  </r>
  <r>
    <s v="VND-133"/>
    <s v="Spill/Release"/>
    <x v="1"/>
    <d v="2024-09-14T00:00:00"/>
    <x v="0"/>
    <n v="0"/>
  </r>
  <r>
    <s v="VND-312"/>
    <s v="Permit Delay"/>
    <x v="2"/>
    <d v="2025-02-05T00:00:00"/>
    <x v="1"/>
    <n v="1"/>
  </r>
  <r>
    <s v="VND-054"/>
    <s v="Spill/Release"/>
    <x v="1"/>
    <d v="2024-07-07T00:00:00"/>
    <x v="0"/>
    <n v="0"/>
  </r>
  <r>
    <s v="VND-061"/>
    <s v="Safety Violation"/>
    <x v="2"/>
    <d v="2025-07-16T00:00:00"/>
    <x v="1"/>
    <n v="1"/>
  </r>
  <r>
    <s v="VND-057"/>
    <s v="Safety Violation"/>
    <x v="1"/>
    <d v="2025-09-12T00:00:00"/>
    <x v="0"/>
    <n v="0"/>
  </r>
  <r>
    <s v="VND-197"/>
    <s v="EPA Notice"/>
    <x v="0"/>
    <d v="2024-07-30T00:00:00"/>
    <x v="0"/>
    <n v="0"/>
  </r>
  <r>
    <s v="VND-128"/>
    <s v="EPA Notice"/>
    <x v="0"/>
    <d v="2025-05-16T00:00:00"/>
    <x v="1"/>
    <n v="0"/>
  </r>
  <r>
    <s v="VND-107"/>
    <s v="Permit Delay"/>
    <x v="1"/>
    <d v="2025-06-02T00:00:00"/>
    <x v="0"/>
    <n v="0"/>
  </r>
  <r>
    <s v="VND-056"/>
    <s v="Permit Delay"/>
    <x v="1"/>
    <d v="2024-03-19T00:00:00"/>
    <x v="0"/>
    <n v="0"/>
  </r>
  <r>
    <s v="VND-380"/>
    <s v="Spill/Release"/>
    <x v="1"/>
    <d v="2025-10-01T00:00:00"/>
    <x v="0"/>
    <n v="0"/>
  </r>
  <r>
    <s v="VND-332"/>
    <s v="EPA Notice"/>
    <x v="1"/>
    <d v="2025-04-02T00:00:00"/>
    <x v="0"/>
    <n v="0"/>
  </r>
  <r>
    <s v="VND-104"/>
    <s v="Permit Delay"/>
    <x v="0"/>
    <d v="2025-01-04T00:00:00"/>
    <x v="0"/>
    <n v="0"/>
  </r>
  <r>
    <s v="VND-344"/>
    <s v="Spill/Release"/>
    <x v="1"/>
    <d v="2025-11-27T00:00:00"/>
    <x v="0"/>
    <n v="0"/>
  </r>
  <r>
    <s v="VND-021"/>
    <s v="EPA Notice"/>
    <x v="1"/>
    <d v="2026-01-31T00:00:00"/>
    <x v="0"/>
    <n v="0"/>
  </r>
  <r>
    <s v="VND-319"/>
    <s v="Permit Delay"/>
    <x v="1"/>
    <d v="2025-12-12T00:00:00"/>
    <x v="0"/>
    <n v="0"/>
  </r>
  <r>
    <s v="VND-172"/>
    <s v="EPA Notice"/>
    <x v="0"/>
    <d v="2025-01-30T00:00:00"/>
    <x v="0"/>
    <n v="0"/>
  </r>
  <r>
    <s v="VND-100"/>
    <s v="Safety Violation"/>
    <x v="1"/>
    <d v="2025-11-22T00:00:00"/>
    <x v="0"/>
    <n v="0"/>
  </r>
  <r>
    <s v="VND-258"/>
    <s v="Safety Violation"/>
    <x v="0"/>
    <d v="2024-12-15T00:00:00"/>
    <x v="0"/>
    <n v="0"/>
  </r>
  <r>
    <s v="VND-009"/>
    <s v="Spill/Release"/>
    <x v="1"/>
    <d v="2025-03-30T00:00:00"/>
    <x v="0"/>
    <n v="0"/>
  </r>
  <r>
    <s v="VND-371"/>
    <s v="Spill/Release"/>
    <x v="0"/>
    <d v="2025-03-03T00:00:00"/>
    <x v="0"/>
    <n v="0"/>
  </r>
  <r>
    <s v="VND-167"/>
    <s v="Spill/Release"/>
    <x v="1"/>
    <d v="2025-08-16T00:00:00"/>
    <x v="0"/>
    <n v="0"/>
  </r>
  <r>
    <s v="VND-340"/>
    <s v="Permit Delay"/>
    <x v="1"/>
    <d v="2024-05-11T00:00:00"/>
    <x v="0"/>
    <n v="0"/>
  </r>
  <r>
    <s v="VND-130"/>
    <s v="Safety Violation"/>
    <x v="1"/>
    <d v="2025-05-10T00:00:00"/>
    <x v="0"/>
    <n v="0"/>
  </r>
  <r>
    <s v="VND-343"/>
    <s v="Permit Delay"/>
    <x v="1"/>
    <d v="2025-10-21T00:00:00"/>
    <x v="0"/>
    <n v="0"/>
  </r>
  <r>
    <s v="VND-186"/>
    <s v="Permit Delay"/>
    <x v="2"/>
    <d v="2026-01-18T00:00:00"/>
    <x v="1"/>
    <n v="1"/>
  </r>
  <r>
    <s v="VND-120"/>
    <s v="Permit Delay"/>
    <x v="1"/>
    <d v="2025-09-11T00:00:00"/>
    <x v="0"/>
    <n v="0"/>
  </r>
  <r>
    <s v="VND-041"/>
    <s v="Permit Delay"/>
    <x v="1"/>
    <d v="2024-03-12T00:00:00"/>
    <x v="1"/>
    <n v="0"/>
  </r>
  <r>
    <s v="VND-196"/>
    <s v="Spill/Release"/>
    <x v="2"/>
    <d v="2025-10-08T00:00:00"/>
    <x v="1"/>
    <n v="1"/>
  </r>
  <r>
    <s v="VND-191"/>
    <s v="Permit Delay"/>
    <x v="1"/>
    <d v="2025-08-07T00:00:00"/>
    <x v="0"/>
    <n v="0"/>
  </r>
  <r>
    <s v="VND-292"/>
    <s v="Permit Delay"/>
    <x v="1"/>
    <d v="2025-06-01T00:00:00"/>
    <x v="0"/>
    <n v="0"/>
  </r>
  <r>
    <s v="VND-057"/>
    <s v="Permit Delay"/>
    <x v="1"/>
    <d v="2025-06-22T00:00:00"/>
    <x v="0"/>
    <n v="0"/>
  </r>
  <r>
    <s v="VND-088"/>
    <s v="EPA Notice"/>
    <x v="1"/>
    <d v="2026-02-02T00:00:00"/>
    <x v="0"/>
    <n v="0"/>
  </r>
  <r>
    <s v="VND-022"/>
    <s v="Safety Violation"/>
    <x v="1"/>
    <d v="2024-06-17T00:00:00"/>
    <x v="0"/>
    <n v="0"/>
  </r>
  <r>
    <s v="VND-281"/>
    <s v="Safety Violation"/>
    <x v="0"/>
    <d v="2024-06-29T00:00:00"/>
    <x v="1"/>
    <n v="0"/>
  </r>
  <r>
    <s v="VND-046"/>
    <s v="Spill/Release"/>
    <x v="0"/>
    <d v="2025-07-04T00:00:00"/>
    <x v="0"/>
    <n v="0"/>
  </r>
  <r>
    <s v="VND-295"/>
    <s v="EPA Notice"/>
    <x v="0"/>
    <d v="2026-01-27T00:00:00"/>
    <x v="0"/>
    <n v="0"/>
  </r>
  <r>
    <s v="VND-334"/>
    <s v="Safety Violation"/>
    <x v="1"/>
    <d v="2025-09-22T00:00:00"/>
    <x v="1"/>
    <n v="0"/>
  </r>
  <r>
    <s v="VND-171"/>
    <s v="Spill/Release"/>
    <x v="1"/>
    <d v="2025-04-06T00:00:00"/>
    <x v="0"/>
    <n v="0"/>
  </r>
  <r>
    <s v="VND-327"/>
    <s v="Safety Violation"/>
    <x v="1"/>
    <d v="2025-08-07T00:00:00"/>
    <x v="1"/>
    <n v="0"/>
  </r>
  <r>
    <s v="VND-236"/>
    <s v="EPA Notice"/>
    <x v="1"/>
    <d v="2024-09-10T00:00:00"/>
    <x v="0"/>
    <n v="0"/>
  </r>
  <r>
    <s v="VND-087"/>
    <s v="Permit Delay"/>
    <x v="1"/>
    <d v="2024-06-23T00:00:00"/>
    <x v="0"/>
    <n v="0"/>
  </r>
  <r>
    <s v="VND-315"/>
    <s v="Permit Delay"/>
    <x v="1"/>
    <d v="2024-07-06T00:00:00"/>
    <x v="0"/>
    <n v="0"/>
  </r>
  <r>
    <s v="VND-149"/>
    <s v="Spill/Release"/>
    <x v="1"/>
    <d v="2025-11-19T00:00:00"/>
    <x v="0"/>
    <n v="0"/>
  </r>
  <r>
    <s v="VND-158"/>
    <s v="Safety Violation"/>
    <x v="1"/>
    <d v="2025-09-17T00:00:00"/>
    <x v="0"/>
    <n v="0"/>
  </r>
  <r>
    <s v="VND-337"/>
    <s v="Spill/Release"/>
    <x v="0"/>
    <d v="2025-10-27T00:00:00"/>
    <x v="0"/>
    <n v="0"/>
  </r>
  <r>
    <s v="VND-106"/>
    <s v="Permit Delay"/>
    <x v="0"/>
    <d v="2025-07-22T00:00:00"/>
    <x v="0"/>
    <n v="0"/>
  </r>
  <r>
    <s v="VND-317"/>
    <s v="Spill/Release"/>
    <x v="2"/>
    <d v="2024-05-21T00:00:00"/>
    <x v="0"/>
    <n v="0"/>
  </r>
  <r>
    <s v="VND-038"/>
    <s v="EPA Notice"/>
    <x v="0"/>
    <d v="2025-10-06T00:00:00"/>
    <x v="1"/>
    <n v="0"/>
  </r>
  <r>
    <s v="VND-010"/>
    <s v="EPA Notice"/>
    <x v="1"/>
    <d v="2024-04-16T00:00:00"/>
    <x v="0"/>
    <n v="0"/>
  </r>
  <r>
    <s v="VND-029"/>
    <s v="Spill/Release"/>
    <x v="1"/>
    <d v="2025-01-10T00:00:00"/>
    <x v="0"/>
    <n v="0"/>
  </r>
  <r>
    <s v="VND-046"/>
    <s v="Spill/Release"/>
    <x v="1"/>
    <d v="2024-08-17T00:00:00"/>
    <x v="1"/>
    <n v="0"/>
  </r>
  <r>
    <s v="VND-055"/>
    <s v="EPA Notice"/>
    <x v="1"/>
    <d v="2026-01-07T00:00:00"/>
    <x v="0"/>
    <n v="0"/>
  </r>
  <r>
    <s v="VND-084"/>
    <s v="Spill/Release"/>
    <x v="1"/>
    <d v="2024-10-29T00:00:00"/>
    <x v="0"/>
    <n v="0"/>
  </r>
  <r>
    <s v="VND-357"/>
    <s v="EPA Notice"/>
    <x v="1"/>
    <d v="2024-11-06T00:00:00"/>
    <x v="0"/>
    <n v="0"/>
  </r>
  <r>
    <s v="VND-072"/>
    <s v="Permit Delay"/>
    <x v="0"/>
    <d v="2025-11-07T00:00:00"/>
    <x v="0"/>
    <n v="0"/>
  </r>
  <r>
    <s v="VND-379"/>
    <s v="Safety Violation"/>
    <x v="1"/>
    <d v="2025-07-22T00:00:00"/>
    <x v="0"/>
    <n v="0"/>
  </r>
  <r>
    <s v="VND-364"/>
    <s v="Safety Violation"/>
    <x v="1"/>
    <d v="2025-07-30T00:00:00"/>
    <x v="0"/>
    <n v="0"/>
  </r>
  <r>
    <s v="VND-291"/>
    <s v="Spill/Release"/>
    <x v="0"/>
    <d v="2026-02-09T00:00:00"/>
    <x v="0"/>
    <n v="0"/>
  </r>
  <r>
    <s v="VND-067"/>
    <s v="Permit Delay"/>
    <x v="0"/>
    <d v="2024-08-02T00:00:00"/>
    <x v="0"/>
    <n v="0"/>
  </r>
  <r>
    <s v="VND-371"/>
    <s v="EPA Notice"/>
    <x v="0"/>
    <d v="2025-09-16T00:00:00"/>
    <x v="0"/>
    <n v="0"/>
  </r>
  <r>
    <s v="VND-288"/>
    <s v="Permit Delay"/>
    <x v="0"/>
    <d v="2025-05-31T00:00:00"/>
    <x v="0"/>
    <n v="0"/>
  </r>
  <r>
    <s v="VND-079"/>
    <s v="Permit Delay"/>
    <x v="1"/>
    <d v="2025-03-12T00:00:00"/>
    <x v="0"/>
    <n v="0"/>
  </r>
  <r>
    <s v="VND-171"/>
    <s v="EPA Notice"/>
    <x v="1"/>
    <d v="2024-06-11T00:00:00"/>
    <x v="0"/>
    <n v="0"/>
  </r>
  <r>
    <s v="VND-309"/>
    <s v="Safety Violation"/>
    <x v="0"/>
    <d v="2025-03-29T00:00:00"/>
    <x v="1"/>
    <n v="0"/>
  </r>
  <r>
    <s v="VND-385"/>
    <s v="Spill/Release"/>
    <x v="1"/>
    <d v="2025-01-01T00:00:00"/>
    <x v="0"/>
    <n v="0"/>
  </r>
  <r>
    <s v="VND-395"/>
    <s v="Permit Delay"/>
    <x v="0"/>
    <d v="2025-08-27T00:00:00"/>
    <x v="0"/>
    <n v="0"/>
  </r>
  <r>
    <s v="VND-397"/>
    <s v="EPA Notice"/>
    <x v="1"/>
    <d v="2025-07-18T00:00:00"/>
    <x v="0"/>
    <n v="0"/>
  </r>
  <r>
    <s v="VND-142"/>
    <s v="EPA Notice"/>
    <x v="0"/>
    <d v="2025-01-13T00:00:00"/>
    <x v="0"/>
    <n v="0"/>
  </r>
  <r>
    <s v="VND-045"/>
    <s v="EPA Notice"/>
    <x v="1"/>
    <d v="2025-04-04T00:00:00"/>
    <x v="1"/>
    <n v="0"/>
  </r>
  <r>
    <s v="VND-053"/>
    <s v="EPA Notice"/>
    <x v="0"/>
    <d v="2024-10-04T00:00:00"/>
    <x v="1"/>
    <n v="0"/>
  </r>
  <r>
    <s v="VND-024"/>
    <s v="Safety Violation"/>
    <x v="1"/>
    <d v="2024-07-18T00:00:00"/>
    <x v="0"/>
    <n v="0"/>
  </r>
  <r>
    <s v="VND-333"/>
    <s v="EPA Notice"/>
    <x v="1"/>
    <d v="2025-09-10T00:00:00"/>
    <x v="0"/>
    <n v="0"/>
  </r>
  <r>
    <s v="VND-036"/>
    <s v="Safety Violation"/>
    <x v="1"/>
    <d v="2024-03-14T00:00:00"/>
    <x v="0"/>
    <n v="0"/>
  </r>
  <r>
    <s v="VND-199"/>
    <s v="Spill/Release"/>
    <x v="0"/>
    <d v="2025-01-11T00:00:00"/>
    <x v="0"/>
    <n v="0"/>
  </r>
  <r>
    <s v="VND-207"/>
    <s v="EPA Notice"/>
    <x v="1"/>
    <d v="2025-09-30T00:00:00"/>
    <x v="1"/>
    <n v="0"/>
  </r>
  <r>
    <s v="VND-086"/>
    <s v="Safety Violation"/>
    <x v="1"/>
    <d v="2024-10-24T00:00:00"/>
    <x v="0"/>
    <n v="0"/>
  </r>
  <r>
    <s v="VND-207"/>
    <s v="Safety Violation"/>
    <x v="0"/>
    <d v="2024-04-22T00:00:00"/>
    <x v="1"/>
    <n v="0"/>
  </r>
  <r>
    <s v="VND-246"/>
    <s v="Safety Violation"/>
    <x v="0"/>
    <d v="2024-12-03T00:00:00"/>
    <x v="0"/>
    <n v="0"/>
  </r>
  <r>
    <s v="VND-310"/>
    <s v="Spill/Release"/>
    <x v="1"/>
    <d v="2025-04-02T00:00:00"/>
    <x v="1"/>
    <n v="0"/>
  </r>
  <r>
    <s v="VND-377"/>
    <s v="Spill/Release"/>
    <x v="0"/>
    <d v="2025-01-18T00:00:00"/>
    <x v="0"/>
    <n v="0"/>
  </r>
  <r>
    <s v="VND-105"/>
    <s v="Permit Delay"/>
    <x v="0"/>
    <d v="2024-11-24T00:00:00"/>
    <x v="0"/>
    <n v="0"/>
  </r>
  <r>
    <s v="VND-060"/>
    <s v="Spill/Release"/>
    <x v="1"/>
    <d v="2024-07-05T00:00:00"/>
    <x v="0"/>
    <n v="0"/>
  </r>
  <r>
    <s v="VND-003"/>
    <s v="Spill/Release"/>
    <x v="1"/>
    <d v="2025-02-15T00:00:00"/>
    <x v="1"/>
    <n v="0"/>
  </r>
  <r>
    <s v="VND-229"/>
    <s v="Safety Violation"/>
    <x v="1"/>
    <d v="2025-11-12T00:00:00"/>
    <x v="0"/>
    <n v="0"/>
  </r>
  <r>
    <s v="VND-350"/>
    <s v="Permit Delay"/>
    <x v="0"/>
    <d v="2025-12-05T00:00:00"/>
    <x v="0"/>
    <n v="0"/>
  </r>
  <r>
    <s v="VND-157"/>
    <s v="Spill/Release"/>
    <x v="1"/>
    <d v="2025-08-31T00:00:00"/>
    <x v="0"/>
    <n v="0"/>
  </r>
  <r>
    <s v="VND-198"/>
    <s v="Permit Delay"/>
    <x v="0"/>
    <d v="2024-10-23T00:00:00"/>
    <x v="1"/>
    <n v="0"/>
  </r>
  <r>
    <s v="VND-335"/>
    <s v="EPA Notice"/>
    <x v="0"/>
    <d v="2025-03-12T00:00:00"/>
    <x v="0"/>
    <n v="0"/>
  </r>
  <r>
    <s v="VND-377"/>
    <s v="EPA Notice"/>
    <x v="0"/>
    <d v="2025-03-24T00:00:00"/>
    <x v="0"/>
    <n v="0"/>
  </r>
  <r>
    <s v="VND-222"/>
    <s v="Permit Delay"/>
    <x v="1"/>
    <d v="2025-09-15T00:00:00"/>
    <x v="0"/>
    <n v="0"/>
  </r>
  <r>
    <s v="VND-208"/>
    <s v="Spill/Release"/>
    <x v="1"/>
    <d v="2024-09-18T00:00:00"/>
    <x v="0"/>
    <n v="0"/>
  </r>
  <r>
    <s v="VND-034"/>
    <s v="Permit Delay"/>
    <x v="1"/>
    <d v="2025-06-08T00:00:00"/>
    <x v="1"/>
    <n v="0"/>
  </r>
  <r>
    <s v="VND-323"/>
    <s v="Safety Violation"/>
    <x v="1"/>
    <d v="2024-07-29T00:00:00"/>
    <x v="0"/>
    <n v="0"/>
  </r>
  <r>
    <s v="VND-187"/>
    <s v="Permit Delay"/>
    <x v="1"/>
    <d v="2025-10-24T00:00:00"/>
    <x v="0"/>
    <n v="0"/>
  </r>
  <r>
    <s v="VND-269"/>
    <s v="Safety Violation"/>
    <x v="0"/>
    <d v="2024-04-06T00:00:00"/>
    <x v="0"/>
    <n v="0"/>
  </r>
  <r>
    <s v="VND-008"/>
    <s v="EPA Notice"/>
    <x v="2"/>
    <d v="2026-02-03T00:00:00"/>
    <x v="0"/>
    <n v="0"/>
  </r>
  <r>
    <s v="VND-108"/>
    <s v="EPA Notice"/>
    <x v="1"/>
    <d v="2025-11-07T00:00:00"/>
    <x v="0"/>
    <n v="0"/>
  </r>
  <r>
    <s v="VND-289"/>
    <s v="EPA Notice"/>
    <x v="1"/>
    <d v="2025-06-26T00:00:00"/>
    <x v="0"/>
    <n v="0"/>
  </r>
  <r>
    <s v="VND-311"/>
    <s v="Permit Delay"/>
    <x v="1"/>
    <d v="2026-01-11T00:00:00"/>
    <x v="0"/>
    <n v="0"/>
  </r>
  <r>
    <s v="VND-002"/>
    <s v="Safety Violation"/>
    <x v="1"/>
    <d v="2025-05-21T00:00:00"/>
    <x v="0"/>
    <n v="0"/>
  </r>
  <r>
    <s v="VND-349"/>
    <s v="EPA Notice"/>
    <x v="1"/>
    <d v="2024-07-25T00:00:00"/>
    <x v="0"/>
    <n v="0"/>
  </r>
  <r>
    <s v="VND-246"/>
    <s v="EPA Notice"/>
    <x v="1"/>
    <d v="2024-12-13T00:00:00"/>
    <x v="0"/>
    <n v="0"/>
  </r>
  <r>
    <s v="VND-359"/>
    <s v="Safety Violation"/>
    <x v="1"/>
    <d v="2024-05-01T00:00:00"/>
    <x v="1"/>
    <n v="0"/>
  </r>
  <r>
    <s v="VND-218"/>
    <s v="Spill/Release"/>
    <x v="1"/>
    <d v="2024-08-28T00:00:00"/>
    <x v="0"/>
    <n v="0"/>
  </r>
  <r>
    <s v="VND-332"/>
    <s v="EPA Notice"/>
    <x v="1"/>
    <d v="2024-05-12T00:00:00"/>
    <x v="0"/>
    <n v="0"/>
  </r>
  <r>
    <s v="VND-033"/>
    <s v="EPA Notice"/>
    <x v="0"/>
    <d v="2024-08-06T00:00:00"/>
    <x v="0"/>
    <n v="0"/>
  </r>
  <r>
    <s v="VND-153"/>
    <s v="EPA Notice"/>
    <x v="1"/>
    <d v="2025-06-08T00:00:00"/>
    <x v="0"/>
    <n v="0"/>
  </r>
  <r>
    <s v="VND-325"/>
    <s v="Spill/Release"/>
    <x v="0"/>
    <d v="2024-05-18T00:00:00"/>
    <x v="0"/>
    <n v="0"/>
  </r>
  <r>
    <s v="VND-140"/>
    <s v="EPA Notice"/>
    <x v="0"/>
    <d v="2024-08-27T00:00:00"/>
    <x v="0"/>
    <n v="0"/>
  </r>
  <r>
    <s v="VND-365"/>
    <s v="Spill/Release"/>
    <x v="1"/>
    <d v="2024-12-28T00:00:00"/>
    <x v="1"/>
    <n v="0"/>
  </r>
  <r>
    <s v="VND-017"/>
    <s v="Permit Delay"/>
    <x v="0"/>
    <d v="2025-11-29T00:00:00"/>
    <x v="0"/>
    <n v="0"/>
  </r>
  <r>
    <s v="VND-337"/>
    <s v="Spill/Release"/>
    <x v="0"/>
    <d v="2024-03-21T00:00:00"/>
    <x v="0"/>
    <n v="0"/>
  </r>
  <r>
    <s v="VND-105"/>
    <s v="Spill/Release"/>
    <x v="1"/>
    <d v="2024-03-30T00:00:00"/>
    <x v="0"/>
    <n v="0"/>
  </r>
  <r>
    <s v="VND-040"/>
    <s v="Permit Delay"/>
    <x v="1"/>
    <d v="2025-10-08T00:00:00"/>
    <x v="0"/>
    <n v="0"/>
  </r>
  <r>
    <s v="VND-227"/>
    <s v="Permit Delay"/>
    <x v="2"/>
    <d v="2024-09-13T00:00:00"/>
    <x v="1"/>
    <n v="1"/>
  </r>
  <r>
    <s v="VND-091"/>
    <s v="Permit Delay"/>
    <x v="1"/>
    <d v="2024-08-04T00:00:00"/>
    <x v="0"/>
    <n v="0"/>
  </r>
  <r>
    <s v="VND-200"/>
    <s v="Spill/Release"/>
    <x v="1"/>
    <d v="2025-02-20T00:00:00"/>
    <x v="0"/>
    <n v="0"/>
  </r>
  <r>
    <s v="VND-389"/>
    <s v="Permit Delay"/>
    <x v="1"/>
    <d v="2024-10-09T00:00:00"/>
    <x v="0"/>
    <n v="0"/>
  </r>
  <r>
    <s v="VND-294"/>
    <s v="Permit Delay"/>
    <x v="0"/>
    <d v="2024-07-12T00:00:00"/>
    <x v="0"/>
    <n v="0"/>
  </r>
  <r>
    <s v="VND-011"/>
    <s v="EPA Notice"/>
    <x v="1"/>
    <d v="2025-03-10T00:00:00"/>
    <x v="0"/>
    <n v="0"/>
  </r>
  <r>
    <s v="VND-311"/>
    <s v="Spill/Release"/>
    <x v="1"/>
    <d v="2024-03-11T00:00:00"/>
    <x v="0"/>
    <n v="0"/>
  </r>
  <r>
    <s v="VND-146"/>
    <s v="EPA Notice"/>
    <x v="0"/>
    <d v="2025-05-28T00:00:00"/>
    <x v="0"/>
    <n v="0"/>
  </r>
  <r>
    <s v="VND-385"/>
    <s v="Spill/Release"/>
    <x v="0"/>
    <d v="2024-07-21T00:00:00"/>
    <x v="0"/>
    <n v="0"/>
  </r>
  <r>
    <s v="VND-337"/>
    <s v="Spill/Release"/>
    <x v="1"/>
    <d v="2024-08-29T00:00:00"/>
    <x v="0"/>
    <n v="0"/>
  </r>
  <r>
    <s v="VND-300"/>
    <s v="EPA Notice"/>
    <x v="1"/>
    <d v="2025-05-13T00:00:00"/>
    <x v="0"/>
    <n v="0"/>
  </r>
  <r>
    <s v="VND-373"/>
    <s v="Spill/Release"/>
    <x v="1"/>
    <d v="2025-04-18T00:00:00"/>
    <x v="0"/>
    <n v="0"/>
  </r>
  <r>
    <s v="VND-394"/>
    <s v="Spill/Release"/>
    <x v="0"/>
    <d v="2024-12-03T00:00:00"/>
    <x v="0"/>
    <n v="0"/>
  </r>
  <r>
    <s v="VND-135"/>
    <s v="Permit Delay"/>
    <x v="1"/>
    <d v="2025-10-03T00:00:00"/>
    <x v="0"/>
    <n v="0"/>
  </r>
  <r>
    <s v="VND-071"/>
    <s v="Spill/Release"/>
    <x v="1"/>
    <d v="2025-10-08T00:00:00"/>
    <x v="0"/>
    <n v="0"/>
  </r>
  <r>
    <s v="VND-330"/>
    <s v="Permit Delay"/>
    <x v="0"/>
    <d v="2026-02-01T00:00:00"/>
    <x v="0"/>
    <n v="0"/>
  </r>
  <r>
    <s v="VND-385"/>
    <s v="Safety Violation"/>
    <x v="0"/>
    <d v="2026-02-09T00:00:00"/>
    <x v="0"/>
    <n v="0"/>
  </r>
  <r>
    <s v="VND-165"/>
    <s v="Spill/Release"/>
    <x v="0"/>
    <d v="2024-05-17T00:00:00"/>
    <x v="0"/>
    <n v="0"/>
  </r>
  <r>
    <s v="VND-178"/>
    <s v="Spill/Release"/>
    <x v="0"/>
    <d v="2024-10-31T00:00:00"/>
    <x v="0"/>
    <n v="0"/>
  </r>
  <r>
    <s v="VND-331"/>
    <s v="Safety Violation"/>
    <x v="1"/>
    <d v="2025-10-25T00:00:00"/>
    <x v="0"/>
    <n v="0"/>
  </r>
  <r>
    <s v="VND-345"/>
    <s v="Permit Delay"/>
    <x v="0"/>
    <d v="2025-12-10T00:00:00"/>
    <x v="0"/>
    <n v="0"/>
  </r>
  <r>
    <s v="VND-079"/>
    <s v="Spill/Release"/>
    <x v="1"/>
    <d v="2026-02-09T00:00:00"/>
    <x v="0"/>
    <n v="0"/>
  </r>
  <r>
    <s v="VND-078"/>
    <s v="Permit Delay"/>
    <x v="1"/>
    <d v="2024-07-05T00:00:00"/>
    <x v="0"/>
    <n v="0"/>
  </r>
  <r>
    <s v="VND-327"/>
    <s v="EPA Notice"/>
    <x v="1"/>
    <d v="2025-10-10T00:00:00"/>
    <x v="0"/>
    <n v="0"/>
  </r>
  <r>
    <s v="VND-336"/>
    <s v="Safety Violation"/>
    <x v="1"/>
    <d v="2024-06-22T00:00:00"/>
    <x v="0"/>
    <n v="0"/>
  </r>
  <r>
    <s v="VND-116"/>
    <s v="Spill/Release"/>
    <x v="0"/>
    <d v="2024-11-11T00:00:00"/>
    <x v="1"/>
    <n v="0"/>
  </r>
  <r>
    <s v="VND-026"/>
    <s v="Spill/Release"/>
    <x v="0"/>
    <d v="2025-11-28T00:00:00"/>
    <x v="0"/>
    <n v="0"/>
  </r>
  <r>
    <s v="VND-161"/>
    <s v="Safety Violation"/>
    <x v="0"/>
    <d v="2024-04-05T00:00:00"/>
    <x v="0"/>
    <n v="0"/>
  </r>
  <r>
    <s v="VND-014"/>
    <s v="Spill/Release"/>
    <x v="0"/>
    <d v="2024-07-31T00:00:00"/>
    <x v="0"/>
    <n v="0"/>
  </r>
  <r>
    <s v="VND-276"/>
    <s v="Permit Delay"/>
    <x v="1"/>
    <d v="2026-02-23T00:00:00"/>
    <x v="0"/>
    <n v="0"/>
  </r>
  <r>
    <s v="VND-394"/>
    <s v="EPA Notice"/>
    <x v="0"/>
    <d v="2024-11-07T00:00:00"/>
    <x v="0"/>
    <n v="0"/>
  </r>
  <r>
    <s v="VND-287"/>
    <s v="EPA Notice"/>
    <x v="1"/>
    <d v="2025-03-29T00:00:00"/>
    <x v="0"/>
    <n v="0"/>
  </r>
  <r>
    <s v="VND-049"/>
    <s v="Permit Delay"/>
    <x v="0"/>
    <d v="2024-10-24T00:00:00"/>
    <x v="1"/>
    <n v="0"/>
  </r>
  <r>
    <s v="VND-114"/>
    <s v="Permit Delay"/>
    <x v="0"/>
    <d v="2026-01-09T00:00:00"/>
    <x v="0"/>
    <n v="0"/>
  </r>
  <r>
    <s v="VND-068"/>
    <s v="Permit Delay"/>
    <x v="1"/>
    <d v="2024-08-29T00:00:00"/>
    <x v="0"/>
    <n v="0"/>
  </r>
  <r>
    <s v="VND-218"/>
    <s v="Safety Violation"/>
    <x v="0"/>
    <d v="2025-10-21T00:00:00"/>
    <x v="0"/>
    <n v="0"/>
  </r>
  <r>
    <s v="VND-285"/>
    <s v="Permit Delay"/>
    <x v="0"/>
    <d v="2024-09-18T00:00:00"/>
    <x v="0"/>
    <n v="0"/>
  </r>
  <r>
    <s v="VND-357"/>
    <s v="Spill/Release"/>
    <x v="1"/>
    <d v="2025-11-15T00:00:00"/>
    <x v="0"/>
    <n v="0"/>
  </r>
  <r>
    <s v="VND-048"/>
    <s v="Spill/Release"/>
    <x v="1"/>
    <d v="2025-06-04T00:00:00"/>
    <x v="0"/>
    <n v="0"/>
  </r>
  <r>
    <s v="VND-387"/>
    <s v="Safety Violation"/>
    <x v="1"/>
    <d v="2025-02-13T00:00:00"/>
    <x v="0"/>
    <n v="0"/>
  </r>
  <r>
    <s v="VND-013"/>
    <s v="Spill/Release"/>
    <x v="1"/>
    <d v="2024-04-04T00:00:00"/>
    <x v="1"/>
    <n v="0"/>
  </r>
  <r>
    <s v="VND-367"/>
    <s v="EPA Notice"/>
    <x v="2"/>
    <d v="2024-05-05T00:00:00"/>
    <x v="1"/>
    <n v="1"/>
  </r>
  <r>
    <s v="VND-337"/>
    <s v="Spill/Release"/>
    <x v="1"/>
    <d v="2025-08-13T00:00:00"/>
    <x v="0"/>
    <n v="0"/>
  </r>
  <r>
    <s v="VND-376"/>
    <s v="Safety Violation"/>
    <x v="0"/>
    <d v="2025-08-16T00:00:00"/>
    <x v="1"/>
    <n v="0"/>
  </r>
  <r>
    <s v="VND-212"/>
    <s v="Permit Delay"/>
    <x v="1"/>
    <d v="2025-06-19T00:00:00"/>
    <x v="0"/>
    <n v="0"/>
  </r>
  <r>
    <s v="VND-084"/>
    <s v="Safety Violation"/>
    <x v="0"/>
    <d v="2025-01-02T00:00:00"/>
    <x v="1"/>
    <n v="0"/>
  </r>
  <r>
    <s v="VND-175"/>
    <s v="EPA Notice"/>
    <x v="0"/>
    <d v="2025-12-10T00:00:00"/>
    <x v="0"/>
    <n v="0"/>
  </r>
  <r>
    <s v="VND-062"/>
    <s v="EPA Notice"/>
    <x v="1"/>
    <d v="2024-05-06T00:00:00"/>
    <x v="0"/>
    <n v="0"/>
  </r>
  <r>
    <s v="VND-019"/>
    <s v="Spill/Release"/>
    <x v="1"/>
    <d v="2025-08-23T00:00:00"/>
    <x v="0"/>
    <n v="0"/>
  </r>
  <r>
    <s v="VND-381"/>
    <s v="Safety Violation"/>
    <x v="1"/>
    <d v="2024-04-17T00:00:00"/>
    <x v="0"/>
    <n v="0"/>
  </r>
  <r>
    <s v="VND-057"/>
    <s v="Permit Delay"/>
    <x v="1"/>
    <d v="2024-11-25T00:00:00"/>
    <x v="0"/>
    <n v="0"/>
  </r>
  <r>
    <s v="VND-250"/>
    <s v="Safety Violation"/>
    <x v="1"/>
    <d v="2024-08-31T00:00:00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2DE44-3DEE-4FA0-BE3F-8B8F9C5F6CDD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1:D46" firstHeaderRow="1" firstDataRow="2" firstDataCol="1"/>
  <pivotFields count="6">
    <pivotField dataField="1" showAll="0"/>
    <pivotField showAll="0"/>
    <pivotField axis="axisRow" showAll="0">
      <items count="4">
        <item x="2"/>
        <item x="1"/>
        <item x="0"/>
        <item t="default"/>
      </items>
    </pivotField>
    <pivotField numFmtId="14" showAll="0"/>
    <pivotField axis="axisCol" showAll="0">
      <items count="3">
        <item x="1"/>
        <item x="0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 Vendo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9E50E0-FDBA-410E-97B9-F518F718FC61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4:F38" firstHeaderRow="1" firstDataRow="2" firstDataCol="1"/>
  <pivotFields count="10">
    <pivotField dataField="1" showAll="0"/>
    <pivotField showAll="0"/>
    <pivotField showAll="0"/>
    <pivotField showAll="0"/>
    <pivotField numFmtId="14" showAll="0"/>
    <pivotField numFmtId="14" showAll="0"/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axis="axisRow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 Vendo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E9802-B616-43C9-8E98-06FFC074BCF7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D31" firstHeaderRow="1" firstDataRow="2" firstDataCol="1"/>
  <pivotFields count="18">
    <pivotField dataField="1"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Vendo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854412-F87A-49DF-B935-CFEBD0025248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D21" firstHeaderRow="1" firstDataRow="2" firstDataCol="1"/>
  <pivotFields count="18">
    <pivotField dataField="1"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Vendo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4B9004-3556-4FC8-A0A2-6337070ADC30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9:B12" firstHeaderRow="1" firstDataRow="1" firstDataCol="1"/>
  <pivotFields count="18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Sum of Annual_Spend" fld="4" baseField="0" baseItem="0"/>
  </dataFields>
  <formats count="1">
    <format dxfId="9">
      <pivotArea collapsedLevelsAreSubtotals="1" fieldPosition="0">
        <references count="1">
          <reference field="14" count="0"/>
        </references>
      </pivotArea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6F7B77-AC82-416D-8A2F-B8620FFB3961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Vendor_ID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383-82E6-40E8-AB7D-A78B50E32DAA}">
  <dimension ref="A1:H401"/>
  <sheetViews>
    <sheetView zoomScale="85" zoomScaleNormal="85" workbookViewId="0">
      <selection activeCell="K4" sqref="K4"/>
    </sheetView>
  </sheetViews>
  <sheetFormatPr defaultRowHeight="14.5"/>
  <cols>
    <col min="1" max="1" width="9.453125" bestFit="1" customWidth="1"/>
    <col min="2" max="2" width="12.1796875" bestFit="1" customWidth="1"/>
    <col min="3" max="3" width="20.54296875" bestFit="1" customWidth="1"/>
    <col min="4" max="4" width="6.26953125" bestFit="1" customWidth="1"/>
    <col min="5" max="5" width="12.1796875" bestFit="1" customWidth="1"/>
    <col min="6" max="6" width="17.6328125" bestFit="1" customWidth="1"/>
    <col min="7" max="7" width="17.08984375" bestFit="1" customWidth="1"/>
    <col min="8" max="8" width="19.81640625" bestFit="1" customWidth="1"/>
  </cols>
  <sheetData>
    <row r="1" spans="1:8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319</v>
      </c>
      <c r="H1" s="2" t="s">
        <v>6</v>
      </c>
    </row>
    <row r="2" spans="1:8">
      <c r="A2" t="s">
        <v>7</v>
      </c>
      <c r="B2" t="str">
        <f>_xlfn.CONCAT("Vendor_",TEXT(ROW()-1,"000"))</f>
        <v>Vendor_001</v>
      </c>
      <c r="C2" t="s">
        <v>307</v>
      </c>
      <c r="D2" t="str">
        <f>CHOOSE(ROUNDUP((ROW()-1)/100,0),"East","South","West","North")</f>
        <v>East</v>
      </c>
      <c r="E2">
        <v>3195278</v>
      </c>
      <c r="F2" s="1">
        <v>44227</v>
      </c>
      <c r="G2" s="1">
        <v>45586</v>
      </c>
      <c r="H2" t="str">
        <f>_xlfn.CONCAT("contact",ROW()-1,"@vendor.com")</f>
        <v>contact1@vendor.com</v>
      </c>
    </row>
    <row r="3" spans="1:8">
      <c r="A3" t="s">
        <v>8</v>
      </c>
      <c r="B3" t="str">
        <f t="shared" ref="B3:B66" si="0">_xlfn.CONCAT("Vendor_",TEXT(ROW()-1,"000"))</f>
        <v>Vendor_002</v>
      </c>
      <c r="C3" t="s">
        <v>307</v>
      </c>
      <c r="D3" t="str">
        <f t="shared" ref="D3:D66" si="1">CHOOSE(ROUNDUP((ROW()-1)/100,0),"East","South","West","North")</f>
        <v>East</v>
      </c>
      <c r="E3">
        <v>1899565</v>
      </c>
      <c r="F3" s="1">
        <v>45098</v>
      </c>
      <c r="G3" s="1">
        <v>46806</v>
      </c>
      <c r="H3" t="str">
        <f t="shared" ref="H3:H66" si="2">_xlfn.CONCAT("contact",ROW()-1,"@vendor.com")</f>
        <v>contact2@vendor.com</v>
      </c>
    </row>
    <row r="4" spans="1:8">
      <c r="A4" t="s">
        <v>9</v>
      </c>
      <c r="B4" t="str">
        <f t="shared" si="0"/>
        <v>Vendor_003</v>
      </c>
      <c r="C4" t="s">
        <v>307</v>
      </c>
      <c r="D4" t="str">
        <f t="shared" si="1"/>
        <v>East</v>
      </c>
      <c r="E4">
        <v>3318457</v>
      </c>
      <c r="F4" s="1">
        <v>44336</v>
      </c>
      <c r="G4" s="1">
        <v>45434</v>
      </c>
      <c r="H4" t="str">
        <f t="shared" si="2"/>
        <v>contact3@vendor.com</v>
      </c>
    </row>
    <row r="5" spans="1:8">
      <c r="A5" t="s">
        <v>10</v>
      </c>
      <c r="B5" t="str">
        <f t="shared" si="0"/>
        <v>Vendor_004</v>
      </c>
      <c r="C5" t="s">
        <v>307</v>
      </c>
      <c r="D5" t="str">
        <f t="shared" si="1"/>
        <v>East</v>
      </c>
      <c r="E5">
        <v>3125237</v>
      </c>
      <c r="F5" s="1">
        <v>44327</v>
      </c>
      <c r="G5" s="1">
        <v>44867</v>
      </c>
      <c r="H5" t="str">
        <f t="shared" si="2"/>
        <v>contact4@vendor.com</v>
      </c>
    </row>
    <row r="6" spans="1:8">
      <c r="A6" t="s">
        <v>11</v>
      </c>
      <c r="B6" t="str">
        <f t="shared" si="0"/>
        <v>Vendor_005</v>
      </c>
      <c r="C6" t="s">
        <v>307</v>
      </c>
      <c r="D6" t="str">
        <f t="shared" si="1"/>
        <v>East</v>
      </c>
      <c r="E6">
        <v>2761058</v>
      </c>
      <c r="F6" s="1">
        <v>44644</v>
      </c>
      <c r="G6" s="1">
        <v>45830</v>
      </c>
      <c r="H6" t="str">
        <f t="shared" si="2"/>
        <v>contact5@vendor.com</v>
      </c>
    </row>
    <row r="7" spans="1:8">
      <c r="A7" t="s">
        <v>12</v>
      </c>
      <c r="B7" t="str">
        <f t="shared" si="0"/>
        <v>Vendor_006</v>
      </c>
      <c r="C7" t="s">
        <v>307</v>
      </c>
      <c r="D7" t="str">
        <f t="shared" si="1"/>
        <v>East</v>
      </c>
      <c r="E7">
        <v>3224304</v>
      </c>
      <c r="F7" s="1">
        <v>44643</v>
      </c>
      <c r="G7" s="1">
        <v>46042</v>
      </c>
      <c r="H7" t="str">
        <f t="shared" si="2"/>
        <v>contact6@vendor.com</v>
      </c>
    </row>
    <row r="8" spans="1:8">
      <c r="A8" t="s">
        <v>13</v>
      </c>
      <c r="B8" t="str">
        <f t="shared" si="0"/>
        <v>Vendor_007</v>
      </c>
      <c r="C8" t="s">
        <v>307</v>
      </c>
      <c r="D8" t="str">
        <f t="shared" si="1"/>
        <v>East</v>
      </c>
      <c r="E8">
        <v>2844080</v>
      </c>
      <c r="F8" s="1">
        <v>44281</v>
      </c>
      <c r="G8" s="1">
        <v>44678</v>
      </c>
      <c r="H8" t="str">
        <f t="shared" si="2"/>
        <v>contact7@vendor.com</v>
      </c>
    </row>
    <row r="9" spans="1:8">
      <c r="A9" t="s">
        <v>14</v>
      </c>
      <c r="B9" t="str">
        <f t="shared" si="0"/>
        <v>Vendor_008</v>
      </c>
      <c r="C9" t="s">
        <v>307</v>
      </c>
      <c r="D9" t="str">
        <f t="shared" si="1"/>
        <v>East</v>
      </c>
      <c r="E9">
        <v>3354223</v>
      </c>
      <c r="F9" s="1">
        <v>44404</v>
      </c>
      <c r="G9" s="1">
        <v>45470</v>
      </c>
      <c r="H9" t="str">
        <f t="shared" si="2"/>
        <v>contact8@vendor.com</v>
      </c>
    </row>
    <row r="10" spans="1:8">
      <c r="A10" t="s">
        <v>15</v>
      </c>
      <c r="B10" t="str">
        <f t="shared" si="0"/>
        <v>Vendor_009</v>
      </c>
      <c r="C10" t="s">
        <v>307</v>
      </c>
      <c r="D10" t="str">
        <f t="shared" si="1"/>
        <v>East</v>
      </c>
      <c r="E10">
        <v>3652769</v>
      </c>
      <c r="F10" s="1">
        <v>44578</v>
      </c>
      <c r="G10" s="1">
        <v>46139</v>
      </c>
      <c r="H10" t="str">
        <f t="shared" si="2"/>
        <v>contact9@vendor.com</v>
      </c>
    </row>
    <row r="11" spans="1:8">
      <c r="A11" t="s">
        <v>16</v>
      </c>
      <c r="B11" t="str">
        <f t="shared" si="0"/>
        <v>Vendor_010</v>
      </c>
      <c r="C11" t="s">
        <v>307</v>
      </c>
      <c r="D11" t="str">
        <f t="shared" si="1"/>
        <v>East</v>
      </c>
      <c r="E11">
        <v>1850541</v>
      </c>
      <c r="F11" s="1">
        <v>45124</v>
      </c>
      <c r="G11" s="1">
        <v>46475</v>
      </c>
      <c r="H11" t="str">
        <f t="shared" si="2"/>
        <v>contact10@vendor.com</v>
      </c>
    </row>
    <row r="12" spans="1:8">
      <c r="A12" t="s">
        <v>17</v>
      </c>
      <c r="B12" t="str">
        <f t="shared" si="0"/>
        <v>Vendor_011</v>
      </c>
      <c r="C12" t="s">
        <v>307</v>
      </c>
      <c r="D12" t="str">
        <f t="shared" si="1"/>
        <v>East</v>
      </c>
      <c r="E12">
        <v>3639808</v>
      </c>
      <c r="F12" s="1">
        <v>45086</v>
      </c>
      <c r="G12" s="1">
        <v>45686</v>
      </c>
      <c r="H12" t="str">
        <f t="shared" si="2"/>
        <v>contact11@vendor.com</v>
      </c>
    </row>
    <row r="13" spans="1:8">
      <c r="A13" t="s">
        <v>18</v>
      </c>
      <c r="B13" t="str">
        <f t="shared" si="0"/>
        <v>Vendor_012</v>
      </c>
      <c r="C13" t="s">
        <v>307</v>
      </c>
      <c r="D13" t="str">
        <f t="shared" si="1"/>
        <v>East</v>
      </c>
      <c r="E13">
        <v>3362434</v>
      </c>
      <c r="F13" s="1">
        <v>44510</v>
      </c>
      <c r="G13" s="1">
        <v>45196</v>
      </c>
      <c r="H13" t="str">
        <f t="shared" si="2"/>
        <v>contact12@vendor.com</v>
      </c>
    </row>
    <row r="14" spans="1:8">
      <c r="A14" t="s">
        <v>19</v>
      </c>
      <c r="B14" t="str">
        <f t="shared" si="0"/>
        <v>Vendor_013</v>
      </c>
      <c r="C14" t="s">
        <v>307</v>
      </c>
      <c r="D14" t="str">
        <f t="shared" si="1"/>
        <v>East</v>
      </c>
      <c r="E14">
        <v>2382579</v>
      </c>
      <c r="F14" s="1">
        <v>44929</v>
      </c>
      <c r="G14" s="1">
        <v>46054</v>
      </c>
      <c r="H14" t="str">
        <f t="shared" si="2"/>
        <v>contact13@vendor.com</v>
      </c>
    </row>
    <row r="15" spans="1:8">
      <c r="A15" t="s">
        <v>20</v>
      </c>
      <c r="B15" t="str">
        <f t="shared" si="0"/>
        <v>Vendor_014</v>
      </c>
      <c r="C15" t="s">
        <v>307</v>
      </c>
      <c r="D15" t="str">
        <f t="shared" si="1"/>
        <v>East</v>
      </c>
      <c r="E15">
        <v>4565615</v>
      </c>
      <c r="F15" s="1">
        <v>44302</v>
      </c>
      <c r="G15" s="1">
        <v>46118</v>
      </c>
      <c r="H15" t="str">
        <f t="shared" si="2"/>
        <v>contact14@vendor.com</v>
      </c>
    </row>
    <row r="16" spans="1:8">
      <c r="A16" t="s">
        <v>21</v>
      </c>
      <c r="B16" t="str">
        <f t="shared" si="0"/>
        <v>Vendor_015</v>
      </c>
      <c r="C16" t="s">
        <v>307</v>
      </c>
      <c r="D16" t="str">
        <f t="shared" si="1"/>
        <v>East</v>
      </c>
      <c r="E16">
        <v>2690817</v>
      </c>
      <c r="F16" s="1">
        <v>44285</v>
      </c>
      <c r="G16" s="1">
        <v>44927</v>
      </c>
      <c r="H16" t="str">
        <f t="shared" si="2"/>
        <v>contact15@vendor.com</v>
      </c>
    </row>
    <row r="17" spans="1:8">
      <c r="A17" t="s">
        <v>22</v>
      </c>
      <c r="B17" t="str">
        <f t="shared" si="0"/>
        <v>Vendor_016</v>
      </c>
      <c r="C17" t="s">
        <v>307</v>
      </c>
      <c r="D17" t="str">
        <f t="shared" si="1"/>
        <v>East</v>
      </c>
      <c r="E17">
        <v>3489558</v>
      </c>
      <c r="F17" s="1">
        <v>44635</v>
      </c>
      <c r="G17" s="1">
        <v>45309</v>
      </c>
      <c r="H17" t="str">
        <f t="shared" si="2"/>
        <v>contact16@vendor.com</v>
      </c>
    </row>
    <row r="18" spans="1:8">
      <c r="A18" t="s">
        <v>23</v>
      </c>
      <c r="B18" t="str">
        <f t="shared" si="0"/>
        <v>Vendor_017</v>
      </c>
      <c r="C18" t="s">
        <v>307</v>
      </c>
      <c r="D18" t="str">
        <f t="shared" si="1"/>
        <v>East</v>
      </c>
      <c r="E18">
        <v>1988194</v>
      </c>
      <c r="F18" s="1">
        <v>45143</v>
      </c>
      <c r="G18" s="1">
        <v>46888</v>
      </c>
      <c r="H18" t="str">
        <f t="shared" si="2"/>
        <v>contact17@vendor.com</v>
      </c>
    </row>
    <row r="19" spans="1:8">
      <c r="A19" t="s">
        <v>24</v>
      </c>
      <c r="B19" t="str">
        <f t="shared" si="0"/>
        <v>Vendor_018</v>
      </c>
      <c r="C19" t="s">
        <v>307</v>
      </c>
      <c r="D19" t="str">
        <f t="shared" si="1"/>
        <v>East</v>
      </c>
      <c r="E19">
        <v>1399198</v>
      </c>
      <c r="F19" s="1">
        <v>45147</v>
      </c>
      <c r="G19" s="1">
        <v>46753</v>
      </c>
      <c r="H19" t="str">
        <f t="shared" si="2"/>
        <v>contact18@vendor.com</v>
      </c>
    </row>
    <row r="20" spans="1:8">
      <c r="A20" t="s">
        <v>25</v>
      </c>
      <c r="B20" t="str">
        <f t="shared" si="0"/>
        <v>Vendor_019</v>
      </c>
      <c r="C20" t="s">
        <v>307</v>
      </c>
      <c r="D20" t="str">
        <f t="shared" si="1"/>
        <v>East</v>
      </c>
      <c r="E20">
        <v>1804957</v>
      </c>
      <c r="F20" s="1">
        <v>44950</v>
      </c>
      <c r="G20" s="1">
        <v>46242</v>
      </c>
      <c r="H20" t="str">
        <f t="shared" si="2"/>
        <v>contact19@vendor.com</v>
      </c>
    </row>
    <row r="21" spans="1:8">
      <c r="A21" t="s">
        <v>26</v>
      </c>
      <c r="B21" t="str">
        <f t="shared" si="0"/>
        <v>Vendor_020</v>
      </c>
      <c r="C21" t="s">
        <v>307</v>
      </c>
      <c r="D21" t="str">
        <f t="shared" si="1"/>
        <v>East</v>
      </c>
      <c r="E21">
        <v>2678589</v>
      </c>
      <c r="F21" s="1">
        <v>44209</v>
      </c>
      <c r="G21" s="1">
        <v>44785</v>
      </c>
      <c r="H21" t="str">
        <f t="shared" si="2"/>
        <v>contact20@vendor.com</v>
      </c>
    </row>
    <row r="22" spans="1:8">
      <c r="A22" t="s">
        <v>27</v>
      </c>
      <c r="B22" t="str">
        <f t="shared" si="0"/>
        <v>Vendor_021</v>
      </c>
      <c r="C22" t="s">
        <v>307</v>
      </c>
      <c r="D22" t="str">
        <f t="shared" si="1"/>
        <v>East</v>
      </c>
      <c r="E22">
        <v>1107895</v>
      </c>
      <c r="F22" s="1">
        <v>44401</v>
      </c>
      <c r="G22" s="1">
        <v>44885</v>
      </c>
      <c r="H22" t="str">
        <f t="shared" si="2"/>
        <v>contact21@vendor.com</v>
      </c>
    </row>
    <row r="23" spans="1:8">
      <c r="A23" t="s">
        <v>28</v>
      </c>
      <c r="B23" t="str">
        <f t="shared" si="0"/>
        <v>Vendor_022</v>
      </c>
      <c r="C23" t="s">
        <v>307</v>
      </c>
      <c r="D23" t="str">
        <f t="shared" si="1"/>
        <v>East</v>
      </c>
      <c r="E23">
        <v>2009916</v>
      </c>
      <c r="F23" s="1">
        <v>44531</v>
      </c>
      <c r="G23" s="1">
        <v>46321</v>
      </c>
      <c r="H23" t="str">
        <f t="shared" si="2"/>
        <v>contact22@vendor.com</v>
      </c>
    </row>
    <row r="24" spans="1:8">
      <c r="A24" t="s">
        <v>29</v>
      </c>
      <c r="B24" t="str">
        <f t="shared" si="0"/>
        <v>Vendor_023</v>
      </c>
      <c r="C24" t="s">
        <v>307</v>
      </c>
      <c r="D24" t="str">
        <f t="shared" si="1"/>
        <v>East</v>
      </c>
      <c r="E24">
        <v>1143131</v>
      </c>
      <c r="F24" s="1">
        <v>44559</v>
      </c>
      <c r="G24" s="1">
        <v>45816</v>
      </c>
      <c r="H24" t="str">
        <f t="shared" si="2"/>
        <v>contact23@vendor.com</v>
      </c>
    </row>
    <row r="25" spans="1:8">
      <c r="A25" t="s">
        <v>30</v>
      </c>
      <c r="B25" t="str">
        <f t="shared" si="0"/>
        <v>Vendor_024</v>
      </c>
      <c r="C25" t="s">
        <v>307</v>
      </c>
      <c r="D25" t="str">
        <f t="shared" si="1"/>
        <v>East</v>
      </c>
      <c r="E25">
        <v>2603662</v>
      </c>
      <c r="F25" s="1">
        <v>44440</v>
      </c>
      <c r="G25" s="1">
        <v>45942</v>
      </c>
      <c r="H25" t="str">
        <f t="shared" si="2"/>
        <v>contact24@vendor.com</v>
      </c>
    </row>
    <row r="26" spans="1:8">
      <c r="A26" t="s">
        <v>31</v>
      </c>
      <c r="B26" t="str">
        <f t="shared" si="0"/>
        <v>Vendor_025</v>
      </c>
      <c r="C26" t="s">
        <v>307</v>
      </c>
      <c r="D26" t="str">
        <f t="shared" si="1"/>
        <v>East</v>
      </c>
      <c r="E26">
        <v>4832219</v>
      </c>
      <c r="F26" s="1">
        <v>44734</v>
      </c>
      <c r="G26" s="1">
        <v>45308</v>
      </c>
      <c r="H26" t="str">
        <f t="shared" si="2"/>
        <v>contact25@vendor.com</v>
      </c>
    </row>
    <row r="27" spans="1:8">
      <c r="A27" t="s">
        <v>32</v>
      </c>
      <c r="B27" t="str">
        <f t="shared" si="0"/>
        <v>Vendor_026</v>
      </c>
      <c r="C27" t="s">
        <v>307</v>
      </c>
      <c r="D27" t="str">
        <f t="shared" si="1"/>
        <v>East</v>
      </c>
      <c r="E27">
        <v>3480222</v>
      </c>
      <c r="F27" s="1">
        <v>44621</v>
      </c>
      <c r="G27" s="1">
        <v>46345</v>
      </c>
      <c r="H27" t="str">
        <f t="shared" si="2"/>
        <v>contact26@vendor.com</v>
      </c>
    </row>
    <row r="28" spans="1:8">
      <c r="A28" t="s">
        <v>33</v>
      </c>
      <c r="B28" t="str">
        <f t="shared" si="0"/>
        <v>Vendor_027</v>
      </c>
      <c r="C28" t="s">
        <v>307</v>
      </c>
      <c r="D28" t="str">
        <f t="shared" si="1"/>
        <v>East</v>
      </c>
      <c r="E28">
        <v>2844664</v>
      </c>
      <c r="F28" s="1">
        <v>44216</v>
      </c>
      <c r="G28" s="1">
        <v>45243</v>
      </c>
      <c r="H28" t="str">
        <f t="shared" si="2"/>
        <v>contact27@vendor.com</v>
      </c>
    </row>
    <row r="29" spans="1:8">
      <c r="A29" t="s">
        <v>34</v>
      </c>
      <c r="B29" t="str">
        <f t="shared" si="0"/>
        <v>Vendor_028</v>
      </c>
      <c r="C29" t="s">
        <v>307</v>
      </c>
      <c r="D29" t="str">
        <f t="shared" si="1"/>
        <v>East</v>
      </c>
      <c r="E29">
        <v>2378882</v>
      </c>
      <c r="F29" s="1">
        <v>44898</v>
      </c>
      <c r="G29" s="1">
        <v>46494</v>
      </c>
      <c r="H29" t="str">
        <f t="shared" si="2"/>
        <v>contact28@vendor.com</v>
      </c>
    </row>
    <row r="30" spans="1:8">
      <c r="A30" t="s">
        <v>35</v>
      </c>
      <c r="B30" t="str">
        <f t="shared" si="0"/>
        <v>Vendor_029</v>
      </c>
      <c r="C30" t="s">
        <v>307</v>
      </c>
      <c r="D30" t="str">
        <f t="shared" si="1"/>
        <v>East</v>
      </c>
      <c r="E30">
        <v>1077549</v>
      </c>
      <c r="F30" s="1">
        <v>44938</v>
      </c>
      <c r="G30" s="1">
        <v>46661</v>
      </c>
      <c r="H30" t="str">
        <f t="shared" si="2"/>
        <v>contact29@vendor.com</v>
      </c>
    </row>
    <row r="31" spans="1:8">
      <c r="A31" t="s">
        <v>36</v>
      </c>
      <c r="B31" t="str">
        <f t="shared" si="0"/>
        <v>Vendor_030</v>
      </c>
      <c r="C31" t="s">
        <v>307</v>
      </c>
      <c r="D31" t="str">
        <f t="shared" si="1"/>
        <v>East</v>
      </c>
      <c r="E31">
        <v>940767</v>
      </c>
      <c r="F31" s="1">
        <v>44229</v>
      </c>
      <c r="G31" s="1">
        <v>45844</v>
      </c>
      <c r="H31" t="str">
        <f t="shared" si="2"/>
        <v>contact30@vendor.com</v>
      </c>
    </row>
    <row r="32" spans="1:8">
      <c r="A32" t="s">
        <v>37</v>
      </c>
      <c r="B32" t="str">
        <f t="shared" si="0"/>
        <v>Vendor_031</v>
      </c>
      <c r="C32" t="s">
        <v>307</v>
      </c>
      <c r="D32" t="str">
        <f t="shared" si="1"/>
        <v>East</v>
      </c>
      <c r="E32">
        <v>307728</v>
      </c>
      <c r="F32" s="1">
        <v>45185</v>
      </c>
      <c r="G32" s="1">
        <v>45707</v>
      </c>
      <c r="H32" t="str">
        <f t="shared" si="2"/>
        <v>contact31@vendor.com</v>
      </c>
    </row>
    <row r="33" spans="1:8">
      <c r="A33" t="s">
        <v>38</v>
      </c>
      <c r="B33" t="str">
        <f t="shared" si="0"/>
        <v>Vendor_032</v>
      </c>
      <c r="C33" t="s">
        <v>307</v>
      </c>
      <c r="D33" t="str">
        <f t="shared" si="1"/>
        <v>East</v>
      </c>
      <c r="E33">
        <v>587054</v>
      </c>
      <c r="F33" s="1">
        <v>44938</v>
      </c>
      <c r="G33" s="1">
        <v>45335</v>
      </c>
      <c r="H33" t="str">
        <f t="shared" si="2"/>
        <v>contact32@vendor.com</v>
      </c>
    </row>
    <row r="34" spans="1:8">
      <c r="A34" t="s">
        <v>39</v>
      </c>
      <c r="B34" t="str">
        <f t="shared" si="0"/>
        <v>Vendor_033</v>
      </c>
      <c r="C34" t="s">
        <v>307</v>
      </c>
      <c r="D34" t="str">
        <f t="shared" si="1"/>
        <v>East</v>
      </c>
      <c r="E34">
        <v>383868</v>
      </c>
      <c r="F34" s="1">
        <v>44398</v>
      </c>
      <c r="G34" s="1">
        <v>45798</v>
      </c>
      <c r="H34" t="str">
        <f t="shared" si="2"/>
        <v>contact33@vendor.com</v>
      </c>
    </row>
    <row r="35" spans="1:8">
      <c r="A35" t="s">
        <v>40</v>
      </c>
      <c r="B35" t="str">
        <f t="shared" si="0"/>
        <v>Vendor_034</v>
      </c>
      <c r="C35" t="s">
        <v>307</v>
      </c>
      <c r="D35" t="str">
        <f t="shared" si="1"/>
        <v>East</v>
      </c>
      <c r="E35">
        <v>316419</v>
      </c>
      <c r="F35" s="1">
        <v>44323</v>
      </c>
      <c r="G35" s="1">
        <v>45260</v>
      </c>
      <c r="H35" t="str">
        <f t="shared" si="2"/>
        <v>contact34@vendor.com</v>
      </c>
    </row>
    <row r="36" spans="1:8">
      <c r="A36" t="s">
        <v>41</v>
      </c>
      <c r="B36" t="str">
        <f t="shared" si="0"/>
        <v>Vendor_035</v>
      </c>
      <c r="C36" t="s">
        <v>307</v>
      </c>
      <c r="D36" t="str">
        <f t="shared" si="1"/>
        <v>East</v>
      </c>
      <c r="E36">
        <v>867497</v>
      </c>
      <c r="F36" s="1">
        <v>44575</v>
      </c>
      <c r="G36" s="1">
        <v>46147</v>
      </c>
      <c r="H36" t="str">
        <f t="shared" si="2"/>
        <v>contact35@vendor.com</v>
      </c>
    </row>
    <row r="37" spans="1:8">
      <c r="A37" t="s">
        <v>42</v>
      </c>
      <c r="B37" t="str">
        <f t="shared" si="0"/>
        <v>Vendor_036</v>
      </c>
      <c r="C37" t="s">
        <v>307</v>
      </c>
      <c r="D37" t="str">
        <f t="shared" si="1"/>
        <v>East</v>
      </c>
      <c r="E37">
        <v>857077</v>
      </c>
      <c r="F37" s="1">
        <v>45044</v>
      </c>
      <c r="G37" s="1">
        <v>46030</v>
      </c>
      <c r="H37" t="str">
        <f t="shared" si="2"/>
        <v>contact36@vendor.com</v>
      </c>
    </row>
    <row r="38" spans="1:8">
      <c r="A38" t="s">
        <v>43</v>
      </c>
      <c r="B38" t="str">
        <f t="shared" si="0"/>
        <v>Vendor_037</v>
      </c>
      <c r="C38" t="s">
        <v>307</v>
      </c>
      <c r="D38" t="str">
        <f t="shared" si="1"/>
        <v>East</v>
      </c>
      <c r="E38">
        <v>986843</v>
      </c>
      <c r="F38" s="1">
        <v>44948</v>
      </c>
      <c r="G38" s="1">
        <v>46392</v>
      </c>
      <c r="H38" t="str">
        <f t="shared" si="2"/>
        <v>contact37@vendor.com</v>
      </c>
    </row>
    <row r="39" spans="1:8">
      <c r="A39" t="s">
        <v>44</v>
      </c>
      <c r="B39" t="str">
        <f t="shared" si="0"/>
        <v>Vendor_038</v>
      </c>
      <c r="C39" t="s">
        <v>307</v>
      </c>
      <c r="D39" t="str">
        <f t="shared" si="1"/>
        <v>East</v>
      </c>
      <c r="E39">
        <v>913891</v>
      </c>
      <c r="F39" s="1">
        <v>44608</v>
      </c>
      <c r="G39" s="1">
        <v>45148</v>
      </c>
      <c r="H39" t="str">
        <f t="shared" si="2"/>
        <v>contact38@vendor.com</v>
      </c>
    </row>
    <row r="40" spans="1:8">
      <c r="A40" t="s">
        <v>45</v>
      </c>
      <c r="B40" t="str">
        <f t="shared" si="0"/>
        <v>Vendor_039</v>
      </c>
      <c r="C40" t="s">
        <v>307</v>
      </c>
      <c r="D40" t="str">
        <f t="shared" si="1"/>
        <v>East</v>
      </c>
      <c r="E40">
        <v>4148318</v>
      </c>
      <c r="F40" s="1">
        <v>44567</v>
      </c>
      <c r="G40" s="1">
        <v>45859</v>
      </c>
      <c r="H40" t="str">
        <f t="shared" si="2"/>
        <v>contact39@vendor.com</v>
      </c>
    </row>
    <row r="41" spans="1:8">
      <c r="A41" t="s">
        <v>46</v>
      </c>
      <c r="B41" t="str">
        <f t="shared" si="0"/>
        <v>Vendor_040</v>
      </c>
      <c r="C41" t="s">
        <v>307</v>
      </c>
      <c r="D41" t="str">
        <f t="shared" si="1"/>
        <v>East</v>
      </c>
      <c r="E41">
        <v>2357778</v>
      </c>
      <c r="F41" s="1">
        <v>44470</v>
      </c>
      <c r="G41" s="1">
        <v>45605</v>
      </c>
      <c r="H41" t="str">
        <f t="shared" si="2"/>
        <v>contact40@vendor.com</v>
      </c>
    </row>
    <row r="42" spans="1:8">
      <c r="A42" t="s">
        <v>47</v>
      </c>
      <c r="B42" t="str">
        <f t="shared" si="0"/>
        <v>Vendor_041</v>
      </c>
      <c r="C42" t="s">
        <v>307</v>
      </c>
      <c r="D42" t="str">
        <f t="shared" si="1"/>
        <v>East</v>
      </c>
      <c r="E42">
        <v>1207576</v>
      </c>
      <c r="F42" s="1">
        <v>44310</v>
      </c>
      <c r="G42" s="1">
        <v>45954</v>
      </c>
      <c r="H42" t="str">
        <f t="shared" si="2"/>
        <v>contact41@vendor.com</v>
      </c>
    </row>
    <row r="43" spans="1:8">
      <c r="A43" t="s">
        <v>48</v>
      </c>
      <c r="B43" t="str">
        <f t="shared" si="0"/>
        <v>Vendor_042</v>
      </c>
      <c r="C43" t="s">
        <v>307</v>
      </c>
      <c r="D43" t="str">
        <f t="shared" si="1"/>
        <v>East</v>
      </c>
      <c r="E43">
        <v>4282083</v>
      </c>
      <c r="F43" s="1">
        <v>44292</v>
      </c>
      <c r="G43" s="1">
        <v>44815</v>
      </c>
      <c r="H43" t="str">
        <f t="shared" si="2"/>
        <v>contact42@vendor.com</v>
      </c>
    </row>
    <row r="44" spans="1:8">
      <c r="A44" t="s">
        <v>49</v>
      </c>
      <c r="B44" t="str">
        <f t="shared" si="0"/>
        <v>Vendor_043</v>
      </c>
      <c r="C44" t="s">
        <v>307</v>
      </c>
      <c r="D44" t="str">
        <f t="shared" si="1"/>
        <v>East</v>
      </c>
      <c r="E44">
        <v>2984145</v>
      </c>
      <c r="F44" s="1">
        <v>44444</v>
      </c>
      <c r="G44" s="1">
        <v>45728</v>
      </c>
      <c r="H44" t="str">
        <f t="shared" si="2"/>
        <v>contact43@vendor.com</v>
      </c>
    </row>
    <row r="45" spans="1:8">
      <c r="A45" t="s">
        <v>50</v>
      </c>
      <c r="B45" t="str">
        <f t="shared" si="0"/>
        <v>Vendor_044</v>
      </c>
      <c r="C45" t="s">
        <v>307</v>
      </c>
      <c r="D45" t="str">
        <f t="shared" si="1"/>
        <v>East</v>
      </c>
      <c r="E45">
        <v>3582752</v>
      </c>
      <c r="F45" s="1">
        <v>45008</v>
      </c>
      <c r="G45" s="1">
        <v>45844</v>
      </c>
      <c r="H45" t="str">
        <f t="shared" si="2"/>
        <v>contact44@vendor.com</v>
      </c>
    </row>
    <row r="46" spans="1:8">
      <c r="A46" t="s">
        <v>51</v>
      </c>
      <c r="B46" t="str">
        <f t="shared" si="0"/>
        <v>Vendor_045</v>
      </c>
      <c r="C46" t="s">
        <v>307</v>
      </c>
      <c r="D46" t="str">
        <f t="shared" si="1"/>
        <v>East</v>
      </c>
      <c r="E46">
        <v>161294</v>
      </c>
      <c r="F46" s="1">
        <v>45081</v>
      </c>
      <c r="G46" s="1">
        <v>46353</v>
      </c>
      <c r="H46" t="str">
        <f t="shared" si="2"/>
        <v>contact45@vendor.com</v>
      </c>
    </row>
    <row r="47" spans="1:8">
      <c r="A47" t="s">
        <v>52</v>
      </c>
      <c r="B47" t="str">
        <f t="shared" si="0"/>
        <v>Vendor_046</v>
      </c>
      <c r="C47" t="s">
        <v>307</v>
      </c>
      <c r="D47" t="str">
        <f t="shared" si="1"/>
        <v>East</v>
      </c>
      <c r="E47">
        <v>188730</v>
      </c>
      <c r="F47" s="1">
        <v>44730</v>
      </c>
      <c r="G47" s="1">
        <v>45992</v>
      </c>
      <c r="H47" t="str">
        <f t="shared" si="2"/>
        <v>contact46@vendor.com</v>
      </c>
    </row>
    <row r="48" spans="1:8">
      <c r="A48" t="s">
        <v>53</v>
      </c>
      <c r="B48" t="str">
        <f t="shared" si="0"/>
        <v>Vendor_047</v>
      </c>
      <c r="C48" t="s">
        <v>307</v>
      </c>
      <c r="D48" t="str">
        <f t="shared" si="1"/>
        <v>East</v>
      </c>
      <c r="E48">
        <v>147891</v>
      </c>
      <c r="F48" s="1">
        <v>44222</v>
      </c>
      <c r="G48" s="1">
        <v>44969</v>
      </c>
      <c r="H48" t="str">
        <f t="shared" si="2"/>
        <v>contact47@vendor.com</v>
      </c>
    </row>
    <row r="49" spans="1:8">
      <c r="A49" t="s">
        <v>54</v>
      </c>
      <c r="B49" t="str">
        <f t="shared" si="0"/>
        <v>Vendor_048</v>
      </c>
      <c r="C49" t="s">
        <v>307</v>
      </c>
      <c r="D49" t="str">
        <f t="shared" si="1"/>
        <v>East</v>
      </c>
      <c r="E49">
        <v>111608</v>
      </c>
      <c r="F49" s="1">
        <v>44845</v>
      </c>
      <c r="G49" s="1">
        <v>46361</v>
      </c>
      <c r="H49" t="str">
        <f t="shared" si="2"/>
        <v>contact48@vendor.com</v>
      </c>
    </row>
    <row r="50" spans="1:8">
      <c r="A50" t="s">
        <v>55</v>
      </c>
      <c r="B50" t="str">
        <f t="shared" si="0"/>
        <v>Vendor_049</v>
      </c>
      <c r="C50" t="s">
        <v>307</v>
      </c>
      <c r="D50" t="str">
        <f t="shared" si="1"/>
        <v>East</v>
      </c>
      <c r="E50">
        <v>143411</v>
      </c>
      <c r="F50" s="1">
        <v>44805</v>
      </c>
      <c r="G50" s="1">
        <v>45677</v>
      </c>
      <c r="H50" t="str">
        <f t="shared" si="2"/>
        <v>contact49@vendor.com</v>
      </c>
    </row>
    <row r="51" spans="1:8">
      <c r="A51" t="s">
        <v>56</v>
      </c>
      <c r="B51" t="str">
        <f t="shared" si="0"/>
        <v>Vendor_050</v>
      </c>
      <c r="C51" t="s">
        <v>307</v>
      </c>
      <c r="D51" t="str">
        <f t="shared" si="1"/>
        <v>East</v>
      </c>
      <c r="E51">
        <v>219952</v>
      </c>
      <c r="F51" s="1">
        <v>45008</v>
      </c>
      <c r="G51" s="1">
        <v>46415</v>
      </c>
      <c r="H51" t="str">
        <f t="shared" si="2"/>
        <v>contact50@vendor.com</v>
      </c>
    </row>
    <row r="52" spans="1:8">
      <c r="A52" t="s">
        <v>57</v>
      </c>
      <c r="B52" t="str">
        <f t="shared" si="0"/>
        <v>Vendor_051</v>
      </c>
      <c r="C52" t="s">
        <v>307</v>
      </c>
      <c r="D52" t="str">
        <f t="shared" si="1"/>
        <v>East</v>
      </c>
      <c r="E52">
        <v>123767</v>
      </c>
      <c r="F52" s="1">
        <v>45076</v>
      </c>
      <c r="G52" s="1">
        <v>46869</v>
      </c>
      <c r="H52" t="str">
        <f t="shared" si="2"/>
        <v>contact51@vendor.com</v>
      </c>
    </row>
    <row r="53" spans="1:8">
      <c r="A53" t="s">
        <v>58</v>
      </c>
      <c r="B53" t="str">
        <f t="shared" si="0"/>
        <v>Vendor_052</v>
      </c>
      <c r="C53" t="s">
        <v>307</v>
      </c>
      <c r="D53" t="str">
        <f t="shared" si="1"/>
        <v>East</v>
      </c>
      <c r="E53">
        <v>143578</v>
      </c>
      <c r="F53" s="1">
        <v>44461</v>
      </c>
      <c r="G53" s="1">
        <v>45468</v>
      </c>
      <c r="H53" t="str">
        <f t="shared" si="2"/>
        <v>contact52@vendor.com</v>
      </c>
    </row>
    <row r="54" spans="1:8">
      <c r="A54" t="s">
        <v>59</v>
      </c>
      <c r="B54" t="str">
        <f t="shared" si="0"/>
        <v>Vendor_053</v>
      </c>
      <c r="C54" t="s">
        <v>307</v>
      </c>
      <c r="D54" t="str">
        <f t="shared" si="1"/>
        <v>East</v>
      </c>
      <c r="E54">
        <v>66858</v>
      </c>
      <c r="F54" s="1">
        <v>44426</v>
      </c>
      <c r="G54" s="1">
        <v>45025</v>
      </c>
      <c r="H54" t="str">
        <f t="shared" si="2"/>
        <v>contact53@vendor.com</v>
      </c>
    </row>
    <row r="55" spans="1:8">
      <c r="A55" t="s">
        <v>60</v>
      </c>
      <c r="B55" t="str">
        <f t="shared" si="0"/>
        <v>Vendor_054</v>
      </c>
      <c r="C55" t="s">
        <v>307</v>
      </c>
      <c r="D55" t="str">
        <f t="shared" si="1"/>
        <v>East</v>
      </c>
      <c r="E55">
        <v>82987</v>
      </c>
      <c r="F55" s="1">
        <v>44208</v>
      </c>
      <c r="G55" s="1">
        <v>45079</v>
      </c>
      <c r="H55" t="str">
        <f t="shared" si="2"/>
        <v>contact54@vendor.com</v>
      </c>
    </row>
    <row r="56" spans="1:8">
      <c r="A56" t="s">
        <v>61</v>
      </c>
      <c r="B56" t="str">
        <f t="shared" si="0"/>
        <v>Vendor_055</v>
      </c>
      <c r="C56" t="s">
        <v>307</v>
      </c>
      <c r="D56" t="str">
        <f t="shared" si="1"/>
        <v>East</v>
      </c>
      <c r="E56">
        <v>198869</v>
      </c>
      <c r="F56" s="1">
        <v>45102</v>
      </c>
      <c r="G56" s="1">
        <v>46498</v>
      </c>
      <c r="H56" t="str">
        <f t="shared" si="2"/>
        <v>contact55@vendor.com</v>
      </c>
    </row>
    <row r="57" spans="1:8">
      <c r="A57" t="s">
        <v>62</v>
      </c>
      <c r="B57" t="str">
        <f t="shared" si="0"/>
        <v>Vendor_056</v>
      </c>
      <c r="C57" t="s">
        <v>307</v>
      </c>
      <c r="D57" t="str">
        <f t="shared" si="1"/>
        <v>East</v>
      </c>
      <c r="E57">
        <v>110052</v>
      </c>
      <c r="F57" s="1">
        <v>44310</v>
      </c>
      <c r="G57" s="1">
        <v>46126</v>
      </c>
      <c r="H57" t="str">
        <f t="shared" si="2"/>
        <v>contact56@vendor.com</v>
      </c>
    </row>
    <row r="58" spans="1:8">
      <c r="A58" t="s">
        <v>63</v>
      </c>
      <c r="B58" t="str">
        <f t="shared" si="0"/>
        <v>Vendor_057</v>
      </c>
      <c r="C58" t="s">
        <v>307</v>
      </c>
      <c r="D58" t="str">
        <f t="shared" si="1"/>
        <v>East</v>
      </c>
      <c r="E58">
        <v>225791</v>
      </c>
      <c r="F58" s="1">
        <v>44777</v>
      </c>
      <c r="G58" s="1">
        <v>45989</v>
      </c>
      <c r="H58" t="str">
        <f t="shared" si="2"/>
        <v>contact57@vendor.com</v>
      </c>
    </row>
    <row r="59" spans="1:8">
      <c r="A59" t="s">
        <v>64</v>
      </c>
      <c r="B59" t="str">
        <f t="shared" si="0"/>
        <v>Vendor_058</v>
      </c>
      <c r="C59" t="s">
        <v>307</v>
      </c>
      <c r="D59" t="str">
        <f t="shared" si="1"/>
        <v>East</v>
      </c>
      <c r="E59">
        <v>943736</v>
      </c>
      <c r="F59" s="1">
        <v>44697</v>
      </c>
      <c r="G59" s="1">
        <v>46204</v>
      </c>
      <c r="H59" t="str">
        <f t="shared" si="2"/>
        <v>contact58@vendor.com</v>
      </c>
    </row>
    <row r="60" spans="1:8">
      <c r="A60" t="s">
        <v>65</v>
      </c>
      <c r="B60" t="str">
        <f t="shared" si="0"/>
        <v>Vendor_059</v>
      </c>
      <c r="C60" t="s">
        <v>307</v>
      </c>
      <c r="D60" t="str">
        <f t="shared" si="1"/>
        <v>East</v>
      </c>
      <c r="E60">
        <v>504482</v>
      </c>
      <c r="F60" s="1">
        <v>45044</v>
      </c>
      <c r="G60" s="1">
        <v>46502</v>
      </c>
      <c r="H60" t="str">
        <f t="shared" si="2"/>
        <v>contact59@vendor.com</v>
      </c>
    </row>
    <row r="61" spans="1:8">
      <c r="A61" t="s">
        <v>66</v>
      </c>
      <c r="B61" t="str">
        <f t="shared" si="0"/>
        <v>Vendor_060</v>
      </c>
      <c r="C61" t="s">
        <v>307</v>
      </c>
      <c r="D61" t="str">
        <f t="shared" si="1"/>
        <v>East</v>
      </c>
      <c r="E61">
        <v>967713</v>
      </c>
      <c r="F61" s="1">
        <v>44684</v>
      </c>
      <c r="G61" s="1">
        <v>45121</v>
      </c>
      <c r="H61" t="str">
        <f t="shared" si="2"/>
        <v>contact60@vendor.com</v>
      </c>
    </row>
    <row r="62" spans="1:8">
      <c r="A62" t="s">
        <v>67</v>
      </c>
      <c r="B62" t="str">
        <f t="shared" si="0"/>
        <v>Vendor_061</v>
      </c>
      <c r="C62" t="s">
        <v>307</v>
      </c>
      <c r="D62" t="str">
        <f t="shared" si="1"/>
        <v>East</v>
      </c>
      <c r="E62">
        <v>601352</v>
      </c>
      <c r="F62" s="1">
        <v>44251</v>
      </c>
      <c r="G62" s="1">
        <v>45624</v>
      </c>
      <c r="H62" t="str">
        <f t="shared" si="2"/>
        <v>contact61@vendor.com</v>
      </c>
    </row>
    <row r="63" spans="1:8">
      <c r="A63" t="s">
        <v>68</v>
      </c>
      <c r="B63" t="str">
        <f t="shared" si="0"/>
        <v>Vendor_062</v>
      </c>
      <c r="C63" t="s">
        <v>307</v>
      </c>
      <c r="D63" t="str">
        <f t="shared" si="1"/>
        <v>East</v>
      </c>
      <c r="E63">
        <v>642368</v>
      </c>
      <c r="F63" s="1">
        <v>44462</v>
      </c>
      <c r="G63" s="1">
        <v>45700</v>
      </c>
      <c r="H63" t="str">
        <f t="shared" si="2"/>
        <v>contact62@vendor.com</v>
      </c>
    </row>
    <row r="64" spans="1:8">
      <c r="A64" t="s">
        <v>69</v>
      </c>
      <c r="B64" t="str">
        <f t="shared" si="0"/>
        <v>Vendor_063</v>
      </c>
      <c r="C64" t="s">
        <v>307</v>
      </c>
      <c r="D64" t="str">
        <f t="shared" si="1"/>
        <v>East</v>
      </c>
      <c r="E64">
        <v>979044</v>
      </c>
      <c r="F64" s="1">
        <v>44737</v>
      </c>
      <c r="G64" s="1">
        <v>45704</v>
      </c>
      <c r="H64" t="str">
        <f t="shared" si="2"/>
        <v>contact63@vendor.com</v>
      </c>
    </row>
    <row r="65" spans="1:8">
      <c r="A65" t="s">
        <v>70</v>
      </c>
      <c r="B65" t="str">
        <f t="shared" si="0"/>
        <v>Vendor_064</v>
      </c>
      <c r="C65" t="s">
        <v>307</v>
      </c>
      <c r="D65" t="str">
        <f t="shared" si="1"/>
        <v>East</v>
      </c>
      <c r="E65">
        <v>584191</v>
      </c>
      <c r="F65" s="1">
        <v>44331</v>
      </c>
      <c r="G65" s="1">
        <v>45746</v>
      </c>
      <c r="H65" t="str">
        <f t="shared" si="2"/>
        <v>contact64@vendor.com</v>
      </c>
    </row>
    <row r="66" spans="1:8">
      <c r="A66" t="s">
        <v>71</v>
      </c>
      <c r="B66" t="str">
        <f t="shared" si="0"/>
        <v>Vendor_065</v>
      </c>
      <c r="C66" t="s">
        <v>307</v>
      </c>
      <c r="D66" t="str">
        <f t="shared" si="1"/>
        <v>East</v>
      </c>
      <c r="E66">
        <v>757531</v>
      </c>
      <c r="F66" s="1">
        <v>44887</v>
      </c>
      <c r="G66" s="1">
        <v>46015</v>
      </c>
      <c r="H66" t="str">
        <f t="shared" si="2"/>
        <v>contact65@vendor.com</v>
      </c>
    </row>
    <row r="67" spans="1:8">
      <c r="A67" t="s">
        <v>72</v>
      </c>
      <c r="B67" t="str">
        <f t="shared" ref="B67:B130" si="3">_xlfn.CONCAT("Vendor_",TEXT(ROW()-1,"000"))</f>
        <v>Vendor_066</v>
      </c>
      <c r="C67" t="s">
        <v>307</v>
      </c>
      <c r="D67" t="str">
        <f t="shared" ref="D67:D130" si="4">CHOOSE(ROUNDUP((ROW()-1)/100,0),"East","South","West","North")</f>
        <v>East</v>
      </c>
      <c r="E67">
        <v>585873</v>
      </c>
      <c r="F67" s="1">
        <v>44612</v>
      </c>
      <c r="G67" s="1">
        <v>45088</v>
      </c>
      <c r="H67" t="str">
        <f t="shared" ref="H67:H130" si="5">_xlfn.CONCAT("contact",ROW()-1,"@vendor.com")</f>
        <v>contact66@vendor.com</v>
      </c>
    </row>
    <row r="68" spans="1:8">
      <c r="A68" t="s">
        <v>73</v>
      </c>
      <c r="B68" t="str">
        <f t="shared" si="3"/>
        <v>Vendor_067</v>
      </c>
      <c r="C68" t="s">
        <v>307</v>
      </c>
      <c r="D68" t="str">
        <f t="shared" si="4"/>
        <v>East</v>
      </c>
      <c r="E68">
        <v>808214</v>
      </c>
      <c r="F68" s="1">
        <v>44396</v>
      </c>
      <c r="G68" s="1">
        <v>45961</v>
      </c>
      <c r="H68" t="str">
        <f t="shared" si="5"/>
        <v>contact67@vendor.com</v>
      </c>
    </row>
    <row r="69" spans="1:8">
      <c r="A69" t="s">
        <v>74</v>
      </c>
      <c r="B69" t="str">
        <f t="shared" si="3"/>
        <v>Vendor_068</v>
      </c>
      <c r="C69" t="s">
        <v>307</v>
      </c>
      <c r="D69" t="str">
        <f t="shared" si="4"/>
        <v>East</v>
      </c>
      <c r="E69">
        <v>858337</v>
      </c>
      <c r="F69" s="1">
        <v>44809</v>
      </c>
      <c r="G69" s="1">
        <v>46223</v>
      </c>
      <c r="H69" t="str">
        <f t="shared" si="5"/>
        <v>contact68@vendor.com</v>
      </c>
    </row>
    <row r="70" spans="1:8">
      <c r="A70" t="s">
        <v>75</v>
      </c>
      <c r="B70" t="str">
        <f t="shared" si="3"/>
        <v>Vendor_069</v>
      </c>
      <c r="C70" t="s">
        <v>307</v>
      </c>
      <c r="D70" t="str">
        <f t="shared" si="4"/>
        <v>East</v>
      </c>
      <c r="E70">
        <v>859559</v>
      </c>
      <c r="F70" s="1">
        <v>44537</v>
      </c>
      <c r="G70" s="1">
        <v>45237</v>
      </c>
      <c r="H70" t="str">
        <f t="shared" si="5"/>
        <v>contact69@vendor.com</v>
      </c>
    </row>
    <row r="71" spans="1:8">
      <c r="A71" t="s">
        <v>76</v>
      </c>
      <c r="B71" t="str">
        <f t="shared" si="3"/>
        <v>Vendor_070</v>
      </c>
      <c r="C71" t="s">
        <v>307</v>
      </c>
      <c r="D71" t="str">
        <f t="shared" si="4"/>
        <v>East</v>
      </c>
      <c r="E71">
        <v>209370</v>
      </c>
      <c r="F71" s="1">
        <v>44221</v>
      </c>
      <c r="G71" s="1">
        <v>45739</v>
      </c>
      <c r="H71" t="str">
        <f t="shared" si="5"/>
        <v>contact70@vendor.com</v>
      </c>
    </row>
    <row r="72" spans="1:8">
      <c r="A72" t="s">
        <v>77</v>
      </c>
      <c r="B72" t="str">
        <f t="shared" si="3"/>
        <v>Vendor_071</v>
      </c>
      <c r="C72" t="s">
        <v>307</v>
      </c>
      <c r="D72" t="str">
        <f t="shared" si="4"/>
        <v>East</v>
      </c>
      <c r="E72">
        <v>420206</v>
      </c>
      <c r="F72" s="1">
        <v>44527</v>
      </c>
      <c r="G72" s="1">
        <v>46287</v>
      </c>
      <c r="H72" t="str">
        <f t="shared" si="5"/>
        <v>contact71@vendor.com</v>
      </c>
    </row>
    <row r="73" spans="1:8">
      <c r="A73" t="s">
        <v>78</v>
      </c>
      <c r="B73" t="str">
        <f t="shared" si="3"/>
        <v>Vendor_072</v>
      </c>
      <c r="C73" t="s">
        <v>307</v>
      </c>
      <c r="D73" t="str">
        <f t="shared" si="4"/>
        <v>East</v>
      </c>
      <c r="E73">
        <v>310917</v>
      </c>
      <c r="F73" s="1">
        <v>44602</v>
      </c>
      <c r="G73" s="1">
        <v>45148</v>
      </c>
      <c r="H73" t="str">
        <f t="shared" si="5"/>
        <v>contact72@vendor.com</v>
      </c>
    </row>
    <row r="74" spans="1:8">
      <c r="A74" t="s">
        <v>79</v>
      </c>
      <c r="B74" t="str">
        <f t="shared" si="3"/>
        <v>Vendor_073</v>
      </c>
      <c r="C74" t="s">
        <v>307</v>
      </c>
      <c r="D74" t="str">
        <f t="shared" si="4"/>
        <v>East</v>
      </c>
      <c r="E74">
        <v>948247</v>
      </c>
      <c r="F74" s="1">
        <v>45124</v>
      </c>
      <c r="G74" s="1">
        <v>46481</v>
      </c>
      <c r="H74" t="str">
        <f t="shared" si="5"/>
        <v>contact73@vendor.com</v>
      </c>
    </row>
    <row r="75" spans="1:8">
      <c r="A75" t="s">
        <v>80</v>
      </c>
      <c r="B75" t="str">
        <f t="shared" si="3"/>
        <v>Vendor_074</v>
      </c>
      <c r="C75" t="s">
        <v>307</v>
      </c>
      <c r="D75" t="str">
        <f t="shared" si="4"/>
        <v>East</v>
      </c>
      <c r="E75">
        <v>539339</v>
      </c>
      <c r="F75" s="1">
        <v>45094</v>
      </c>
      <c r="G75" s="1">
        <v>45581</v>
      </c>
      <c r="H75" t="str">
        <f t="shared" si="5"/>
        <v>contact74@vendor.com</v>
      </c>
    </row>
    <row r="76" spans="1:8">
      <c r="A76" t="s">
        <v>81</v>
      </c>
      <c r="B76" t="str">
        <f t="shared" si="3"/>
        <v>Vendor_075</v>
      </c>
      <c r="C76" t="s">
        <v>307</v>
      </c>
      <c r="D76" t="str">
        <f t="shared" si="4"/>
        <v>East</v>
      </c>
      <c r="E76">
        <v>907124</v>
      </c>
      <c r="F76" s="1">
        <v>44239</v>
      </c>
      <c r="G76" s="1">
        <v>44900</v>
      </c>
      <c r="H76" t="str">
        <f t="shared" si="5"/>
        <v>contact75@vendor.com</v>
      </c>
    </row>
    <row r="77" spans="1:8">
      <c r="A77" t="s">
        <v>82</v>
      </c>
      <c r="B77" t="str">
        <f t="shared" si="3"/>
        <v>Vendor_076</v>
      </c>
      <c r="C77" t="s">
        <v>307</v>
      </c>
      <c r="D77" t="str">
        <f t="shared" si="4"/>
        <v>East</v>
      </c>
      <c r="E77">
        <v>862772</v>
      </c>
      <c r="F77" s="1">
        <v>44518</v>
      </c>
      <c r="G77" s="1">
        <v>46290</v>
      </c>
      <c r="H77" t="str">
        <f t="shared" si="5"/>
        <v>contact76@vendor.com</v>
      </c>
    </row>
    <row r="78" spans="1:8">
      <c r="A78" t="s">
        <v>83</v>
      </c>
      <c r="B78" t="str">
        <f t="shared" si="3"/>
        <v>Vendor_077</v>
      </c>
      <c r="C78" t="s">
        <v>307</v>
      </c>
      <c r="D78" t="str">
        <f t="shared" si="4"/>
        <v>East</v>
      </c>
      <c r="E78">
        <v>832602</v>
      </c>
      <c r="F78" s="1">
        <v>44947</v>
      </c>
      <c r="G78" s="1">
        <v>45377</v>
      </c>
      <c r="H78" t="str">
        <f t="shared" si="5"/>
        <v>contact77@vendor.com</v>
      </c>
    </row>
    <row r="79" spans="1:8">
      <c r="A79" t="s">
        <v>84</v>
      </c>
      <c r="B79" t="str">
        <f t="shared" si="3"/>
        <v>Vendor_078</v>
      </c>
      <c r="C79" t="s">
        <v>307</v>
      </c>
      <c r="D79" t="str">
        <f t="shared" si="4"/>
        <v>East</v>
      </c>
      <c r="E79">
        <v>449146</v>
      </c>
      <c r="F79" s="1">
        <v>44280</v>
      </c>
      <c r="G79" s="1">
        <v>45479</v>
      </c>
      <c r="H79" t="str">
        <f t="shared" si="5"/>
        <v>contact78@vendor.com</v>
      </c>
    </row>
    <row r="80" spans="1:8">
      <c r="A80" t="s">
        <v>85</v>
      </c>
      <c r="B80" t="str">
        <f t="shared" si="3"/>
        <v>Vendor_079</v>
      </c>
      <c r="C80" t="s">
        <v>307</v>
      </c>
      <c r="D80" t="str">
        <f t="shared" si="4"/>
        <v>East</v>
      </c>
      <c r="E80">
        <v>803101</v>
      </c>
      <c r="F80" s="1">
        <v>44450</v>
      </c>
      <c r="G80" s="1">
        <v>46113</v>
      </c>
      <c r="H80" t="str">
        <f t="shared" si="5"/>
        <v>contact79@vendor.com</v>
      </c>
    </row>
    <row r="81" spans="1:8">
      <c r="A81" t="s">
        <v>86</v>
      </c>
      <c r="B81" t="str">
        <f t="shared" si="3"/>
        <v>Vendor_080</v>
      </c>
      <c r="C81" t="s">
        <v>308</v>
      </c>
      <c r="D81" t="str">
        <f t="shared" si="4"/>
        <v>East</v>
      </c>
      <c r="E81">
        <v>281515</v>
      </c>
      <c r="F81" s="1">
        <v>44530</v>
      </c>
      <c r="G81" s="1">
        <v>46049</v>
      </c>
      <c r="H81" t="str">
        <f t="shared" si="5"/>
        <v>contact80@vendor.com</v>
      </c>
    </row>
    <row r="82" spans="1:8">
      <c r="A82" t="s">
        <v>87</v>
      </c>
      <c r="B82" t="str">
        <f t="shared" si="3"/>
        <v>Vendor_081</v>
      </c>
      <c r="C82" t="s">
        <v>308</v>
      </c>
      <c r="D82" t="str">
        <f t="shared" si="4"/>
        <v>East</v>
      </c>
      <c r="E82">
        <v>1742903</v>
      </c>
      <c r="F82" s="1">
        <v>45170</v>
      </c>
      <c r="G82" s="1">
        <v>46912</v>
      </c>
      <c r="H82" t="str">
        <f t="shared" si="5"/>
        <v>contact81@vendor.com</v>
      </c>
    </row>
    <row r="83" spans="1:8">
      <c r="A83" t="s">
        <v>88</v>
      </c>
      <c r="B83" t="str">
        <f t="shared" si="3"/>
        <v>Vendor_082</v>
      </c>
      <c r="C83" t="s">
        <v>308</v>
      </c>
      <c r="D83" t="str">
        <f t="shared" si="4"/>
        <v>East</v>
      </c>
      <c r="E83">
        <v>4730138</v>
      </c>
      <c r="F83" s="1">
        <v>44908</v>
      </c>
      <c r="G83" s="1">
        <v>45883</v>
      </c>
      <c r="H83" t="str">
        <f t="shared" si="5"/>
        <v>contact82@vendor.com</v>
      </c>
    </row>
    <row r="84" spans="1:8">
      <c r="A84" t="s">
        <v>89</v>
      </c>
      <c r="B84" t="str">
        <f t="shared" si="3"/>
        <v>Vendor_083</v>
      </c>
      <c r="C84" t="s">
        <v>308</v>
      </c>
      <c r="D84" t="str">
        <f t="shared" si="4"/>
        <v>East</v>
      </c>
      <c r="E84">
        <v>3821762</v>
      </c>
      <c r="F84" s="1">
        <v>44708</v>
      </c>
      <c r="G84" s="1">
        <v>45784</v>
      </c>
      <c r="H84" t="str">
        <f t="shared" si="5"/>
        <v>contact83@vendor.com</v>
      </c>
    </row>
    <row r="85" spans="1:8">
      <c r="A85" t="s">
        <v>90</v>
      </c>
      <c r="B85" t="str">
        <f t="shared" si="3"/>
        <v>Vendor_084</v>
      </c>
      <c r="C85" t="s">
        <v>308</v>
      </c>
      <c r="D85" t="str">
        <f t="shared" si="4"/>
        <v>East</v>
      </c>
      <c r="E85">
        <v>1876031</v>
      </c>
      <c r="F85" s="1">
        <v>45036</v>
      </c>
      <c r="G85" s="1">
        <v>46768</v>
      </c>
      <c r="H85" t="str">
        <f t="shared" si="5"/>
        <v>contact84@vendor.com</v>
      </c>
    </row>
    <row r="86" spans="1:8">
      <c r="A86" t="s">
        <v>91</v>
      </c>
      <c r="B86" t="str">
        <f t="shared" si="3"/>
        <v>Vendor_085</v>
      </c>
      <c r="C86" t="s">
        <v>308</v>
      </c>
      <c r="D86" t="str">
        <f t="shared" si="4"/>
        <v>East</v>
      </c>
      <c r="E86">
        <v>1897949</v>
      </c>
      <c r="F86" s="1">
        <v>44540</v>
      </c>
      <c r="G86" s="1">
        <v>46022</v>
      </c>
      <c r="H86" t="str">
        <f t="shared" si="5"/>
        <v>contact85@vendor.com</v>
      </c>
    </row>
    <row r="87" spans="1:8">
      <c r="A87" t="s">
        <v>92</v>
      </c>
      <c r="B87" t="str">
        <f t="shared" si="3"/>
        <v>Vendor_086</v>
      </c>
      <c r="C87" t="s">
        <v>308</v>
      </c>
      <c r="D87" t="str">
        <f t="shared" si="4"/>
        <v>East</v>
      </c>
      <c r="E87">
        <v>4564321</v>
      </c>
      <c r="F87" s="1">
        <v>44345</v>
      </c>
      <c r="G87" s="1">
        <v>45642</v>
      </c>
      <c r="H87" t="str">
        <f t="shared" si="5"/>
        <v>contact86@vendor.com</v>
      </c>
    </row>
    <row r="88" spans="1:8">
      <c r="A88" t="s">
        <v>93</v>
      </c>
      <c r="B88" t="str">
        <f t="shared" si="3"/>
        <v>Vendor_087</v>
      </c>
      <c r="C88" t="s">
        <v>308</v>
      </c>
      <c r="D88" t="str">
        <f t="shared" si="4"/>
        <v>East</v>
      </c>
      <c r="E88">
        <v>1655153</v>
      </c>
      <c r="F88" s="1">
        <v>45042</v>
      </c>
      <c r="G88" s="1">
        <v>45814</v>
      </c>
      <c r="H88" t="str">
        <f t="shared" si="5"/>
        <v>contact87@vendor.com</v>
      </c>
    </row>
    <row r="89" spans="1:8">
      <c r="A89" t="s">
        <v>94</v>
      </c>
      <c r="B89" t="str">
        <f t="shared" si="3"/>
        <v>Vendor_088</v>
      </c>
      <c r="C89" t="s">
        <v>308</v>
      </c>
      <c r="D89" t="str">
        <f t="shared" si="4"/>
        <v>East</v>
      </c>
      <c r="E89">
        <v>4036202</v>
      </c>
      <c r="F89" s="1">
        <v>44355</v>
      </c>
      <c r="G89" s="1">
        <v>46117</v>
      </c>
      <c r="H89" t="str">
        <f t="shared" si="5"/>
        <v>contact88@vendor.com</v>
      </c>
    </row>
    <row r="90" spans="1:8">
      <c r="A90" t="s">
        <v>95</v>
      </c>
      <c r="B90" t="str">
        <f t="shared" si="3"/>
        <v>Vendor_089</v>
      </c>
      <c r="C90" t="s">
        <v>308</v>
      </c>
      <c r="D90" t="str">
        <f t="shared" si="4"/>
        <v>East</v>
      </c>
      <c r="E90">
        <v>4954727</v>
      </c>
      <c r="F90" s="1">
        <v>44373</v>
      </c>
      <c r="G90" s="1">
        <v>45235</v>
      </c>
      <c r="H90" t="str">
        <f t="shared" si="5"/>
        <v>contact89@vendor.com</v>
      </c>
    </row>
    <row r="91" spans="1:8">
      <c r="A91" t="s">
        <v>96</v>
      </c>
      <c r="B91" t="str">
        <f t="shared" si="3"/>
        <v>Vendor_090</v>
      </c>
      <c r="C91" t="s">
        <v>308</v>
      </c>
      <c r="D91" t="str">
        <f t="shared" si="4"/>
        <v>East</v>
      </c>
      <c r="E91">
        <v>4184377</v>
      </c>
      <c r="F91" s="1">
        <v>44851</v>
      </c>
      <c r="G91" s="1">
        <v>46274</v>
      </c>
      <c r="H91" t="str">
        <f t="shared" si="5"/>
        <v>contact90@vendor.com</v>
      </c>
    </row>
    <row r="92" spans="1:8">
      <c r="A92" t="s">
        <v>97</v>
      </c>
      <c r="B92" t="str">
        <f t="shared" si="3"/>
        <v>Vendor_091</v>
      </c>
      <c r="C92" t="s">
        <v>308</v>
      </c>
      <c r="D92" t="str">
        <f t="shared" si="4"/>
        <v>East</v>
      </c>
      <c r="E92">
        <v>4965474</v>
      </c>
      <c r="F92" s="1">
        <v>45049</v>
      </c>
      <c r="G92" s="1">
        <v>46812</v>
      </c>
      <c r="H92" t="str">
        <f t="shared" si="5"/>
        <v>contact91@vendor.com</v>
      </c>
    </row>
    <row r="93" spans="1:8">
      <c r="A93" t="s">
        <v>98</v>
      </c>
      <c r="B93" t="str">
        <f t="shared" si="3"/>
        <v>Vendor_092</v>
      </c>
      <c r="C93" t="s">
        <v>308</v>
      </c>
      <c r="D93" t="str">
        <f t="shared" si="4"/>
        <v>East</v>
      </c>
      <c r="E93">
        <v>2521069</v>
      </c>
      <c r="F93" s="1">
        <v>44577</v>
      </c>
      <c r="G93" s="1">
        <v>45336</v>
      </c>
      <c r="H93" t="str">
        <f t="shared" si="5"/>
        <v>contact92@vendor.com</v>
      </c>
    </row>
    <row r="94" spans="1:8">
      <c r="A94" t="s">
        <v>99</v>
      </c>
      <c r="B94" t="str">
        <f t="shared" si="3"/>
        <v>Vendor_093</v>
      </c>
      <c r="C94" t="s">
        <v>308</v>
      </c>
      <c r="D94" t="str">
        <f t="shared" si="4"/>
        <v>East</v>
      </c>
      <c r="E94">
        <v>2443963</v>
      </c>
      <c r="F94" s="1">
        <v>45030</v>
      </c>
      <c r="G94" s="1">
        <v>45597</v>
      </c>
      <c r="H94" t="str">
        <f t="shared" si="5"/>
        <v>contact93@vendor.com</v>
      </c>
    </row>
    <row r="95" spans="1:8">
      <c r="A95" t="s">
        <v>100</v>
      </c>
      <c r="B95" t="str">
        <f t="shared" si="3"/>
        <v>Vendor_094</v>
      </c>
      <c r="C95" t="s">
        <v>308</v>
      </c>
      <c r="D95" t="str">
        <f t="shared" si="4"/>
        <v>East</v>
      </c>
      <c r="E95">
        <v>2606081</v>
      </c>
      <c r="F95" s="1">
        <v>44577</v>
      </c>
      <c r="G95" s="1">
        <v>45404</v>
      </c>
      <c r="H95" t="str">
        <f t="shared" si="5"/>
        <v>contact94@vendor.com</v>
      </c>
    </row>
    <row r="96" spans="1:8">
      <c r="A96" t="s">
        <v>101</v>
      </c>
      <c r="B96" t="str">
        <f t="shared" si="3"/>
        <v>Vendor_095</v>
      </c>
      <c r="C96" t="s">
        <v>308</v>
      </c>
      <c r="D96" t="str">
        <f t="shared" si="4"/>
        <v>East</v>
      </c>
      <c r="E96">
        <v>2885376</v>
      </c>
      <c r="F96" s="1">
        <v>44787</v>
      </c>
      <c r="G96" s="1">
        <v>46458</v>
      </c>
      <c r="H96" t="str">
        <f t="shared" si="5"/>
        <v>contact95@vendor.com</v>
      </c>
    </row>
    <row r="97" spans="1:8">
      <c r="A97" t="s">
        <v>102</v>
      </c>
      <c r="B97" t="str">
        <f t="shared" si="3"/>
        <v>Vendor_096</v>
      </c>
      <c r="C97" t="s">
        <v>308</v>
      </c>
      <c r="D97" t="str">
        <f t="shared" si="4"/>
        <v>East</v>
      </c>
      <c r="E97">
        <v>3823009</v>
      </c>
      <c r="F97" s="1">
        <v>44882</v>
      </c>
      <c r="G97" s="1">
        <v>45472</v>
      </c>
      <c r="H97" t="str">
        <f t="shared" si="5"/>
        <v>contact96@vendor.com</v>
      </c>
    </row>
    <row r="98" spans="1:8">
      <c r="A98" t="s">
        <v>103</v>
      </c>
      <c r="B98" t="str">
        <f t="shared" si="3"/>
        <v>Vendor_097</v>
      </c>
      <c r="C98" t="s">
        <v>308</v>
      </c>
      <c r="D98" t="str">
        <f t="shared" si="4"/>
        <v>East</v>
      </c>
      <c r="E98">
        <v>4854918</v>
      </c>
      <c r="F98" s="1">
        <v>44399</v>
      </c>
      <c r="G98" s="1">
        <v>45748</v>
      </c>
      <c r="H98" t="str">
        <f t="shared" si="5"/>
        <v>contact97@vendor.com</v>
      </c>
    </row>
    <row r="99" spans="1:8">
      <c r="A99" t="s">
        <v>104</v>
      </c>
      <c r="B99" t="str">
        <f t="shared" si="3"/>
        <v>Vendor_098</v>
      </c>
      <c r="C99" t="s">
        <v>308</v>
      </c>
      <c r="D99" t="str">
        <f t="shared" si="4"/>
        <v>East</v>
      </c>
      <c r="E99">
        <v>661326</v>
      </c>
      <c r="F99" s="1">
        <v>44488</v>
      </c>
      <c r="G99" s="1">
        <v>45890</v>
      </c>
      <c r="H99" t="str">
        <f t="shared" si="5"/>
        <v>contact98@vendor.com</v>
      </c>
    </row>
    <row r="100" spans="1:8">
      <c r="A100" t="s">
        <v>105</v>
      </c>
      <c r="B100" t="str">
        <f t="shared" si="3"/>
        <v>Vendor_099</v>
      </c>
      <c r="C100" t="s">
        <v>308</v>
      </c>
      <c r="D100" t="str">
        <f t="shared" si="4"/>
        <v>East</v>
      </c>
      <c r="E100">
        <v>324802</v>
      </c>
      <c r="F100" s="1">
        <v>45044</v>
      </c>
      <c r="G100" s="1">
        <v>45597</v>
      </c>
      <c r="H100" t="str">
        <f t="shared" si="5"/>
        <v>contact99@vendor.com</v>
      </c>
    </row>
    <row r="101" spans="1:8">
      <c r="A101" t="s">
        <v>106</v>
      </c>
      <c r="B101" t="str">
        <f t="shared" si="3"/>
        <v>Vendor_100</v>
      </c>
      <c r="C101" t="s">
        <v>308</v>
      </c>
      <c r="D101" t="str">
        <f t="shared" si="4"/>
        <v>East</v>
      </c>
      <c r="E101">
        <v>884504</v>
      </c>
      <c r="F101" s="1">
        <v>44516</v>
      </c>
      <c r="G101" s="1">
        <v>45386</v>
      </c>
      <c r="H101" t="str">
        <f t="shared" si="5"/>
        <v>contact100@vendor.com</v>
      </c>
    </row>
    <row r="102" spans="1:8">
      <c r="A102" t="s">
        <v>107</v>
      </c>
      <c r="B102" t="str">
        <f t="shared" si="3"/>
        <v>Vendor_101</v>
      </c>
      <c r="C102" t="s">
        <v>308</v>
      </c>
      <c r="D102" t="str">
        <f t="shared" si="4"/>
        <v>South</v>
      </c>
      <c r="E102">
        <v>880187</v>
      </c>
      <c r="F102" s="1">
        <v>45012</v>
      </c>
      <c r="G102" s="1">
        <v>46630</v>
      </c>
      <c r="H102" t="str">
        <f t="shared" si="5"/>
        <v>contact101@vendor.com</v>
      </c>
    </row>
    <row r="103" spans="1:8">
      <c r="A103" t="s">
        <v>108</v>
      </c>
      <c r="B103" t="str">
        <f t="shared" si="3"/>
        <v>Vendor_102</v>
      </c>
      <c r="C103" t="s">
        <v>308</v>
      </c>
      <c r="D103" t="str">
        <f t="shared" si="4"/>
        <v>South</v>
      </c>
      <c r="E103">
        <v>984499</v>
      </c>
      <c r="F103" s="1">
        <v>44653</v>
      </c>
      <c r="G103" s="1">
        <v>46291</v>
      </c>
      <c r="H103" t="str">
        <f t="shared" si="5"/>
        <v>contact102@vendor.com</v>
      </c>
    </row>
    <row r="104" spans="1:8">
      <c r="A104" t="s">
        <v>109</v>
      </c>
      <c r="B104" t="str">
        <f t="shared" si="3"/>
        <v>Vendor_103</v>
      </c>
      <c r="C104" t="s">
        <v>308</v>
      </c>
      <c r="D104" t="str">
        <f t="shared" si="4"/>
        <v>South</v>
      </c>
      <c r="E104">
        <v>965061</v>
      </c>
      <c r="F104" s="1">
        <v>44374</v>
      </c>
      <c r="G104" s="1">
        <v>45161</v>
      </c>
      <c r="H104" t="str">
        <f t="shared" si="5"/>
        <v>contact103@vendor.com</v>
      </c>
    </row>
    <row r="105" spans="1:8">
      <c r="A105" t="s">
        <v>110</v>
      </c>
      <c r="B105" t="str">
        <f t="shared" si="3"/>
        <v>Vendor_104</v>
      </c>
      <c r="C105" t="s">
        <v>308</v>
      </c>
      <c r="D105" t="str">
        <f t="shared" si="4"/>
        <v>South</v>
      </c>
      <c r="E105">
        <v>397483</v>
      </c>
      <c r="F105" s="1">
        <v>44547</v>
      </c>
      <c r="G105" s="1">
        <v>46092</v>
      </c>
      <c r="H105" t="str">
        <f t="shared" si="5"/>
        <v>contact104@vendor.com</v>
      </c>
    </row>
    <row r="106" spans="1:8">
      <c r="A106" t="s">
        <v>111</v>
      </c>
      <c r="B106" t="str">
        <f t="shared" si="3"/>
        <v>Vendor_105</v>
      </c>
      <c r="C106" t="s">
        <v>308</v>
      </c>
      <c r="D106" t="str">
        <f t="shared" si="4"/>
        <v>South</v>
      </c>
      <c r="E106">
        <v>669639</v>
      </c>
      <c r="F106" s="1">
        <v>44594</v>
      </c>
      <c r="G106" s="1">
        <v>45913</v>
      </c>
      <c r="H106" t="str">
        <f t="shared" si="5"/>
        <v>contact105@vendor.com</v>
      </c>
    </row>
    <row r="107" spans="1:8">
      <c r="A107" t="s">
        <v>112</v>
      </c>
      <c r="B107" t="str">
        <f t="shared" si="3"/>
        <v>Vendor_106</v>
      </c>
      <c r="C107" t="s">
        <v>308</v>
      </c>
      <c r="D107" t="str">
        <f t="shared" si="4"/>
        <v>South</v>
      </c>
      <c r="E107">
        <v>576400</v>
      </c>
      <c r="F107" s="1">
        <v>44641</v>
      </c>
      <c r="G107" s="1">
        <v>45920</v>
      </c>
      <c r="H107" t="str">
        <f t="shared" si="5"/>
        <v>contact106@vendor.com</v>
      </c>
    </row>
    <row r="108" spans="1:8">
      <c r="A108" t="s">
        <v>113</v>
      </c>
      <c r="B108" t="str">
        <f t="shared" si="3"/>
        <v>Vendor_107</v>
      </c>
      <c r="C108" t="s">
        <v>308</v>
      </c>
      <c r="D108" t="str">
        <f t="shared" si="4"/>
        <v>South</v>
      </c>
      <c r="E108">
        <v>559844</v>
      </c>
      <c r="F108" s="1">
        <v>45015</v>
      </c>
      <c r="G108" s="1">
        <v>45619</v>
      </c>
      <c r="H108" t="str">
        <f t="shared" si="5"/>
        <v>contact107@vendor.com</v>
      </c>
    </row>
    <row r="109" spans="1:8">
      <c r="A109" t="s">
        <v>114</v>
      </c>
      <c r="B109" t="str">
        <f t="shared" si="3"/>
        <v>Vendor_108</v>
      </c>
      <c r="C109" t="s">
        <v>308</v>
      </c>
      <c r="D109" t="str">
        <f t="shared" si="4"/>
        <v>South</v>
      </c>
      <c r="E109">
        <v>609032</v>
      </c>
      <c r="F109" s="1">
        <v>44801</v>
      </c>
      <c r="G109" s="1">
        <v>46482</v>
      </c>
      <c r="H109" t="str">
        <f t="shared" si="5"/>
        <v>contact108@vendor.com</v>
      </c>
    </row>
    <row r="110" spans="1:8">
      <c r="A110" t="s">
        <v>115</v>
      </c>
      <c r="B110" t="str">
        <f t="shared" si="3"/>
        <v>Vendor_109</v>
      </c>
      <c r="C110" t="s">
        <v>308</v>
      </c>
      <c r="D110" t="str">
        <f t="shared" si="4"/>
        <v>South</v>
      </c>
      <c r="E110">
        <v>431660</v>
      </c>
      <c r="F110" s="1">
        <v>44305</v>
      </c>
      <c r="G110" s="1">
        <v>45663</v>
      </c>
      <c r="H110" t="str">
        <f t="shared" si="5"/>
        <v>contact109@vendor.com</v>
      </c>
    </row>
    <row r="111" spans="1:8">
      <c r="A111" t="s">
        <v>116</v>
      </c>
      <c r="B111" t="str">
        <f t="shared" si="3"/>
        <v>Vendor_110</v>
      </c>
      <c r="C111" t="s">
        <v>308</v>
      </c>
      <c r="D111" t="str">
        <f t="shared" si="4"/>
        <v>South</v>
      </c>
      <c r="E111">
        <v>737991</v>
      </c>
      <c r="F111" s="1">
        <v>45024</v>
      </c>
      <c r="G111" s="1">
        <v>46371</v>
      </c>
      <c r="H111" t="str">
        <f t="shared" si="5"/>
        <v>contact110@vendor.com</v>
      </c>
    </row>
    <row r="112" spans="1:8">
      <c r="A112" t="s">
        <v>117</v>
      </c>
      <c r="B112" t="str">
        <f t="shared" si="3"/>
        <v>Vendor_111</v>
      </c>
      <c r="C112" t="s">
        <v>308</v>
      </c>
      <c r="D112" t="str">
        <f t="shared" si="4"/>
        <v>South</v>
      </c>
      <c r="E112">
        <v>870055</v>
      </c>
      <c r="F112" s="1">
        <v>44534</v>
      </c>
      <c r="G112" s="1">
        <v>46012</v>
      </c>
      <c r="H112" t="str">
        <f t="shared" si="5"/>
        <v>contact111@vendor.com</v>
      </c>
    </row>
    <row r="113" spans="1:8">
      <c r="A113" t="s">
        <v>118</v>
      </c>
      <c r="B113" t="str">
        <f t="shared" si="3"/>
        <v>Vendor_112</v>
      </c>
      <c r="C113" t="s">
        <v>308</v>
      </c>
      <c r="D113" t="str">
        <f t="shared" si="4"/>
        <v>South</v>
      </c>
      <c r="E113">
        <v>571701</v>
      </c>
      <c r="F113" s="1">
        <v>44246</v>
      </c>
      <c r="G113" s="1">
        <v>45198</v>
      </c>
      <c r="H113" t="str">
        <f t="shared" si="5"/>
        <v>contact112@vendor.com</v>
      </c>
    </row>
    <row r="114" spans="1:8">
      <c r="A114" t="s">
        <v>119</v>
      </c>
      <c r="B114" t="str">
        <f t="shared" si="3"/>
        <v>Vendor_113</v>
      </c>
      <c r="C114" t="s">
        <v>308</v>
      </c>
      <c r="D114" t="str">
        <f t="shared" si="4"/>
        <v>South</v>
      </c>
      <c r="E114">
        <v>606756</v>
      </c>
      <c r="F114" s="1">
        <v>44690</v>
      </c>
      <c r="G114" s="1">
        <v>46268</v>
      </c>
      <c r="H114" t="str">
        <f t="shared" si="5"/>
        <v>contact113@vendor.com</v>
      </c>
    </row>
    <row r="115" spans="1:8">
      <c r="A115" t="s">
        <v>120</v>
      </c>
      <c r="B115" t="str">
        <f t="shared" si="3"/>
        <v>Vendor_114</v>
      </c>
      <c r="C115" t="s">
        <v>308</v>
      </c>
      <c r="D115" t="str">
        <f t="shared" si="4"/>
        <v>South</v>
      </c>
      <c r="E115">
        <v>629494</v>
      </c>
      <c r="F115" s="1">
        <v>44827</v>
      </c>
      <c r="G115" s="1">
        <v>45328</v>
      </c>
      <c r="H115" t="str">
        <f t="shared" si="5"/>
        <v>contact114@vendor.com</v>
      </c>
    </row>
    <row r="116" spans="1:8">
      <c r="A116" t="s">
        <v>121</v>
      </c>
      <c r="B116" t="str">
        <f t="shared" si="3"/>
        <v>Vendor_115</v>
      </c>
      <c r="C116" t="s">
        <v>308</v>
      </c>
      <c r="D116" t="str">
        <f t="shared" si="4"/>
        <v>South</v>
      </c>
      <c r="E116">
        <v>832133</v>
      </c>
      <c r="F116" s="1">
        <v>44360</v>
      </c>
      <c r="G116" s="1">
        <v>45637</v>
      </c>
      <c r="H116" t="str">
        <f t="shared" si="5"/>
        <v>contact115@vendor.com</v>
      </c>
    </row>
    <row r="117" spans="1:8">
      <c r="A117" t="s">
        <v>122</v>
      </c>
      <c r="B117" t="str">
        <f t="shared" si="3"/>
        <v>Vendor_116</v>
      </c>
      <c r="C117" t="s">
        <v>308</v>
      </c>
      <c r="D117" t="str">
        <f t="shared" si="4"/>
        <v>South</v>
      </c>
      <c r="E117">
        <v>286784</v>
      </c>
      <c r="F117" s="1">
        <v>44995</v>
      </c>
      <c r="G117" s="1">
        <v>45804</v>
      </c>
      <c r="H117" t="str">
        <f t="shared" si="5"/>
        <v>contact116@vendor.com</v>
      </c>
    </row>
    <row r="118" spans="1:8">
      <c r="A118" t="s">
        <v>123</v>
      </c>
      <c r="B118" t="str">
        <f t="shared" si="3"/>
        <v>Vendor_117</v>
      </c>
      <c r="C118" t="s">
        <v>308</v>
      </c>
      <c r="D118" t="str">
        <f t="shared" si="4"/>
        <v>South</v>
      </c>
      <c r="E118">
        <v>875558</v>
      </c>
      <c r="F118" s="1">
        <v>45194</v>
      </c>
      <c r="G118" s="1">
        <v>46575</v>
      </c>
      <c r="H118" t="str">
        <f t="shared" si="5"/>
        <v>contact117@vendor.com</v>
      </c>
    </row>
    <row r="119" spans="1:8">
      <c r="A119" t="s">
        <v>124</v>
      </c>
      <c r="B119" t="str">
        <f t="shared" si="3"/>
        <v>Vendor_118</v>
      </c>
      <c r="C119" t="s">
        <v>308</v>
      </c>
      <c r="D119" t="str">
        <f t="shared" si="4"/>
        <v>South</v>
      </c>
      <c r="E119">
        <v>941133</v>
      </c>
      <c r="F119" s="1">
        <v>44360</v>
      </c>
      <c r="G119" s="1">
        <v>45798</v>
      </c>
      <c r="H119" t="str">
        <f t="shared" si="5"/>
        <v>contact118@vendor.com</v>
      </c>
    </row>
    <row r="120" spans="1:8">
      <c r="A120" t="s">
        <v>125</v>
      </c>
      <c r="B120" t="str">
        <f t="shared" si="3"/>
        <v>Vendor_119</v>
      </c>
      <c r="C120" t="s">
        <v>308</v>
      </c>
      <c r="D120" t="str">
        <f t="shared" si="4"/>
        <v>South</v>
      </c>
      <c r="E120">
        <v>669737</v>
      </c>
      <c r="F120" s="1">
        <v>44620</v>
      </c>
      <c r="G120" s="1">
        <v>45106</v>
      </c>
      <c r="H120" t="str">
        <f t="shared" si="5"/>
        <v>contact119@vendor.com</v>
      </c>
    </row>
    <row r="121" spans="1:8">
      <c r="A121" t="s">
        <v>126</v>
      </c>
      <c r="B121" t="str">
        <f t="shared" si="3"/>
        <v>Vendor_120</v>
      </c>
      <c r="C121" t="s">
        <v>308</v>
      </c>
      <c r="D121" t="str">
        <f t="shared" si="4"/>
        <v>South</v>
      </c>
      <c r="E121">
        <v>772560</v>
      </c>
      <c r="F121" s="1">
        <v>44834</v>
      </c>
      <c r="G121" s="1">
        <v>45459</v>
      </c>
      <c r="H121" t="str">
        <f t="shared" si="5"/>
        <v>contact120@vendor.com</v>
      </c>
    </row>
    <row r="122" spans="1:8">
      <c r="A122" t="s">
        <v>127</v>
      </c>
      <c r="B122" t="str">
        <f t="shared" si="3"/>
        <v>Vendor_121</v>
      </c>
      <c r="C122" t="s">
        <v>308</v>
      </c>
      <c r="D122" t="str">
        <f t="shared" si="4"/>
        <v>South</v>
      </c>
      <c r="E122">
        <v>491599</v>
      </c>
      <c r="F122" s="1">
        <v>44611</v>
      </c>
      <c r="G122" s="1">
        <v>45572</v>
      </c>
      <c r="H122" t="str">
        <f t="shared" si="5"/>
        <v>contact121@vendor.com</v>
      </c>
    </row>
    <row r="123" spans="1:8">
      <c r="A123" t="s">
        <v>128</v>
      </c>
      <c r="B123" t="str">
        <f t="shared" si="3"/>
        <v>Vendor_122</v>
      </c>
      <c r="C123" t="s">
        <v>308</v>
      </c>
      <c r="D123" t="str">
        <f t="shared" si="4"/>
        <v>South</v>
      </c>
      <c r="E123">
        <v>200621</v>
      </c>
      <c r="F123" s="1">
        <v>44880</v>
      </c>
      <c r="G123" s="1">
        <v>46491</v>
      </c>
      <c r="H123" t="str">
        <f t="shared" si="5"/>
        <v>contact122@vendor.com</v>
      </c>
    </row>
    <row r="124" spans="1:8">
      <c r="A124" t="s">
        <v>129</v>
      </c>
      <c r="B124" t="str">
        <f t="shared" si="3"/>
        <v>Vendor_123</v>
      </c>
      <c r="C124" t="s">
        <v>308</v>
      </c>
      <c r="D124" t="str">
        <f t="shared" si="4"/>
        <v>South</v>
      </c>
      <c r="E124">
        <v>208584</v>
      </c>
      <c r="F124" s="1">
        <v>45155</v>
      </c>
      <c r="G124" s="1">
        <v>45639</v>
      </c>
      <c r="H124" t="str">
        <f t="shared" si="5"/>
        <v>contact123@vendor.com</v>
      </c>
    </row>
    <row r="125" spans="1:8">
      <c r="A125" t="s">
        <v>130</v>
      </c>
      <c r="B125" t="str">
        <f t="shared" si="3"/>
        <v>Vendor_124</v>
      </c>
      <c r="C125" t="s">
        <v>308</v>
      </c>
      <c r="D125" t="str">
        <f t="shared" si="4"/>
        <v>South</v>
      </c>
      <c r="E125">
        <v>177615</v>
      </c>
      <c r="F125" s="1">
        <v>44556</v>
      </c>
      <c r="G125" s="1">
        <v>46279</v>
      </c>
      <c r="H125" t="str">
        <f t="shared" si="5"/>
        <v>contact124@vendor.com</v>
      </c>
    </row>
    <row r="126" spans="1:8">
      <c r="A126" t="s">
        <v>131</v>
      </c>
      <c r="B126" t="str">
        <f t="shared" si="3"/>
        <v>Vendor_125</v>
      </c>
      <c r="C126" t="s">
        <v>308</v>
      </c>
      <c r="D126" t="str">
        <f t="shared" si="4"/>
        <v>South</v>
      </c>
      <c r="E126">
        <v>143477</v>
      </c>
      <c r="F126" s="1">
        <v>44977</v>
      </c>
      <c r="G126" s="1">
        <v>46079</v>
      </c>
      <c r="H126" t="str">
        <f t="shared" si="5"/>
        <v>contact125@vendor.com</v>
      </c>
    </row>
    <row r="127" spans="1:8">
      <c r="A127" t="s">
        <v>132</v>
      </c>
      <c r="B127" t="str">
        <f t="shared" si="3"/>
        <v>Vendor_126</v>
      </c>
      <c r="C127" t="s">
        <v>308</v>
      </c>
      <c r="D127" t="str">
        <f t="shared" si="4"/>
        <v>South</v>
      </c>
      <c r="E127">
        <v>162867</v>
      </c>
      <c r="F127" s="1">
        <v>44594</v>
      </c>
      <c r="G127" s="1">
        <v>45200</v>
      </c>
      <c r="H127" t="str">
        <f t="shared" si="5"/>
        <v>contact126@vendor.com</v>
      </c>
    </row>
    <row r="128" spans="1:8">
      <c r="A128" t="s">
        <v>133</v>
      </c>
      <c r="B128" t="str">
        <f t="shared" si="3"/>
        <v>Vendor_127</v>
      </c>
      <c r="C128" t="s">
        <v>308</v>
      </c>
      <c r="D128" t="str">
        <f t="shared" si="4"/>
        <v>South</v>
      </c>
      <c r="E128">
        <v>149197</v>
      </c>
      <c r="F128" s="1">
        <v>44304</v>
      </c>
      <c r="G128" s="1">
        <v>45066</v>
      </c>
      <c r="H128" t="str">
        <f t="shared" si="5"/>
        <v>contact127@vendor.com</v>
      </c>
    </row>
    <row r="129" spans="1:8">
      <c r="A129" t="s">
        <v>134</v>
      </c>
      <c r="B129" t="str">
        <f t="shared" si="3"/>
        <v>Vendor_128</v>
      </c>
      <c r="C129" t="s">
        <v>308</v>
      </c>
      <c r="D129" t="str">
        <f t="shared" si="4"/>
        <v>South</v>
      </c>
      <c r="E129">
        <v>136966</v>
      </c>
      <c r="F129" s="1">
        <v>44624</v>
      </c>
      <c r="G129" s="1">
        <v>45513</v>
      </c>
      <c r="H129" t="str">
        <f t="shared" si="5"/>
        <v>contact128@vendor.com</v>
      </c>
    </row>
    <row r="130" spans="1:8">
      <c r="A130" t="s">
        <v>135</v>
      </c>
      <c r="B130" t="str">
        <f t="shared" si="3"/>
        <v>Vendor_129</v>
      </c>
      <c r="C130" t="s">
        <v>308</v>
      </c>
      <c r="D130" t="str">
        <f t="shared" si="4"/>
        <v>South</v>
      </c>
      <c r="E130">
        <v>196255</v>
      </c>
      <c r="F130" s="1">
        <v>45027</v>
      </c>
      <c r="G130" s="1">
        <v>46527</v>
      </c>
      <c r="H130" t="str">
        <f t="shared" si="5"/>
        <v>contact129@vendor.com</v>
      </c>
    </row>
    <row r="131" spans="1:8">
      <c r="A131" t="s">
        <v>136</v>
      </c>
      <c r="B131" t="str">
        <f t="shared" ref="B131:B194" si="6">_xlfn.CONCAT("Vendor_",TEXT(ROW()-1,"000"))</f>
        <v>Vendor_130</v>
      </c>
      <c r="C131" t="s">
        <v>308</v>
      </c>
      <c r="D131" t="str">
        <f t="shared" ref="D131:D194" si="7">CHOOSE(ROUNDUP((ROW()-1)/100,0),"East","South","West","North")</f>
        <v>South</v>
      </c>
      <c r="E131">
        <v>59879</v>
      </c>
      <c r="F131" s="1">
        <v>44281</v>
      </c>
      <c r="G131" s="1">
        <v>45866</v>
      </c>
      <c r="H131" t="str">
        <f t="shared" ref="H131:H194" si="8">_xlfn.CONCAT("contact",ROW()-1,"@vendor.com")</f>
        <v>contact130@vendor.com</v>
      </c>
    </row>
    <row r="132" spans="1:8">
      <c r="A132" t="s">
        <v>137</v>
      </c>
      <c r="B132" t="str">
        <f t="shared" si="6"/>
        <v>Vendor_131</v>
      </c>
      <c r="C132" t="s">
        <v>308</v>
      </c>
      <c r="D132" t="str">
        <f t="shared" si="7"/>
        <v>South</v>
      </c>
      <c r="E132">
        <v>92875</v>
      </c>
      <c r="F132" s="1">
        <v>44498</v>
      </c>
      <c r="G132" s="1">
        <v>45868</v>
      </c>
      <c r="H132" t="str">
        <f t="shared" si="8"/>
        <v>contact131@vendor.com</v>
      </c>
    </row>
    <row r="133" spans="1:8">
      <c r="A133" t="s">
        <v>138</v>
      </c>
      <c r="B133" t="str">
        <f t="shared" si="6"/>
        <v>Vendor_132</v>
      </c>
      <c r="C133" t="s">
        <v>308</v>
      </c>
      <c r="D133" t="str">
        <f t="shared" si="7"/>
        <v>South</v>
      </c>
      <c r="E133">
        <v>65911</v>
      </c>
      <c r="F133" s="1">
        <v>44953</v>
      </c>
      <c r="G133" s="1">
        <v>46343</v>
      </c>
      <c r="H133" t="str">
        <f t="shared" si="8"/>
        <v>contact132@vendor.com</v>
      </c>
    </row>
    <row r="134" spans="1:8">
      <c r="A134" t="s">
        <v>139</v>
      </c>
      <c r="B134" t="str">
        <f t="shared" si="6"/>
        <v>Vendor_133</v>
      </c>
      <c r="C134" t="s">
        <v>308</v>
      </c>
      <c r="D134" t="str">
        <f t="shared" si="7"/>
        <v>South</v>
      </c>
      <c r="E134">
        <v>131321</v>
      </c>
      <c r="F134" s="1">
        <v>45172</v>
      </c>
      <c r="G134" s="1">
        <v>46025</v>
      </c>
      <c r="H134" t="str">
        <f t="shared" si="8"/>
        <v>contact133@vendor.com</v>
      </c>
    </row>
    <row r="135" spans="1:8">
      <c r="A135" t="s">
        <v>140</v>
      </c>
      <c r="B135" t="str">
        <f t="shared" si="6"/>
        <v>Vendor_134</v>
      </c>
      <c r="C135" t="s">
        <v>308</v>
      </c>
      <c r="D135" t="str">
        <f t="shared" si="7"/>
        <v>South</v>
      </c>
      <c r="E135">
        <v>203704</v>
      </c>
      <c r="F135" s="1">
        <v>44700</v>
      </c>
      <c r="G135" s="1">
        <v>46283</v>
      </c>
      <c r="H135" t="str">
        <f t="shared" si="8"/>
        <v>contact134@vendor.com</v>
      </c>
    </row>
    <row r="136" spans="1:8">
      <c r="A136" t="s">
        <v>141</v>
      </c>
      <c r="B136" t="str">
        <f t="shared" si="6"/>
        <v>Vendor_135</v>
      </c>
      <c r="C136" t="s">
        <v>308</v>
      </c>
      <c r="D136" t="str">
        <f t="shared" si="7"/>
        <v>South</v>
      </c>
      <c r="E136">
        <v>208866</v>
      </c>
      <c r="F136" s="1">
        <v>44514</v>
      </c>
      <c r="G136" s="1">
        <v>45070</v>
      </c>
      <c r="H136" t="str">
        <f t="shared" si="8"/>
        <v>contact135@vendor.com</v>
      </c>
    </row>
    <row r="137" spans="1:8">
      <c r="A137" t="s">
        <v>142</v>
      </c>
      <c r="B137" t="str">
        <f t="shared" si="6"/>
        <v>Vendor_136</v>
      </c>
      <c r="C137" t="s">
        <v>308</v>
      </c>
      <c r="D137" t="str">
        <f t="shared" si="7"/>
        <v>South</v>
      </c>
      <c r="E137">
        <v>191582</v>
      </c>
      <c r="F137" s="1">
        <v>44902</v>
      </c>
      <c r="G137" s="1">
        <v>45522</v>
      </c>
      <c r="H137" t="str">
        <f t="shared" si="8"/>
        <v>contact136@vendor.com</v>
      </c>
    </row>
    <row r="138" spans="1:8">
      <c r="A138" t="s">
        <v>143</v>
      </c>
      <c r="B138" t="str">
        <f t="shared" si="6"/>
        <v>Vendor_137</v>
      </c>
      <c r="C138" t="s">
        <v>308</v>
      </c>
      <c r="D138" t="str">
        <f t="shared" si="7"/>
        <v>South</v>
      </c>
      <c r="E138">
        <v>227823</v>
      </c>
      <c r="F138" s="1">
        <v>44818</v>
      </c>
      <c r="G138" s="1">
        <v>46189</v>
      </c>
      <c r="H138" t="str">
        <f t="shared" si="8"/>
        <v>contact137@vendor.com</v>
      </c>
    </row>
    <row r="139" spans="1:8">
      <c r="A139" t="s">
        <v>144</v>
      </c>
      <c r="B139" t="str">
        <f t="shared" si="6"/>
        <v>Vendor_138</v>
      </c>
      <c r="C139" t="s">
        <v>308</v>
      </c>
      <c r="D139" t="str">
        <f t="shared" si="7"/>
        <v>South</v>
      </c>
      <c r="E139">
        <v>126151</v>
      </c>
      <c r="F139" s="1">
        <v>44409</v>
      </c>
      <c r="G139" s="1">
        <v>45656</v>
      </c>
      <c r="H139" t="str">
        <f t="shared" si="8"/>
        <v>contact138@vendor.com</v>
      </c>
    </row>
    <row r="140" spans="1:8">
      <c r="A140" t="s">
        <v>145</v>
      </c>
      <c r="B140" t="str">
        <f t="shared" si="6"/>
        <v>Vendor_139</v>
      </c>
      <c r="C140" t="s">
        <v>308</v>
      </c>
      <c r="D140" t="str">
        <f t="shared" si="7"/>
        <v>South</v>
      </c>
      <c r="E140">
        <v>150543</v>
      </c>
      <c r="F140" s="1">
        <v>44646</v>
      </c>
      <c r="G140" s="1">
        <v>46243</v>
      </c>
      <c r="H140" t="str">
        <f t="shared" si="8"/>
        <v>contact139@vendor.com</v>
      </c>
    </row>
    <row r="141" spans="1:8">
      <c r="A141" t="s">
        <v>146</v>
      </c>
      <c r="B141" t="str">
        <f t="shared" si="6"/>
        <v>Vendor_140</v>
      </c>
      <c r="C141" t="s">
        <v>308</v>
      </c>
      <c r="D141" t="str">
        <f t="shared" si="7"/>
        <v>South</v>
      </c>
      <c r="E141">
        <v>107981</v>
      </c>
      <c r="F141" s="1">
        <v>44623</v>
      </c>
      <c r="G141" s="1">
        <v>45569</v>
      </c>
      <c r="H141" t="str">
        <f t="shared" si="8"/>
        <v>contact140@vendor.com</v>
      </c>
    </row>
    <row r="142" spans="1:8">
      <c r="A142" t="s">
        <v>147</v>
      </c>
      <c r="B142" t="str">
        <f t="shared" si="6"/>
        <v>Vendor_141</v>
      </c>
      <c r="C142" t="s">
        <v>308</v>
      </c>
      <c r="D142" t="str">
        <f t="shared" si="7"/>
        <v>South</v>
      </c>
      <c r="E142">
        <v>101615</v>
      </c>
      <c r="F142" s="1">
        <v>45187</v>
      </c>
      <c r="G142" s="1">
        <v>46495</v>
      </c>
      <c r="H142" t="str">
        <f t="shared" si="8"/>
        <v>contact141@vendor.com</v>
      </c>
    </row>
    <row r="143" spans="1:8">
      <c r="A143" t="s">
        <v>148</v>
      </c>
      <c r="B143" t="str">
        <f t="shared" si="6"/>
        <v>Vendor_142</v>
      </c>
      <c r="C143" t="s">
        <v>308</v>
      </c>
      <c r="D143" t="str">
        <f t="shared" si="7"/>
        <v>South</v>
      </c>
      <c r="E143">
        <v>190998</v>
      </c>
      <c r="F143" s="1">
        <v>44382</v>
      </c>
      <c r="G143" s="1">
        <v>45040</v>
      </c>
      <c r="H143" t="str">
        <f t="shared" si="8"/>
        <v>contact142@vendor.com</v>
      </c>
    </row>
    <row r="144" spans="1:8">
      <c r="A144" t="s">
        <v>149</v>
      </c>
      <c r="B144" t="str">
        <f t="shared" si="6"/>
        <v>Vendor_143</v>
      </c>
      <c r="C144" t="s">
        <v>308</v>
      </c>
      <c r="D144" t="str">
        <f t="shared" si="7"/>
        <v>South</v>
      </c>
      <c r="E144">
        <v>186489</v>
      </c>
      <c r="F144" s="1">
        <v>44699</v>
      </c>
      <c r="G144" s="1">
        <v>46196</v>
      </c>
      <c r="H144" t="str">
        <f t="shared" si="8"/>
        <v>contact143@vendor.com</v>
      </c>
    </row>
    <row r="145" spans="1:8">
      <c r="A145" t="s">
        <v>150</v>
      </c>
      <c r="B145" t="str">
        <f t="shared" si="6"/>
        <v>Vendor_144</v>
      </c>
      <c r="C145" t="s">
        <v>308</v>
      </c>
      <c r="D145" t="str">
        <f t="shared" si="7"/>
        <v>South</v>
      </c>
      <c r="E145">
        <v>139406</v>
      </c>
      <c r="F145" s="1">
        <v>44601</v>
      </c>
      <c r="G145" s="1">
        <v>45926</v>
      </c>
      <c r="H145" t="str">
        <f t="shared" si="8"/>
        <v>contact144@vendor.com</v>
      </c>
    </row>
    <row r="146" spans="1:8">
      <c r="A146" t="s">
        <v>151</v>
      </c>
      <c r="B146" t="str">
        <f t="shared" si="6"/>
        <v>Vendor_145</v>
      </c>
      <c r="C146" t="s">
        <v>308</v>
      </c>
      <c r="D146" t="str">
        <f t="shared" si="7"/>
        <v>South</v>
      </c>
      <c r="E146">
        <v>217628</v>
      </c>
      <c r="F146" s="1">
        <v>44235</v>
      </c>
      <c r="G146" s="1">
        <v>45580</v>
      </c>
      <c r="H146" t="str">
        <f t="shared" si="8"/>
        <v>contact145@vendor.com</v>
      </c>
    </row>
    <row r="147" spans="1:8">
      <c r="A147" t="s">
        <v>152</v>
      </c>
      <c r="B147" t="str">
        <f t="shared" si="6"/>
        <v>Vendor_146</v>
      </c>
      <c r="C147" t="s">
        <v>308</v>
      </c>
      <c r="D147" t="str">
        <f t="shared" si="7"/>
        <v>South</v>
      </c>
      <c r="E147">
        <v>79067</v>
      </c>
      <c r="F147" s="1">
        <v>44599</v>
      </c>
      <c r="G147" s="1">
        <v>46057</v>
      </c>
      <c r="H147" t="str">
        <f t="shared" si="8"/>
        <v>contact146@vendor.com</v>
      </c>
    </row>
    <row r="148" spans="1:8">
      <c r="A148" t="s">
        <v>153</v>
      </c>
      <c r="B148" t="str">
        <f t="shared" si="6"/>
        <v>Vendor_147</v>
      </c>
      <c r="C148" t="s">
        <v>308</v>
      </c>
      <c r="D148" t="str">
        <f t="shared" si="7"/>
        <v>South</v>
      </c>
      <c r="E148">
        <v>142270</v>
      </c>
      <c r="F148" s="1">
        <v>44404</v>
      </c>
      <c r="G148" s="1">
        <v>45195</v>
      </c>
      <c r="H148" t="str">
        <f t="shared" si="8"/>
        <v>contact147@vendor.com</v>
      </c>
    </row>
    <row r="149" spans="1:8">
      <c r="A149" t="s">
        <v>154</v>
      </c>
      <c r="B149" t="str">
        <f t="shared" si="6"/>
        <v>Vendor_148</v>
      </c>
      <c r="C149" t="s">
        <v>308</v>
      </c>
      <c r="D149" t="str">
        <f t="shared" si="7"/>
        <v>South</v>
      </c>
      <c r="E149">
        <v>125646</v>
      </c>
      <c r="F149" s="1">
        <v>44704</v>
      </c>
      <c r="G149" s="1">
        <v>45376</v>
      </c>
      <c r="H149" t="str">
        <f t="shared" si="8"/>
        <v>contact148@vendor.com</v>
      </c>
    </row>
    <row r="150" spans="1:8">
      <c r="A150" t="s">
        <v>155</v>
      </c>
      <c r="B150" t="str">
        <f t="shared" si="6"/>
        <v>Vendor_149</v>
      </c>
      <c r="C150" t="s">
        <v>308</v>
      </c>
      <c r="D150" t="str">
        <f t="shared" si="7"/>
        <v>South</v>
      </c>
      <c r="E150">
        <v>152001</v>
      </c>
      <c r="F150" s="1">
        <v>44555</v>
      </c>
      <c r="G150" s="1">
        <v>45212</v>
      </c>
      <c r="H150" t="str">
        <f t="shared" si="8"/>
        <v>contact149@vendor.com</v>
      </c>
    </row>
    <row r="151" spans="1:8">
      <c r="A151" t="s">
        <v>156</v>
      </c>
      <c r="B151" t="str">
        <f t="shared" si="6"/>
        <v>Vendor_150</v>
      </c>
      <c r="C151" t="s">
        <v>308</v>
      </c>
      <c r="D151" t="str">
        <f t="shared" si="7"/>
        <v>South</v>
      </c>
      <c r="E151">
        <v>214282</v>
      </c>
      <c r="F151" s="1">
        <v>45019</v>
      </c>
      <c r="G151" s="1">
        <v>45684</v>
      </c>
      <c r="H151" t="str">
        <f t="shared" si="8"/>
        <v>contact150@vendor.com</v>
      </c>
    </row>
    <row r="152" spans="1:8">
      <c r="A152" t="s">
        <v>157</v>
      </c>
      <c r="B152" t="str">
        <f t="shared" si="6"/>
        <v>Vendor_151</v>
      </c>
      <c r="C152" t="s">
        <v>308</v>
      </c>
      <c r="D152" t="str">
        <f t="shared" si="7"/>
        <v>South</v>
      </c>
      <c r="E152">
        <v>189147</v>
      </c>
      <c r="F152" s="1">
        <v>44611</v>
      </c>
      <c r="G152" s="1">
        <v>45721</v>
      </c>
      <c r="H152" t="str">
        <f t="shared" si="8"/>
        <v>contact151@vendor.com</v>
      </c>
    </row>
    <row r="153" spans="1:8">
      <c r="A153" t="s">
        <v>158</v>
      </c>
      <c r="B153" t="str">
        <f t="shared" si="6"/>
        <v>Vendor_152</v>
      </c>
      <c r="C153" t="s">
        <v>308</v>
      </c>
      <c r="D153" t="str">
        <f t="shared" si="7"/>
        <v>South</v>
      </c>
      <c r="E153">
        <v>234026</v>
      </c>
      <c r="F153" s="1">
        <v>45157</v>
      </c>
      <c r="G153" s="1">
        <v>46588</v>
      </c>
      <c r="H153" t="str">
        <f t="shared" si="8"/>
        <v>contact152@vendor.com</v>
      </c>
    </row>
    <row r="154" spans="1:8">
      <c r="A154" t="s">
        <v>159</v>
      </c>
      <c r="B154" t="str">
        <f t="shared" si="6"/>
        <v>Vendor_153</v>
      </c>
      <c r="C154" t="s">
        <v>308</v>
      </c>
      <c r="D154" t="str">
        <f t="shared" si="7"/>
        <v>South</v>
      </c>
      <c r="E154">
        <v>177289</v>
      </c>
      <c r="F154" s="1">
        <v>44793</v>
      </c>
      <c r="G154" s="1">
        <v>46596</v>
      </c>
      <c r="H154" t="str">
        <f t="shared" si="8"/>
        <v>contact153@vendor.com</v>
      </c>
    </row>
    <row r="155" spans="1:8">
      <c r="A155" t="s">
        <v>160</v>
      </c>
      <c r="B155" t="str">
        <f t="shared" si="6"/>
        <v>Vendor_154</v>
      </c>
      <c r="C155" t="s">
        <v>308</v>
      </c>
      <c r="D155" t="str">
        <f t="shared" si="7"/>
        <v>South</v>
      </c>
      <c r="E155">
        <v>96599</v>
      </c>
      <c r="F155" s="1">
        <v>44922</v>
      </c>
      <c r="G155" s="1">
        <v>46032</v>
      </c>
      <c r="H155" t="str">
        <f t="shared" si="8"/>
        <v>contact154@vendor.com</v>
      </c>
    </row>
    <row r="156" spans="1:8">
      <c r="A156" t="s">
        <v>161</v>
      </c>
      <c r="B156" t="str">
        <f t="shared" si="6"/>
        <v>Vendor_155</v>
      </c>
      <c r="C156" t="s">
        <v>308</v>
      </c>
      <c r="D156" t="str">
        <f t="shared" si="7"/>
        <v>South</v>
      </c>
      <c r="E156">
        <v>2512193</v>
      </c>
      <c r="F156" s="1">
        <v>44351</v>
      </c>
      <c r="G156" s="1">
        <v>45275</v>
      </c>
      <c r="H156" t="str">
        <f t="shared" si="8"/>
        <v>contact155@vendor.com</v>
      </c>
    </row>
    <row r="157" spans="1:8">
      <c r="A157" t="s">
        <v>162</v>
      </c>
      <c r="B157" t="str">
        <f t="shared" si="6"/>
        <v>Vendor_156</v>
      </c>
      <c r="C157" t="s">
        <v>308</v>
      </c>
      <c r="D157" t="str">
        <f t="shared" si="7"/>
        <v>South</v>
      </c>
      <c r="E157">
        <v>1047379</v>
      </c>
      <c r="F157" s="1">
        <v>44511</v>
      </c>
      <c r="G157" s="1">
        <v>45656</v>
      </c>
      <c r="H157" t="str">
        <f t="shared" si="8"/>
        <v>contact156@vendor.com</v>
      </c>
    </row>
    <row r="158" spans="1:8">
      <c r="A158" t="s">
        <v>163</v>
      </c>
      <c r="B158" t="str">
        <f t="shared" si="6"/>
        <v>Vendor_157</v>
      </c>
      <c r="C158" t="s">
        <v>308</v>
      </c>
      <c r="D158" t="str">
        <f t="shared" si="7"/>
        <v>South</v>
      </c>
      <c r="E158">
        <v>1159729</v>
      </c>
      <c r="F158" s="1">
        <v>44362</v>
      </c>
      <c r="G158" s="1">
        <v>45887</v>
      </c>
      <c r="H158" t="str">
        <f t="shared" si="8"/>
        <v>contact157@vendor.com</v>
      </c>
    </row>
    <row r="159" spans="1:8">
      <c r="A159" t="s">
        <v>164</v>
      </c>
      <c r="B159" t="str">
        <f t="shared" si="6"/>
        <v>Vendor_158</v>
      </c>
      <c r="C159" t="s">
        <v>308</v>
      </c>
      <c r="D159" t="str">
        <f t="shared" si="7"/>
        <v>South</v>
      </c>
      <c r="E159">
        <v>3344429</v>
      </c>
      <c r="F159" s="1">
        <v>44406</v>
      </c>
      <c r="G159" s="1">
        <v>45239</v>
      </c>
      <c r="H159" t="str">
        <f t="shared" si="8"/>
        <v>contact158@vendor.com</v>
      </c>
    </row>
    <row r="160" spans="1:8">
      <c r="A160" t="s">
        <v>165</v>
      </c>
      <c r="B160" t="str">
        <f t="shared" si="6"/>
        <v>Vendor_159</v>
      </c>
      <c r="C160" t="s">
        <v>308</v>
      </c>
      <c r="D160" t="str">
        <f t="shared" si="7"/>
        <v>South</v>
      </c>
      <c r="E160">
        <v>3478654</v>
      </c>
      <c r="F160" s="1">
        <v>44929</v>
      </c>
      <c r="G160" s="1">
        <v>45835</v>
      </c>
      <c r="H160" t="str">
        <f t="shared" si="8"/>
        <v>contact159@vendor.com</v>
      </c>
    </row>
    <row r="161" spans="1:8">
      <c r="A161" t="s">
        <v>166</v>
      </c>
      <c r="B161" t="str">
        <f t="shared" si="6"/>
        <v>Vendor_160</v>
      </c>
      <c r="C161" t="s">
        <v>309</v>
      </c>
      <c r="D161" t="str">
        <f t="shared" si="7"/>
        <v>South</v>
      </c>
      <c r="E161">
        <v>4220223</v>
      </c>
      <c r="F161" s="1">
        <v>44200</v>
      </c>
      <c r="G161" s="1">
        <v>46015</v>
      </c>
      <c r="H161" t="str">
        <f t="shared" si="8"/>
        <v>contact160@vendor.com</v>
      </c>
    </row>
    <row r="162" spans="1:8">
      <c r="A162" t="s">
        <v>167</v>
      </c>
      <c r="B162" t="str">
        <f t="shared" si="6"/>
        <v>Vendor_161</v>
      </c>
      <c r="C162" t="s">
        <v>309</v>
      </c>
      <c r="D162" t="str">
        <f t="shared" si="7"/>
        <v>South</v>
      </c>
      <c r="E162">
        <v>4417228</v>
      </c>
      <c r="F162" s="1">
        <v>45172</v>
      </c>
      <c r="G162" s="1">
        <v>45862</v>
      </c>
      <c r="H162" t="str">
        <f t="shared" si="8"/>
        <v>contact161@vendor.com</v>
      </c>
    </row>
    <row r="163" spans="1:8">
      <c r="A163" t="s">
        <v>168</v>
      </c>
      <c r="B163" t="str">
        <f t="shared" si="6"/>
        <v>Vendor_162</v>
      </c>
      <c r="C163" t="s">
        <v>309</v>
      </c>
      <c r="D163" t="str">
        <f t="shared" si="7"/>
        <v>South</v>
      </c>
      <c r="E163">
        <v>1848273</v>
      </c>
      <c r="F163" s="1">
        <v>45147</v>
      </c>
      <c r="G163" s="1">
        <v>46529</v>
      </c>
      <c r="H163" t="str">
        <f t="shared" si="8"/>
        <v>contact162@vendor.com</v>
      </c>
    </row>
    <row r="164" spans="1:8">
      <c r="A164" t="s">
        <v>169</v>
      </c>
      <c r="B164" t="str">
        <f t="shared" si="6"/>
        <v>Vendor_163</v>
      </c>
      <c r="C164" t="s">
        <v>309</v>
      </c>
      <c r="D164" t="str">
        <f t="shared" si="7"/>
        <v>South</v>
      </c>
      <c r="E164">
        <v>4555555</v>
      </c>
      <c r="F164" s="1">
        <v>44866</v>
      </c>
      <c r="G164" s="1">
        <v>45574</v>
      </c>
      <c r="H164" t="str">
        <f t="shared" si="8"/>
        <v>contact163@vendor.com</v>
      </c>
    </row>
    <row r="165" spans="1:8">
      <c r="A165" t="s">
        <v>170</v>
      </c>
      <c r="B165" t="str">
        <f t="shared" si="6"/>
        <v>Vendor_164</v>
      </c>
      <c r="C165" t="s">
        <v>309</v>
      </c>
      <c r="D165" t="str">
        <f t="shared" si="7"/>
        <v>South</v>
      </c>
      <c r="E165">
        <v>4997293</v>
      </c>
      <c r="F165" s="1">
        <v>44575</v>
      </c>
      <c r="G165" s="1">
        <v>45043</v>
      </c>
      <c r="H165" t="str">
        <f t="shared" si="8"/>
        <v>contact164@vendor.com</v>
      </c>
    </row>
    <row r="166" spans="1:8">
      <c r="A166" t="s">
        <v>171</v>
      </c>
      <c r="B166" t="str">
        <f t="shared" si="6"/>
        <v>Vendor_165</v>
      </c>
      <c r="C166" t="s">
        <v>309</v>
      </c>
      <c r="D166" t="str">
        <f t="shared" si="7"/>
        <v>South</v>
      </c>
      <c r="E166">
        <v>1678346</v>
      </c>
      <c r="F166" s="1">
        <v>44473</v>
      </c>
      <c r="G166" s="1">
        <v>45447</v>
      </c>
      <c r="H166" t="str">
        <f t="shared" si="8"/>
        <v>contact165@vendor.com</v>
      </c>
    </row>
    <row r="167" spans="1:8">
      <c r="A167" t="s">
        <v>172</v>
      </c>
      <c r="B167" t="str">
        <f t="shared" si="6"/>
        <v>Vendor_166</v>
      </c>
      <c r="C167" t="s">
        <v>309</v>
      </c>
      <c r="D167" t="str">
        <f t="shared" si="7"/>
        <v>South</v>
      </c>
      <c r="E167">
        <v>3063052</v>
      </c>
      <c r="F167" s="1">
        <v>44767</v>
      </c>
      <c r="G167" s="1">
        <v>45682</v>
      </c>
      <c r="H167" t="str">
        <f t="shared" si="8"/>
        <v>contact166@vendor.com</v>
      </c>
    </row>
    <row r="168" spans="1:8">
      <c r="A168" t="s">
        <v>173</v>
      </c>
      <c r="B168" t="str">
        <f t="shared" si="6"/>
        <v>Vendor_167</v>
      </c>
      <c r="C168" t="s">
        <v>309</v>
      </c>
      <c r="D168" t="str">
        <f t="shared" si="7"/>
        <v>South</v>
      </c>
      <c r="E168">
        <v>3494695</v>
      </c>
      <c r="F168" s="1">
        <v>45095</v>
      </c>
      <c r="G168" s="1">
        <v>46399</v>
      </c>
      <c r="H168" t="str">
        <f t="shared" si="8"/>
        <v>contact167@vendor.com</v>
      </c>
    </row>
    <row r="169" spans="1:8">
      <c r="A169" t="s">
        <v>174</v>
      </c>
      <c r="B169" t="str">
        <f t="shared" si="6"/>
        <v>Vendor_168</v>
      </c>
      <c r="C169" t="s">
        <v>309</v>
      </c>
      <c r="D169" t="str">
        <f t="shared" si="7"/>
        <v>South</v>
      </c>
      <c r="E169">
        <v>3820248</v>
      </c>
      <c r="F169" s="1">
        <v>44515</v>
      </c>
      <c r="G169" s="1">
        <v>45613</v>
      </c>
      <c r="H169" t="str">
        <f t="shared" si="8"/>
        <v>contact168@vendor.com</v>
      </c>
    </row>
    <row r="170" spans="1:8">
      <c r="A170" t="s">
        <v>175</v>
      </c>
      <c r="B170" t="str">
        <f t="shared" si="6"/>
        <v>Vendor_169</v>
      </c>
      <c r="C170" t="s">
        <v>309</v>
      </c>
      <c r="D170" t="str">
        <f t="shared" si="7"/>
        <v>South</v>
      </c>
      <c r="E170">
        <v>4272694</v>
      </c>
      <c r="F170" s="1">
        <v>44243</v>
      </c>
      <c r="G170" s="1">
        <v>44983</v>
      </c>
      <c r="H170" t="str">
        <f t="shared" si="8"/>
        <v>contact169@vendor.com</v>
      </c>
    </row>
    <row r="171" spans="1:8">
      <c r="A171" t="s">
        <v>176</v>
      </c>
      <c r="B171" t="str">
        <f t="shared" si="6"/>
        <v>Vendor_170</v>
      </c>
      <c r="C171" t="s">
        <v>309</v>
      </c>
      <c r="D171" t="str">
        <f t="shared" si="7"/>
        <v>South</v>
      </c>
      <c r="E171">
        <v>2304077</v>
      </c>
      <c r="F171" s="1">
        <v>44714</v>
      </c>
      <c r="G171" s="1">
        <v>46389</v>
      </c>
      <c r="H171" t="str">
        <f t="shared" si="8"/>
        <v>contact170@vendor.com</v>
      </c>
    </row>
    <row r="172" spans="1:8">
      <c r="A172" t="s">
        <v>177</v>
      </c>
      <c r="B172" t="str">
        <f t="shared" si="6"/>
        <v>Vendor_171</v>
      </c>
      <c r="C172" t="s">
        <v>309</v>
      </c>
      <c r="D172" t="str">
        <f t="shared" si="7"/>
        <v>South</v>
      </c>
      <c r="E172">
        <v>2041504</v>
      </c>
      <c r="F172" s="1">
        <v>44426</v>
      </c>
      <c r="G172" s="1">
        <v>45428</v>
      </c>
      <c r="H172" t="str">
        <f t="shared" si="8"/>
        <v>contact171@vendor.com</v>
      </c>
    </row>
    <row r="173" spans="1:8">
      <c r="A173" t="s">
        <v>178</v>
      </c>
      <c r="B173" t="str">
        <f t="shared" si="6"/>
        <v>Vendor_172</v>
      </c>
      <c r="C173" t="s">
        <v>309</v>
      </c>
      <c r="D173" t="str">
        <f t="shared" si="7"/>
        <v>South</v>
      </c>
      <c r="E173">
        <v>3012538</v>
      </c>
      <c r="F173" s="1">
        <v>44713</v>
      </c>
      <c r="G173" s="1">
        <v>45552</v>
      </c>
      <c r="H173" t="str">
        <f t="shared" si="8"/>
        <v>contact172@vendor.com</v>
      </c>
    </row>
    <row r="174" spans="1:8">
      <c r="A174" t="s">
        <v>179</v>
      </c>
      <c r="B174" t="str">
        <f t="shared" si="6"/>
        <v>Vendor_173</v>
      </c>
      <c r="C174" t="s">
        <v>309</v>
      </c>
      <c r="D174" t="str">
        <f t="shared" si="7"/>
        <v>South</v>
      </c>
      <c r="E174">
        <v>2620078</v>
      </c>
      <c r="F174" s="1">
        <v>44277</v>
      </c>
      <c r="G174" s="1">
        <v>45011</v>
      </c>
      <c r="H174" t="str">
        <f t="shared" si="8"/>
        <v>contact173@vendor.com</v>
      </c>
    </row>
    <row r="175" spans="1:8">
      <c r="A175" t="s">
        <v>180</v>
      </c>
      <c r="B175" t="str">
        <f t="shared" si="6"/>
        <v>Vendor_174</v>
      </c>
      <c r="C175" t="s">
        <v>309</v>
      </c>
      <c r="D175" t="str">
        <f t="shared" si="7"/>
        <v>South</v>
      </c>
      <c r="E175">
        <v>4820136</v>
      </c>
      <c r="F175" s="1">
        <v>44437</v>
      </c>
      <c r="G175" s="1">
        <v>46139</v>
      </c>
      <c r="H175" t="str">
        <f t="shared" si="8"/>
        <v>contact174@vendor.com</v>
      </c>
    </row>
    <row r="176" spans="1:8">
      <c r="A176" t="s">
        <v>181</v>
      </c>
      <c r="B176" t="str">
        <f t="shared" si="6"/>
        <v>Vendor_175</v>
      </c>
      <c r="C176" t="s">
        <v>309</v>
      </c>
      <c r="D176" t="str">
        <f t="shared" si="7"/>
        <v>South</v>
      </c>
      <c r="E176">
        <v>492749</v>
      </c>
      <c r="F176" s="1">
        <v>44296</v>
      </c>
      <c r="G176" s="1">
        <v>45498</v>
      </c>
      <c r="H176" t="str">
        <f t="shared" si="8"/>
        <v>contact175@vendor.com</v>
      </c>
    </row>
    <row r="177" spans="1:8">
      <c r="A177" t="s">
        <v>182</v>
      </c>
      <c r="B177" t="str">
        <f t="shared" si="6"/>
        <v>Vendor_176</v>
      </c>
      <c r="C177" t="s">
        <v>309</v>
      </c>
      <c r="D177" t="str">
        <f t="shared" si="7"/>
        <v>South</v>
      </c>
      <c r="E177">
        <v>743718</v>
      </c>
      <c r="F177" s="1">
        <v>44206</v>
      </c>
      <c r="G177" s="1">
        <v>44598</v>
      </c>
      <c r="H177" t="str">
        <f t="shared" si="8"/>
        <v>contact176@vendor.com</v>
      </c>
    </row>
    <row r="178" spans="1:8">
      <c r="A178" t="s">
        <v>183</v>
      </c>
      <c r="B178" t="str">
        <f t="shared" si="6"/>
        <v>Vendor_177</v>
      </c>
      <c r="C178" t="s">
        <v>309</v>
      </c>
      <c r="D178" t="str">
        <f t="shared" si="7"/>
        <v>South</v>
      </c>
      <c r="E178">
        <v>352884</v>
      </c>
      <c r="F178" s="1">
        <v>44711</v>
      </c>
      <c r="G178" s="1">
        <v>45355</v>
      </c>
      <c r="H178" t="str">
        <f t="shared" si="8"/>
        <v>contact177@vendor.com</v>
      </c>
    </row>
    <row r="179" spans="1:8">
      <c r="A179" t="s">
        <v>184</v>
      </c>
      <c r="B179" t="str">
        <f t="shared" si="6"/>
        <v>Vendor_178</v>
      </c>
      <c r="C179" t="s">
        <v>309</v>
      </c>
      <c r="D179" t="str">
        <f t="shared" si="7"/>
        <v>South</v>
      </c>
      <c r="E179">
        <v>966333</v>
      </c>
      <c r="F179" s="1">
        <v>44218</v>
      </c>
      <c r="G179" s="1">
        <v>45769</v>
      </c>
      <c r="H179" t="str">
        <f t="shared" si="8"/>
        <v>contact178@vendor.com</v>
      </c>
    </row>
    <row r="180" spans="1:8">
      <c r="A180" t="s">
        <v>185</v>
      </c>
      <c r="B180" t="str">
        <f t="shared" si="6"/>
        <v>Vendor_179</v>
      </c>
      <c r="C180" t="s">
        <v>309</v>
      </c>
      <c r="D180" t="str">
        <f t="shared" si="7"/>
        <v>South</v>
      </c>
      <c r="E180">
        <v>981666</v>
      </c>
      <c r="F180" s="1">
        <v>45024</v>
      </c>
      <c r="G180" s="1">
        <v>46368</v>
      </c>
      <c r="H180" t="str">
        <f t="shared" si="8"/>
        <v>contact179@vendor.com</v>
      </c>
    </row>
    <row r="181" spans="1:8">
      <c r="A181" t="s">
        <v>186</v>
      </c>
      <c r="B181" t="str">
        <f t="shared" si="6"/>
        <v>Vendor_180</v>
      </c>
      <c r="C181" t="s">
        <v>309</v>
      </c>
      <c r="D181" t="str">
        <f t="shared" si="7"/>
        <v>South</v>
      </c>
      <c r="E181">
        <v>898006</v>
      </c>
      <c r="F181" s="1">
        <v>44585</v>
      </c>
      <c r="G181" s="1">
        <v>44988</v>
      </c>
      <c r="H181" t="str">
        <f t="shared" si="8"/>
        <v>contact180@vendor.com</v>
      </c>
    </row>
    <row r="182" spans="1:8">
      <c r="A182" t="s">
        <v>187</v>
      </c>
      <c r="B182" t="str">
        <f t="shared" si="6"/>
        <v>Vendor_181</v>
      </c>
      <c r="C182" t="s">
        <v>309</v>
      </c>
      <c r="D182" t="str">
        <f t="shared" si="7"/>
        <v>South</v>
      </c>
      <c r="E182">
        <v>723647</v>
      </c>
      <c r="F182" s="1">
        <v>44207</v>
      </c>
      <c r="G182" s="1">
        <v>45926</v>
      </c>
      <c r="H182" t="str">
        <f t="shared" si="8"/>
        <v>contact181@vendor.com</v>
      </c>
    </row>
    <row r="183" spans="1:8">
      <c r="A183" t="s">
        <v>188</v>
      </c>
      <c r="B183" t="str">
        <f t="shared" si="6"/>
        <v>Vendor_182</v>
      </c>
      <c r="C183" t="s">
        <v>309</v>
      </c>
      <c r="D183" t="str">
        <f t="shared" si="7"/>
        <v>South</v>
      </c>
      <c r="E183">
        <v>842038</v>
      </c>
      <c r="F183" s="1">
        <v>44661</v>
      </c>
      <c r="G183" s="1">
        <v>45318</v>
      </c>
      <c r="H183" t="str">
        <f t="shared" si="8"/>
        <v>contact182@vendor.com</v>
      </c>
    </row>
    <row r="184" spans="1:8">
      <c r="A184" t="s">
        <v>189</v>
      </c>
      <c r="B184" t="str">
        <f t="shared" si="6"/>
        <v>Vendor_183</v>
      </c>
      <c r="C184" t="s">
        <v>309</v>
      </c>
      <c r="D184" t="str">
        <f t="shared" si="7"/>
        <v>South</v>
      </c>
      <c r="E184">
        <v>962583</v>
      </c>
      <c r="F184" s="1">
        <v>45058</v>
      </c>
      <c r="G184" s="1">
        <v>46175</v>
      </c>
      <c r="H184" t="str">
        <f t="shared" si="8"/>
        <v>contact183@vendor.com</v>
      </c>
    </row>
    <row r="185" spans="1:8">
      <c r="A185" t="s">
        <v>190</v>
      </c>
      <c r="B185" t="str">
        <f t="shared" si="6"/>
        <v>Vendor_184</v>
      </c>
      <c r="C185" t="s">
        <v>309</v>
      </c>
      <c r="D185" t="str">
        <f t="shared" si="7"/>
        <v>South</v>
      </c>
      <c r="E185">
        <v>362153</v>
      </c>
      <c r="F185" s="1">
        <v>45057</v>
      </c>
      <c r="G185" s="1">
        <v>45534</v>
      </c>
      <c r="H185" t="str">
        <f t="shared" si="8"/>
        <v>contact184@vendor.com</v>
      </c>
    </row>
    <row r="186" spans="1:8">
      <c r="A186" t="s">
        <v>191</v>
      </c>
      <c r="B186" t="str">
        <f t="shared" si="6"/>
        <v>Vendor_185</v>
      </c>
      <c r="C186" t="s">
        <v>309</v>
      </c>
      <c r="D186" t="str">
        <f t="shared" si="7"/>
        <v>South</v>
      </c>
      <c r="E186">
        <v>576700</v>
      </c>
      <c r="F186" s="1">
        <v>44331</v>
      </c>
      <c r="G186" s="1">
        <v>45918</v>
      </c>
      <c r="H186" t="str">
        <f t="shared" si="8"/>
        <v>contact185@vendor.com</v>
      </c>
    </row>
    <row r="187" spans="1:8">
      <c r="A187" t="s">
        <v>192</v>
      </c>
      <c r="B187" t="str">
        <f t="shared" si="6"/>
        <v>Vendor_186</v>
      </c>
      <c r="C187" t="s">
        <v>309</v>
      </c>
      <c r="D187" t="str">
        <f t="shared" si="7"/>
        <v>South</v>
      </c>
      <c r="E187">
        <v>607272</v>
      </c>
      <c r="F187" s="1">
        <v>44608</v>
      </c>
      <c r="G187" s="1">
        <v>45462</v>
      </c>
      <c r="H187" t="str">
        <f t="shared" si="8"/>
        <v>contact186@vendor.com</v>
      </c>
    </row>
    <row r="188" spans="1:8">
      <c r="A188" t="s">
        <v>193</v>
      </c>
      <c r="B188" t="str">
        <f t="shared" si="6"/>
        <v>Vendor_187</v>
      </c>
      <c r="C188" t="s">
        <v>309</v>
      </c>
      <c r="D188" t="str">
        <f t="shared" si="7"/>
        <v>South</v>
      </c>
      <c r="E188">
        <v>954551</v>
      </c>
      <c r="F188" s="1">
        <v>44812</v>
      </c>
      <c r="G188" s="1">
        <v>46297</v>
      </c>
      <c r="H188" t="str">
        <f t="shared" si="8"/>
        <v>contact187@vendor.com</v>
      </c>
    </row>
    <row r="189" spans="1:8">
      <c r="A189" t="s">
        <v>194</v>
      </c>
      <c r="B189" t="str">
        <f t="shared" si="6"/>
        <v>Vendor_188</v>
      </c>
      <c r="C189" t="s">
        <v>309</v>
      </c>
      <c r="D189" t="str">
        <f t="shared" si="7"/>
        <v>South</v>
      </c>
      <c r="E189">
        <v>692683</v>
      </c>
      <c r="F189" s="1">
        <v>44655</v>
      </c>
      <c r="G189" s="1">
        <v>46284</v>
      </c>
      <c r="H189" t="str">
        <f t="shared" si="8"/>
        <v>contact188@vendor.com</v>
      </c>
    </row>
    <row r="190" spans="1:8">
      <c r="A190" t="s">
        <v>195</v>
      </c>
      <c r="B190" t="str">
        <f t="shared" si="6"/>
        <v>Vendor_189</v>
      </c>
      <c r="C190" t="s">
        <v>309</v>
      </c>
      <c r="D190" t="str">
        <f t="shared" si="7"/>
        <v>South</v>
      </c>
      <c r="E190">
        <v>285598</v>
      </c>
      <c r="F190" s="1">
        <v>44473</v>
      </c>
      <c r="G190" s="1">
        <v>44986</v>
      </c>
      <c r="H190" t="str">
        <f t="shared" si="8"/>
        <v>contact189@vendor.com</v>
      </c>
    </row>
    <row r="191" spans="1:8">
      <c r="A191" t="s">
        <v>196</v>
      </c>
      <c r="B191" t="str">
        <f t="shared" si="6"/>
        <v>Vendor_190</v>
      </c>
      <c r="C191" t="s">
        <v>309</v>
      </c>
      <c r="D191" t="str">
        <f t="shared" si="7"/>
        <v>South</v>
      </c>
      <c r="E191">
        <v>578346</v>
      </c>
      <c r="F191" s="1">
        <v>44309</v>
      </c>
      <c r="G191" s="1">
        <v>45088</v>
      </c>
      <c r="H191" t="str">
        <f t="shared" si="8"/>
        <v>contact190@vendor.com</v>
      </c>
    </row>
    <row r="192" spans="1:8">
      <c r="A192" t="s">
        <v>197</v>
      </c>
      <c r="B192" t="str">
        <f t="shared" si="6"/>
        <v>Vendor_191</v>
      </c>
      <c r="C192" t="s">
        <v>309</v>
      </c>
      <c r="D192" t="str">
        <f t="shared" si="7"/>
        <v>South</v>
      </c>
      <c r="E192">
        <v>581021</v>
      </c>
      <c r="F192" s="1">
        <v>44855</v>
      </c>
      <c r="G192" s="1">
        <v>46203</v>
      </c>
      <c r="H192" t="str">
        <f t="shared" si="8"/>
        <v>contact191@vendor.com</v>
      </c>
    </row>
    <row r="193" spans="1:8">
      <c r="A193" t="s">
        <v>198</v>
      </c>
      <c r="B193" t="str">
        <f t="shared" si="6"/>
        <v>Vendor_192</v>
      </c>
      <c r="C193" t="s">
        <v>309</v>
      </c>
      <c r="D193" t="str">
        <f t="shared" si="7"/>
        <v>South</v>
      </c>
      <c r="E193">
        <v>552792</v>
      </c>
      <c r="F193" s="1">
        <v>44371</v>
      </c>
      <c r="G193" s="1">
        <v>44765</v>
      </c>
      <c r="H193" t="str">
        <f t="shared" si="8"/>
        <v>contact192@vendor.com</v>
      </c>
    </row>
    <row r="194" spans="1:8">
      <c r="A194" t="s">
        <v>199</v>
      </c>
      <c r="B194" t="str">
        <f t="shared" si="6"/>
        <v>Vendor_193</v>
      </c>
      <c r="C194" t="s">
        <v>309</v>
      </c>
      <c r="D194" t="str">
        <f t="shared" si="7"/>
        <v>South</v>
      </c>
      <c r="E194">
        <v>490559</v>
      </c>
      <c r="F194" s="1">
        <v>44257</v>
      </c>
      <c r="G194" s="1">
        <v>44866</v>
      </c>
      <c r="H194" t="str">
        <f t="shared" si="8"/>
        <v>contact193@vendor.com</v>
      </c>
    </row>
    <row r="195" spans="1:8">
      <c r="A195" t="s">
        <v>200</v>
      </c>
      <c r="B195" t="str">
        <f t="shared" ref="B195:B258" si="9">_xlfn.CONCAT("Vendor_",TEXT(ROW()-1,"000"))</f>
        <v>Vendor_194</v>
      </c>
      <c r="C195" t="s">
        <v>309</v>
      </c>
      <c r="D195" t="str">
        <f t="shared" ref="D195:D258" si="10">CHOOSE(ROUNDUP((ROW()-1)/100,0),"East","South","West","North")</f>
        <v>South</v>
      </c>
      <c r="E195">
        <v>885185</v>
      </c>
      <c r="F195" s="1">
        <v>44203</v>
      </c>
      <c r="G195" s="1">
        <v>46016</v>
      </c>
      <c r="H195" t="str">
        <f t="shared" ref="H195:H258" si="11">_xlfn.CONCAT("contact",ROW()-1,"@vendor.com")</f>
        <v>contact194@vendor.com</v>
      </c>
    </row>
    <row r="196" spans="1:8">
      <c r="A196" t="s">
        <v>201</v>
      </c>
      <c r="B196" t="str">
        <f t="shared" si="9"/>
        <v>Vendor_195</v>
      </c>
      <c r="C196" t="s">
        <v>309</v>
      </c>
      <c r="D196" t="str">
        <f t="shared" si="10"/>
        <v>South</v>
      </c>
      <c r="E196">
        <v>700373</v>
      </c>
      <c r="F196" s="1">
        <v>44530</v>
      </c>
      <c r="G196" s="1">
        <v>45257</v>
      </c>
      <c r="H196" t="str">
        <f t="shared" si="11"/>
        <v>contact195@vendor.com</v>
      </c>
    </row>
    <row r="197" spans="1:8">
      <c r="A197" t="s">
        <v>202</v>
      </c>
      <c r="B197" t="str">
        <f t="shared" si="9"/>
        <v>Vendor_196</v>
      </c>
      <c r="C197" t="s">
        <v>309</v>
      </c>
      <c r="D197" t="str">
        <f t="shared" si="10"/>
        <v>South</v>
      </c>
      <c r="E197">
        <v>754882</v>
      </c>
      <c r="F197" s="1">
        <v>44692</v>
      </c>
      <c r="G197" s="1">
        <v>45617</v>
      </c>
      <c r="H197" t="str">
        <f t="shared" si="11"/>
        <v>contact196@vendor.com</v>
      </c>
    </row>
    <row r="198" spans="1:8">
      <c r="A198" t="s">
        <v>203</v>
      </c>
      <c r="B198" t="str">
        <f t="shared" si="9"/>
        <v>Vendor_197</v>
      </c>
      <c r="C198" t="s">
        <v>309</v>
      </c>
      <c r="D198" t="str">
        <f t="shared" si="10"/>
        <v>South</v>
      </c>
      <c r="E198">
        <v>621856</v>
      </c>
      <c r="F198" s="1">
        <v>44524</v>
      </c>
      <c r="G198" s="1">
        <v>44927</v>
      </c>
      <c r="H198" t="str">
        <f t="shared" si="11"/>
        <v>contact197@vendor.com</v>
      </c>
    </row>
    <row r="199" spans="1:8">
      <c r="A199" t="s">
        <v>204</v>
      </c>
      <c r="B199" t="str">
        <f t="shared" si="9"/>
        <v>Vendor_198</v>
      </c>
      <c r="C199" t="s">
        <v>309</v>
      </c>
      <c r="D199" t="str">
        <f t="shared" si="10"/>
        <v>South</v>
      </c>
      <c r="E199">
        <v>797421</v>
      </c>
      <c r="F199" s="1">
        <v>44803</v>
      </c>
      <c r="G199" s="1">
        <v>45367</v>
      </c>
      <c r="H199" t="str">
        <f t="shared" si="11"/>
        <v>contact198@vendor.com</v>
      </c>
    </row>
    <row r="200" spans="1:8">
      <c r="A200" t="s">
        <v>205</v>
      </c>
      <c r="B200" t="str">
        <f t="shared" si="9"/>
        <v>Vendor_199</v>
      </c>
      <c r="C200" t="s">
        <v>309</v>
      </c>
      <c r="D200" t="str">
        <f t="shared" si="10"/>
        <v>South</v>
      </c>
      <c r="E200">
        <v>810503</v>
      </c>
      <c r="F200" s="1">
        <v>44650</v>
      </c>
      <c r="G200" s="1">
        <v>46159</v>
      </c>
      <c r="H200" t="str">
        <f t="shared" si="11"/>
        <v>contact199@vendor.com</v>
      </c>
    </row>
    <row r="201" spans="1:8">
      <c r="A201" t="s">
        <v>206</v>
      </c>
      <c r="B201" t="str">
        <f t="shared" si="9"/>
        <v>Vendor_200</v>
      </c>
      <c r="C201" t="s">
        <v>309</v>
      </c>
      <c r="D201" t="str">
        <f t="shared" si="10"/>
        <v>South</v>
      </c>
      <c r="E201">
        <v>416724</v>
      </c>
      <c r="F201" s="1">
        <v>44331</v>
      </c>
      <c r="G201" s="1">
        <v>44726</v>
      </c>
      <c r="H201" t="str">
        <f t="shared" si="11"/>
        <v>contact200@vendor.com</v>
      </c>
    </row>
    <row r="202" spans="1:8">
      <c r="A202" t="s">
        <v>207</v>
      </c>
      <c r="B202" t="str">
        <f t="shared" si="9"/>
        <v>Vendor_201</v>
      </c>
      <c r="C202" t="s">
        <v>309</v>
      </c>
      <c r="D202" t="str">
        <f t="shared" si="10"/>
        <v>West</v>
      </c>
      <c r="E202">
        <v>651745</v>
      </c>
      <c r="F202" s="1">
        <v>45188</v>
      </c>
      <c r="G202" s="1">
        <v>46611</v>
      </c>
      <c r="H202" t="str">
        <f t="shared" si="11"/>
        <v>contact201@vendor.com</v>
      </c>
    </row>
    <row r="203" spans="1:8">
      <c r="A203" t="s">
        <v>208</v>
      </c>
      <c r="B203" t="str">
        <f t="shared" si="9"/>
        <v>Vendor_202</v>
      </c>
      <c r="C203" t="s">
        <v>309</v>
      </c>
      <c r="D203" t="str">
        <f t="shared" si="10"/>
        <v>West</v>
      </c>
      <c r="E203">
        <v>180797</v>
      </c>
      <c r="F203" s="1">
        <v>44836</v>
      </c>
      <c r="G203" s="1">
        <v>45312</v>
      </c>
      <c r="H203" t="str">
        <f t="shared" si="11"/>
        <v>contact202@vendor.com</v>
      </c>
    </row>
    <row r="204" spans="1:8">
      <c r="A204" t="s">
        <v>209</v>
      </c>
      <c r="B204" t="str">
        <f t="shared" si="9"/>
        <v>Vendor_203</v>
      </c>
      <c r="C204" t="s">
        <v>309</v>
      </c>
      <c r="D204" t="str">
        <f t="shared" si="10"/>
        <v>West</v>
      </c>
      <c r="E204">
        <v>151264</v>
      </c>
      <c r="F204" s="1">
        <v>44532</v>
      </c>
      <c r="G204" s="1">
        <v>45840</v>
      </c>
      <c r="H204" t="str">
        <f t="shared" si="11"/>
        <v>contact203@vendor.com</v>
      </c>
    </row>
    <row r="205" spans="1:8">
      <c r="A205" t="s">
        <v>210</v>
      </c>
      <c r="B205" t="str">
        <f t="shared" si="9"/>
        <v>Vendor_204</v>
      </c>
      <c r="C205" t="s">
        <v>309</v>
      </c>
      <c r="D205" t="str">
        <f t="shared" si="10"/>
        <v>West</v>
      </c>
      <c r="E205">
        <v>78721</v>
      </c>
      <c r="F205" s="1">
        <v>44987</v>
      </c>
      <c r="G205" s="1">
        <v>46538</v>
      </c>
      <c r="H205" t="str">
        <f t="shared" si="11"/>
        <v>contact204@vendor.com</v>
      </c>
    </row>
    <row r="206" spans="1:8">
      <c r="A206" t="s">
        <v>211</v>
      </c>
      <c r="B206" t="str">
        <f t="shared" si="9"/>
        <v>Vendor_205</v>
      </c>
      <c r="C206" t="s">
        <v>309</v>
      </c>
      <c r="D206" t="str">
        <f t="shared" si="10"/>
        <v>West</v>
      </c>
      <c r="E206">
        <v>67603</v>
      </c>
      <c r="F206" s="1">
        <v>45126</v>
      </c>
      <c r="G206" s="1">
        <v>46370</v>
      </c>
      <c r="H206" t="str">
        <f t="shared" si="11"/>
        <v>contact205@vendor.com</v>
      </c>
    </row>
    <row r="207" spans="1:8">
      <c r="A207" t="s">
        <v>212</v>
      </c>
      <c r="B207" t="str">
        <f t="shared" si="9"/>
        <v>Vendor_206</v>
      </c>
      <c r="C207" t="s">
        <v>309</v>
      </c>
      <c r="D207" t="str">
        <f t="shared" si="10"/>
        <v>West</v>
      </c>
      <c r="E207">
        <v>247913</v>
      </c>
      <c r="F207" s="1">
        <v>45094</v>
      </c>
      <c r="G207" s="1">
        <v>46404</v>
      </c>
      <c r="H207" t="str">
        <f t="shared" si="11"/>
        <v>contact206@vendor.com</v>
      </c>
    </row>
    <row r="208" spans="1:8">
      <c r="A208" t="s">
        <v>213</v>
      </c>
      <c r="B208" t="str">
        <f t="shared" si="9"/>
        <v>Vendor_207</v>
      </c>
      <c r="C208" t="s">
        <v>309</v>
      </c>
      <c r="D208" t="str">
        <f t="shared" si="10"/>
        <v>West</v>
      </c>
      <c r="E208">
        <v>201818</v>
      </c>
      <c r="F208" s="1">
        <v>44505</v>
      </c>
      <c r="G208" s="1">
        <v>45843</v>
      </c>
      <c r="H208" t="str">
        <f t="shared" si="11"/>
        <v>contact207@vendor.com</v>
      </c>
    </row>
    <row r="209" spans="1:8">
      <c r="A209" t="s">
        <v>214</v>
      </c>
      <c r="B209" t="str">
        <f t="shared" si="9"/>
        <v>Vendor_208</v>
      </c>
      <c r="C209" t="s">
        <v>309</v>
      </c>
      <c r="D209" t="str">
        <f t="shared" si="10"/>
        <v>West</v>
      </c>
      <c r="E209">
        <v>111886</v>
      </c>
      <c r="F209" s="1">
        <v>44605</v>
      </c>
      <c r="G209" s="1">
        <v>45883</v>
      </c>
      <c r="H209" t="str">
        <f t="shared" si="11"/>
        <v>contact208@vendor.com</v>
      </c>
    </row>
    <row r="210" spans="1:8">
      <c r="A210" t="s">
        <v>215</v>
      </c>
      <c r="B210" t="str">
        <f t="shared" si="9"/>
        <v>Vendor_209</v>
      </c>
      <c r="C210" t="s">
        <v>309</v>
      </c>
      <c r="D210" t="str">
        <f t="shared" si="10"/>
        <v>West</v>
      </c>
      <c r="E210">
        <v>71873</v>
      </c>
      <c r="F210" s="1">
        <v>45097</v>
      </c>
      <c r="G210" s="1">
        <v>46471</v>
      </c>
      <c r="H210" t="str">
        <f t="shared" si="11"/>
        <v>contact209@vendor.com</v>
      </c>
    </row>
    <row r="211" spans="1:8">
      <c r="A211" t="s">
        <v>216</v>
      </c>
      <c r="B211" t="str">
        <f t="shared" si="9"/>
        <v>Vendor_210</v>
      </c>
      <c r="C211" t="s">
        <v>309</v>
      </c>
      <c r="D211" t="str">
        <f t="shared" si="10"/>
        <v>West</v>
      </c>
      <c r="E211">
        <v>190464</v>
      </c>
      <c r="F211" s="1">
        <v>44506</v>
      </c>
      <c r="G211" s="1">
        <v>44880</v>
      </c>
      <c r="H211" t="str">
        <f t="shared" si="11"/>
        <v>contact210@vendor.com</v>
      </c>
    </row>
    <row r="212" spans="1:8">
      <c r="A212" t="s">
        <v>217</v>
      </c>
      <c r="B212" t="str">
        <f t="shared" si="9"/>
        <v>Vendor_211</v>
      </c>
      <c r="C212" t="s">
        <v>309</v>
      </c>
      <c r="D212" t="str">
        <f t="shared" si="10"/>
        <v>West</v>
      </c>
      <c r="E212">
        <v>189618</v>
      </c>
      <c r="F212" s="1">
        <v>44435</v>
      </c>
      <c r="G212" s="1">
        <v>45566</v>
      </c>
      <c r="H212" t="str">
        <f t="shared" si="11"/>
        <v>contact211@vendor.com</v>
      </c>
    </row>
    <row r="213" spans="1:8">
      <c r="A213" t="s">
        <v>218</v>
      </c>
      <c r="B213" t="str">
        <f t="shared" si="9"/>
        <v>Vendor_212</v>
      </c>
      <c r="C213" t="s">
        <v>309</v>
      </c>
      <c r="D213" t="str">
        <f t="shared" si="10"/>
        <v>West</v>
      </c>
      <c r="E213">
        <v>212788</v>
      </c>
      <c r="F213" s="1">
        <v>44900</v>
      </c>
      <c r="G213" s="1">
        <v>45407</v>
      </c>
      <c r="H213" t="str">
        <f t="shared" si="11"/>
        <v>contact212@vendor.com</v>
      </c>
    </row>
    <row r="214" spans="1:8">
      <c r="A214" t="s">
        <v>219</v>
      </c>
      <c r="B214" t="str">
        <f t="shared" si="9"/>
        <v>Vendor_213</v>
      </c>
      <c r="C214" t="s">
        <v>309</v>
      </c>
      <c r="D214" t="str">
        <f t="shared" si="10"/>
        <v>West</v>
      </c>
      <c r="E214">
        <v>76523</v>
      </c>
      <c r="F214" s="1">
        <v>45037</v>
      </c>
      <c r="G214" s="1">
        <v>46763</v>
      </c>
      <c r="H214" t="str">
        <f t="shared" si="11"/>
        <v>contact213@vendor.com</v>
      </c>
    </row>
    <row r="215" spans="1:8">
      <c r="A215" t="s">
        <v>220</v>
      </c>
      <c r="B215" t="str">
        <f t="shared" si="9"/>
        <v>Vendor_214</v>
      </c>
      <c r="C215" t="s">
        <v>309</v>
      </c>
      <c r="D215" t="str">
        <f t="shared" si="10"/>
        <v>West</v>
      </c>
      <c r="E215">
        <v>63584</v>
      </c>
      <c r="F215" s="1">
        <v>45159</v>
      </c>
      <c r="G215" s="1">
        <v>46163</v>
      </c>
      <c r="H215" t="str">
        <f t="shared" si="11"/>
        <v>contact214@vendor.com</v>
      </c>
    </row>
    <row r="216" spans="1:8">
      <c r="A216" t="s">
        <v>221</v>
      </c>
      <c r="B216" t="str">
        <f t="shared" si="9"/>
        <v>Vendor_215</v>
      </c>
      <c r="C216" t="s">
        <v>309</v>
      </c>
      <c r="D216" t="str">
        <f t="shared" si="10"/>
        <v>West</v>
      </c>
      <c r="E216">
        <v>87098</v>
      </c>
      <c r="F216" s="1">
        <v>44427</v>
      </c>
      <c r="G216" s="1">
        <v>45939</v>
      </c>
      <c r="H216" t="str">
        <f t="shared" si="11"/>
        <v>contact215@vendor.com</v>
      </c>
    </row>
    <row r="217" spans="1:8">
      <c r="A217" t="s">
        <v>222</v>
      </c>
      <c r="B217" t="str">
        <f t="shared" si="9"/>
        <v>Vendor_216</v>
      </c>
      <c r="C217" t="s">
        <v>309</v>
      </c>
      <c r="D217" t="str">
        <f t="shared" si="10"/>
        <v>West</v>
      </c>
      <c r="E217">
        <v>231737</v>
      </c>
      <c r="F217" s="1">
        <v>44943</v>
      </c>
      <c r="G217" s="1">
        <v>46394</v>
      </c>
      <c r="H217" t="str">
        <f t="shared" si="11"/>
        <v>contact216@vendor.com</v>
      </c>
    </row>
    <row r="218" spans="1:8">
      <c r="A218" t="s">
        <v>223</v>
      </c>
      <c r="B218" t="str">
        <f t="shared" si="9"/>
        <v>Vendor_217</v>
      </c>
      <c r="C218" t="s">
        <v>309</v>
      </c>
      <c r="D218" t="str">
        <f t="shared" si="10"/>
        <v>West</v>
      </c>
      <c r="E218">
        <v>180011</v>
      </c>
      <c r="F218" s="1">
        <v>44889</v>
      </c>
      <c r="G218" s="1">
        <v>45479</v>
      </c>
      <c r="H218" t="str">
        <f t="shared" si="11"/>
        <v>contact217@vendor.com</v>
      </c>
    </row>
    <row r="219" spans="1:8">
      <c r="A219" t="s">
        <v>224</v>
      </c>
      <c r="B219" t="str">
        <f t="shared" si="9"/>
        <v>Vendor_218</v>
      </c>
      <c r="C219" t="s">
        <v>309</v>
      </c>
      <c r="D219" t="str">
        <f t="shared" si="10"/>
        <v>West</v>
      </c>
      <c r="E219">
        <v>148986</v>
      </c>
      <c r="F219" s="1">
        <v>44797</v>
      </c>
      <c r="G219" s="1">
        <v>46339</v>
      </c>
      <c r="H219" t="str">
        <f t="shared" si="11"/>
        <v>contact218@vendor.com</v>
      </c>
    </row>
    <row r="220" spans="1:8">
      <c r="A220" t="s">
        <v>225</v>
      </c>
      <c r="B220" t="str">
        <f t="shared" si="9"/>
        <v>Vendor_219</v>
      </c>
      <c r="C220" t="s">
        <v>309</v>
      </c>
      <c r="D220" t="str">
        <f t="shared" si="10"/>
        <v>West</v>
      </c>
      <c r="E220">
        <v>189444</v>
      </c>
      <c r="F220" s="1">
        <v>44744</v>
      </c>
      <c r="G220" s="1">
        <v>45593</v>
      </c>
      <c r="H220" t="str">
        <f t="shared" si="11"/>
        <v>contact219@vendor.com</v>
      </c>
    </row>
    <row r="221" spans="1:8">
      <c r="A221" t="s">
        <v>226</v>
      </c>
      <c r="B221" t="str">
        <f t="shared" si="9"/>
        <v>Vendor_220</v>
      </c>
      <c r="C221" t="s">
        <v>309</v>
      </c>
      <c r="D221" t="str">
        <f t="shared" si="10"/>
        <v>West</v>
      </c>
      <c r="E221">
        <v>244064</v>
      </c>
      <c r="F221" s="1">
        <v>45116</v>
      </c>
      <c r="G221" s="1">
        <v>45981</v>
      </c>
      <c r="H221" t="str">
        <f t="shared" si="11"/>
        <v>contact220@vendor.com</v>
      </c>
    </row>
    <row r="222" spans="1:8">
      <c r="A222" t="s">
        <v>227</v>
      </c>
      <c r="B222" t="str">
        <f t="shared" si="9"/>
        <v>Vendor_221</v>
      </c>
      <c r="C222" t="s">
        <v>309</v>
      </c>
      <c r="D222" t="str">
        <f t="shared" si="10"/>
        <v>West</v>
      </c>
      <c r="E222">
        <v>183677</v>
      </c>
      <c r="F222" s="1">
        <v>44492</v>
      </c>
      <c r="G222" s="1">
        <v>45028</v>
      </c>
      <c r="H222" t="str">
        <f t="shared" si="11"/>
        <v>contact221@vendor.com</v>
      </c>
    </row>
    <row r="223" spans="1:8">
      <c r="A223" t="s">
        <v>228</v>
      </c>
      <c r="B223" t="str">
        <f t="shared" si="9"/>
        <v>Vendor_222</v>
      </c>
      <c r="C223" t="s">
        <v>309</v>
      </c>
      <c r="D223" t="str">
        <f t="shared" si="10"/>
        <v>West</v>
      </c>
      <c r="E223">
        <v>242677</v>
      </c>
      <c r="F223" s="1">
        <v>44505</v>
      </c>
      <c r="G223" s="1">
        <v>46146</v>
      </c>
      <c r="H223" t="str">
        <f t="shared" si="11"/>
        <v>contact222@vendor.com</v>
      </c>
    </row>
    <row r="224" spans="1:8">
      <c r="A224" t="s">
        <v>229</v>
      </c>
      <c r="B224" t="str">
        <f t="shared" si="9"/>
        <v>Vendor_223</v>
      </c>
      <c r="C224" t="s">
        <v>309</v>
      </c>
      <c r="D224" t="str">
        <f t="shared" si="10"/>
        <v>West</v>
      </c>
      <c r="E224">
        <v>153489</v>
      </c>
      <c r="F224" s="1">
        <v>44968</v>
      </c>
      <c r="G224" s="1">
        <v>45616</v>
      </c>
      <c r="H224" t="str">
        <f t="shared" si="11"/>
        <v>contact223@vendor.com</v>
      </c>
    </row>
    <row r="225" spans="1:8">
      <c r="A225" t="s">
        <v>230</v>
      </c>
      <c r="B225" t="str">
        <f t="shared" si="9"/>
        <v>Vendor_224</v>
      </c>
      <c r="C225" t="s">
        <v>309</v>
      </c>
      <c r="D225" t="str">
        <f t="shared" si="10"/>
        <v>West</v>
      </c>
      <c r="E225">
        <v>223906</v>
      </c>
      <c r="F225" s="1">
        <v>44745</v>
      </c>
      <c r="G225" s="1">
        <v>46100</v>
      </c>
      <c r="H225" t="str">
        <f t="shared" si="11"/>
        <v>contact224@vendor.com</v>
      </c>
    </row>
    <row r="226" spans="1:8">
      <c r="A226" t="s">
        <v>231</v>
      </c>
      <c r="B226" t="str">
        <f t="shared" si="9"/>
        <v>Vendor_225</v>
      </c>
      <c r="C226" t="s">
        <v>309</v>
      </c>
      <c r="D226" t="str">
        <f t="shared" si="10"/>
        <v>West</v>
      </c>
      <c r="E226">
        <v>51496</v>
      </c>
      <c r="F226" s="1">
        <v>44632</v>
      </c>
      <c r="G226" s="1">
        <v>45533</v>
      </c>
      <c r="H226" t="str">
        <f t="shared" si="11"/>
        <v>contact225@vendor.com</v>
      </c>
    </row>
    <row r="227" spans="1:8">
      <c r="A227" t="s">
        <v>232</v>
      </c>
      <c r="B227" t="str">
        <f t="shared" si="9"/>
        <v>Vendor_226</v>
      </c>
      <c r="C227" t="s">
        <v>309</v>
      </c>
      <c r="D227" t="str">
        <f t="shared" si="10"/>
        <v>West</v>
      </c>
      <c r="E227">
        <v>231778</v>
      </c>
      <c r="F227" s="1">
        <v>44920</v>
      </c>
      <c r="G227" s="1">
        <v>45311</v>
      </c>
      <c r="H227" t="str">
        <f t="shared" si="11"/>
        <v>contact226@vendor.com</v>
      </c>
    </row>
    <row r="228" spans="1:8">
      <c r="A228" t="s">
        <v>233</v>
      </c>
      <c r="B228" t="str">
        <f t="shared" si="9"/>
        <v>Vendor_227</v>
      </c>
      <c r="C228" t="s">
        <v>309</v>
      </c>
      <c r="D228" t="str">
        <f t="shared" si="10"/>
        <v>West</v>
      </c>
      <c r="E228">
        <v>144911</v>
      </c>
      <c r="F228" s="1">
        <v>44295</v>
      </c>
      <c r="G228" s="1">
        <v>44730</v>
      </c>
      <c r="H228" t="str">
        <f t="shared" si="11"/>
        <v>contact227@vendor.com</v>
      </c>
    </row>
    <row r="229" spans="1:8">
      <c r="A229" t="s">
        <v>234</v>
      </c>
      <c r="B229" t="str">
        <f t="shared" si="9"/>
        <v>Vendor_228</v>
      </c>
      <c r="C229" t="s">
        <v>309</v>
      </c>
      <c r="D229" t="str">
        <f t="shared" si="10"/>
        <v>West</v>
      </c>
      <c r="E229">
        <v>152529</v>
      </c>
      <c r="F229" s="1">
        <v>44208</v>
      </c>
      <c r="G229" s="1">
        <v>45306</v>
      </c>
      <c r="H229" t="str">
        <f t="shared" si="11"/>
        <v>contact228@vendor.com</v>
      </c>
    </row>
    <row r="230" spans="1:8">
      <c r="A230" t="s">
        <v>235</v>
      </c>
      <c r="B230" t="str">
        <f t="shared" si="9"/>
        <v>Vendor_229</v>
      </c>
      <c r="C230" t="s">
        <v>309</v>
      </c>
      <c r="D230" t="str">
        <f t="shared" si="10"/>
        <v>West</v>
      </c>
      <c r="E230">
        <v>113338</v>
      </c>
      <c r="F230" s="1">
        <v>44983</v>
      </c>
      <c r="G230" s="1">
        <v>46506</v>
      </c>
      <c r="H230" t="str">
        <f t="shared" si="11"/>
        <v>contact229@vendor.com</v>
      </c>
    </row>
    <row r="231" spans="1:8">
      <c r="A231" t="s">
        <v>236</v>
      </c>
      <c r="B231" t="str">
        <f t="shared" si="9"/>
        <v>Vendor_230</v>
      </c>
      <c r="C231" t="s">
        <v>309</v>
      </c>
      <c r="D231" t="str">
        <f t="shared" si="10"/>
        <v>West</v>
      </c>
      <c r="E231">
        <v>178190</v>
      </c>
      <c r="F231" s="1">
        <v>45037</v>
      </c>
      <c r="G231" s="1">
        <v>45882</v>
      </c>
      <c r="H231" t="str">
        <f t="shared" si="11"/>
        <v>contact230@vendor.com</v>
      </c>
    </row>
    <row r="232" spans="1:8">
      <c r="A232" t="s">
        <v>237</v>
      </c>
      <c r="B232" t="str">
        <f t="shared" si="9"/>
        <v>Vendor_231</v>
      </c>
      <c r="C232" t="s">
        <v>309</v>
      </c>
      <c r="D232" t="str">
        <f t="shared" si="10"/>
        <v>West</v>
      </c>
      <c r="E232">
        <v>191289</v>
      </c>
      <c r="F232" s="1">
        <v>45117</v>
      </c>
      <c r="G232" s="1">
        <v>46465</v>
      </c>
      <c r="H232" t="str">
        <f t="shared" si="11"/>
        <v>contact231@vendor.com</v>
      </c>
    </row>
    <row r="233" spans="1:8">
      <c r="A233" t="s">
        <v>238</v>
      </c>
      <c r="B233" t="str">
        <f t="shared" si="9"/>
        <v>Vendor_232</v>
      </c>
      <c r="C233" t="s">
        <v>309</v>
      </c>
      <c r="D233" t="str">
        <f t="shared" si="10"/>
        <v>West</v>
      </c>
      <c r="E233">
        <v>96241</v>
      </c>
      <c r="F233" s="1">
        <v>44884</v>
      </c>
      <c r="G233" s="1">
        <v>45845</v>
      </c>
      <c r="H233" t="str">
        <f t="shared" si="11"/>
        <v>contact232@vendor.com</v>
      </c>
    </row>
    <row r="234" spans="1:8">
      <c r="A234" t="s">
        <v>239</v>
      </c>
      <c r="B234" t="str">
        <f t="shared" si="9"/>
        <v>Vendor_233</v>
      </c>
      <c r="C234" t="s">
        <v>309</v>
      </c>
      <c r="D234" t="str">
        <f t="shared" si="10"/>
        <v>West</v>
      </c>
      <c r="E234">
        <v>203379</v>
      </c>
      <c r="F234" s="1">
        <v>44512</v>
      </c>
      <c r="G234" s="1">
        <v>46168</v>
      </c>
      <c r="H234" t="str">
        <f t="shared" si="11"/>
        <v>contact233@vendor.com</v>
      </c>
    </row>
    <row r="235" spans="1:8">
      <c r="A235" t="s">
        <v>240</v>
      </c>
      <c r="B235" t="str">
        <f t="shared" si="9"/>
        <v>Vendor_234</v>
      </c>
      <c r="C235" t="s">
        <v>309</v>
      </c>
      <c r="D235" t="str">
        <f t="shared" si="10"/>
        <v>West</v>
      </c>
      <c r="E235">
        <v>243388</v>
      </c>
      <c r="F235" s="1">
        <v>44407</v>
      </c>
      <c r="G235" s="1">
        <v>46100</v>
      </c>
      <c r="H235" t="str">
        <f t="shared" si="11"/>
        <v>contact234@vendor.com</v>
      </c>
    </row>
    <row r="236" spans="1:8">
      <c r="A236" t="s">
        <v>241</v>
      </c>
      <c r="B236" t="str">
        <f t="shared" si="9"/>
        <v>Vendor_235</v>
      </c>
      <c r="C236" t="s">
        <v>309</v>
      </c>
      <c r="D236" t="str">
        <f t="shared" si="10"/>
        <v>West</v>
      </c>
      <c r="E236">
        <v>188219</v>
      </c>
      <c r="F236" s="1">
        <v>44800</v>
      </c>
      <c r="G236" s="1">
        <v>46456</v>
      </c>
      <c r="H236" t="str">
        <f t="shared" si="11"/>
        <v>contact235@vendor.com</v>
      </c>
    </row>
    <row r="237" spans="1:8">
      <c r="A237" t="s">
        <v>242</v>
      </c>
      <c r="B237" t="str">
        <f t="shared" si="9"/>
        <v>Vendor_236</v>
      </c>
      <c r="C237" t="s">
        <v>309</v>
      </c>
      <c r="D237" t="str">
        <f t="shared" si="10"/>
        <v>West</v>
      </c>
      <c r="E237">
        <v>202410</v>
      </c>
      <c r="F237" s="1">
        <v>45043</v>
      </c>
      <c r="G237" s="1">
        <v>45469</v>
      </c>
      <c r="H237" t="str">
        <f t="shared" si="11"/>
        <v>contact236@vendor.com</v>
      </c>
    </row>
    <row r="238" spans="1:8">
      <c r="A238" t="s">
        <v>243</v>
      </c>
      <c r="B238" t="str">
        <f t="shared" si="9"/>
        <v>Vendor_237</v>
      </c>
      <c r="C238" t="s">
        <v>309</v>
      </c>
      <c r="D238" t="str">
        <f t="shared" si="10"/>
        <v>West</v>
      </c>
      <c r="E238">
        <v>236215</v>
      </c>
      <c r="F238" s="1">
        <v>44253</v>
      </c>
      <c r="G238" s="1">
        <v>45837</v>
      </c>
      <c r="H238" t="str">
        <f t="shared" si="11"/>
        <v>contact237@vendor.com</v>
      </c>
    </row>
    <row r="239" spans="1:8">
      <c r="A239" t="s">
        <v>244</v>
      </c>
      <c r="B239" t="str">
        <f t="shared" si="9"/>
        <v>Vendor_238</v>
      </c>
      <c r="C239" t="s">
        <v>309</v>
      </c>
      <c r="D239" t="str">
        <f t="shared" si="10"/>
        <v>West</v>
      </c>
      <c r="E239">
        <v>237784</v>
      </c>
      <c r="F239" s="1">
        <v>44263</v>
      </c>
      <c r="G239" s="1">
        <v>46078</v>
      </c>
      <c r="H239" t="str">
        <f t="shared" si="11"/>
        <v>contact238@vendor.com</v>
      </c>
    </row>
    <row r="240" spans="1:8">
      <c r="A240" t="s">
        <v>245</v>
      </c>
      <c r="B240" t="str">
        <f t="shared" si="9"/>
        <v>Vendor_239</v>
      </c>
      <c r="C240" t="s">
        <v>309</v>
      </c>
      <c r="D240" t="str">
        <f t="shared" si="10"/>
        <v>West</v>
      </c>
      <c r="E240">
        <v>109136</v>
      </c>
      <c r="F240" s="1">
        <v>44568</v>
      </c>
      <c r="G240" s="1">
        <v>45583</v>
      </c>
      <c r="H240" t="str">
        <f t="shared" si="11"/>
        <v>contact239@vendor.com</v>
      </c>
    </row>
    <row r="241" spans="1:8">
      <c r="A241" t="s">
        <v>246</v>
      </c>
      <c r="B241" t="str">
        <f t="shared" si="9"/>
        <v>Vendor_240</v>
      </c>
      <c r="C241" t="s">
        <v>310</v>
      </c>
      <c r="D241" t="str">
        <f t="shared" si="10"/>
        <v>West</v>
      </c>
      <c r="E241">
        <v>223223</v>
      </c>
      <c r="F241" s="1">
        <v>45141</v>
      </c>
      <c r="G241" s="1">
        <v>46527</v>
      </c>
      <c r="H241" t="str">
        <f t="shared" si="11"/>
        <v>contact240@vendor.com</v>
      </c>
    </row>
    <row r="242" spans="1:8">
      <c r="A242" t="s">
        <v>247</v>
      </c>
      <c r="B242" t="str">
        <f t="shared" si="9"/>
        <v>Vendor_241</v>
      </c>
      <c r="C242" t="s">
        <v>310</v>
      </c>
      <c r="D242" t="str">
        <f t="shared" si="10"/>
        <v>West</v>
      </c>
      <c r="E242">
        <v>195253</v>
      </c>
      <c r="F242" s="1">
        <v>45001</v>
      </c>
      <c r="G242" s="1">
        <v>46273</v>
      </c>
      <c r="H242" t="str">
        <f t="shared" si="11"/>
        <v>contact241@vendor.com</v>
      </c>
    </row>
    <row r="243" spans="1:8">
      <c r="A243" t="s">
        <v>248</v>
      </c>
      <c r="B243" t="str">
        <f t="shared" si="9"/>
        <v>Vendor_242</v>
      </c>
      <c r="C243" t="s">
        <v>310</v>
      </c>
      <c r="D243" t="str">
        <f t="shared" si="10"/>
        <v>West</v>
      </c>
      <c r="E243">
        <v>63671</v>
      </c>
      <c r="F243" s="1">
        <v>44343</v>
      </c>
      <c r="G243" s="1">
        <v>46119</v>
      </c>
      <c r="H243" t="str">
        <f t="shared" si="11"/>
        <v>contact242@vendor.com</v>
      </c>
    </row>
    <row r="244" spans="1:8">
      <c r="A244" t="s">
        <v>249</v>
      </c>
      <c r="B244" t="str">
        <f t="shared" si="9"/>
        <v>Vendor_243</v>
      </c>
      <c r="C244" t="s">
        <v>310</v>
      </c>
      <c r="D244" t="str">
        <f t="shared" si="10"/>
        <v>West</v>
      </c>
      <c r="E244">
        <v>126560</v>
      </c>
      <c r="F244" s="1">
        <v>44704</v>
      </c>
      <c r="G244" s="1">
        <v>45588</v>
      </c>
      <c r="H244" t="str">
        <f t="shared" si="11"/>
        <v>contact243@vendor.com</v>
      </c>
    </row>
    <row r="245" spans="1:8">
      <c r="A245" t="s">
        <v>250</v>
      </c>
      <c r="B245" t="str">
        <f t="shared" si="9"/>
        <v>Vendor_244</v>
      </c>
      <c r="C245" t="s">
        <v>310</v>
      </c>
      <c r="D245" t="str">
        <f t="shared" si="10"/>
        <v>West</v>
      </c>
      <c r="E245">
        <v>145068</v>
      </c>
      <c r="F245" s="1">
        <v>44430</v>
      </c>
      <c r="G245" s="1">
        <v>45811</v>
      </c>
      <c r="H245" t="str">
        <f t="shared" si="11"/>
        <v>contact244@vendor.com</v>
      </c>
    </row>
    <row r="246" spans="1:8">
      <c r="A246" t="s">
        <v>251</v>
      </c>
      <c r="B246" t="str">
        <f t="shared" si="9"/>
        <v>Vendor_245</v>
      </c>
      <c r="C246" t="s">
        <v>310</v>
      </c>
      <c r="D246" t="str">
        <f t="shared" si="10"/>
        <v>West</v>
      </c>
      <c r="E246">
        <v>196637</v>
      </c>
      <c r="F246" s="1">
        <v>44764</v>
      </c>
      <c r="G246" s="1">
        <v>46338</v>
      </c>
      <c r="H246" t="str">
        <f t="shared" si="11"/>
        <v>contact245@vendor.com</v>
      </c>
    </row>
    <row r="247" spans="1:8">
      <c r="A247" t="s">
        <v>252</v>
      </c>
      <c r="B247" t="str">
        <f t="shared" si="9"/>
        <v>Vendor_246</v>
      </c>
      <c r="C247" t="s">
        <v>310</v>
      </c>
      <c r="D247" t="str">
        <f t="shared" si="10"/>
        <v>West</v>
      </c>
      <c r="E247">
        <v>192940</v>
      </c>
      <c r="F247" s="1">
        <v>44595</v>
      </c>
      <c r="G247" s="1">
        <v>45235</v>
      </c>
      <c r="H247" t="str">
        <f t="shared" si="11"/>
        <v>contact246@vendor.com</v>
      </c>
    </row>
    <row r="248" spans="1:8">
      <c r="A248" t="s">
        <v>253</v>
      </c>
      <c r="B248" t="str">
        <f t="shared" si="9"/>
        <v>Vendor_247</v>
      </c>
      <c r="C248" t="s">
        <v>310</v>
      </c>
      <c r="D248" t="str">
        <f t="shared" si="10"/>
        <v>West</v>
      </c>
      <c r="E248">
        <v>90090</v>
      </c>
      <c r="F248" s="1">
        <v>44207</v>
      </c>
      <c r="G248" s="1">
        <v>44712</v>
      </c>
      <c r="H248" t="str">
        <f t="shared" si="11"/>
        <v>contact247@vendor.com</v>
      </c>
    </row>
    <row r="249" spans="1:8">
      <c r="A249" t="s">
        <v>254</v>
      </c>
      <c r="B249" t="str">
        <f t="shared" si="9"/>
        <v>Vendor_248</v>
      </c>
      <c r="C249" t="s">
        <v>310</v>
      </c>
      <c r="D249" t="str">
        <f t="shared" si="10"/>
        <v>West</v>
      </c>
      <c r="E249">
        <v>218587</v>
      </c>
      <c r="F249" s="1">
        <v>44716</v>
      </c>
      <c r="G249" s="1">
        <v>45926</v>
      </c>
      <c r="H249" t="str">
        <f t="shared" si="11"/>
        <v>contact248@vendor.com</v>
      </c>
    </row>
    <row r="250" spans="1:8">
      <c r="A250" t="s">
        <v>255</v>
      </c>
      <c r="B250" t="str">
        <f t="shared" si="9"/>
        <v>Vendor_249</v>
      </c>
      <c r="C250" t="s">
        <v>310</v>
      </c>
      <c r="D250" t="str">
        <f t="shared" si="10"/>
        <v>West</v>
      </c>
      <c r="E250">
        <v>235411</v>
      </c>
      <c r="F250" s="1">
        <v>44431</v>
      </c>
      <c r="G250" s="1">
        <v>45427</v>
      </c>
      <c r="H250" t="str">
        <f t="shared" si="11"/>
        <v>contact249@vendor.com</v>
      </c>
    </row>
    <row r="251" spans="1:8">
      <c r="A251" t="s">
        <v>256</v>
      </c>
      <c r="B251" t="str">
        <f t="shared" si="9"/>
        <v>Vendor_250</v>
      </c>
      <c r="C251" t="s">
        <v>310</v>
      </c>
      <c r="D251" t="str">
        <f t="shared" si="10"/>
        <v>West</v>
      </c>
      <c r="E251">
        <v>242161</v>
      </c>
      <c r="F251" s="1">
        <v>45033</v>
      </c>
      <c r="G251" s="1">
        <v>45873</v>
      </c>
      <c r="H251" t="str">
        <f t="shared" si="11"/>
        <v>contact250@vendor.com</v>
      </c>
    </row>
    <row r="252" spans="1:8">
      <c r="A252" t="s">
        <v>257</v>
      </c>
      <c r="B252" t="str">
        <f t="shared" si="9"/>
        <v>Vendor_251</v>
      </c>
      <c r="C252" t="s">
        <v>310</v>
      </c>
      <c r="D252" t="str">
        <f t="shared" si="10"/>
        <v>West</v>
      </c>
      <c r="E252">
        <v>57453</v>
      </c>
      <c r="F252" s="1">
        <v>45040</v>
      </c>
      <c r="G252" s="1">
        <v>46793</v>
      </c>
      <c r="H252" t="str">
        <f t="shared" si="11"/>
        <v>contact251@vendor.com</v>
      </c>
    </row>
    <row r="253" spans="1:8">
      <c r="A253" t="s">
        <v>258</v>
      </c>
      <c r="B253" t="str">
        <f t="shared" si="9"/>
        <v>Vendor_252</v>
      </c>
      <c r="C253" t="s">
        <v>310</v>
      </c>
      <c r="D253" t="str">
        <f t="shared" si="10"/>
        <v>West</v>
      </c>
      <c r="E253">
        <v>85729</v>
      </c>
      <c r="F253" s="1">
        <v>44870</v>
      </c>
      <c r="G253" s="1">
        <v>45336</v>
      </c>
      <c r="H253" t="str">
        <f t="shared" si="11"/>
        <v>contact252@vendor.com</v>
      </c>
    </row>
    <row r="254" spans="1:8">
      <c r="A254" t="s">
        <v>259</v>
      </c>
      <c r="B254" t="str">
        <f t="shared" si="9"/>
        <v>Vendor_253</v>
      </c>
      <c r="C254" t="s">
        <v>310</v>
      </c>
      <c r="D254" t="str">
        <f t="shared" si="10"/>
        <v>West</v>
      </c>
      <c r="E254">
        <v>110308</v>
      </c>
      <c r="F254" s="1">
        <v>44223</v>
      </c>
      <c r="G254" s="1">
        <v>45221</v>
      </c>
      <c r="H254" t="str">
        <f t="shared" si="11"/>
        <v>contact253@vendor.com</v>
      </c>
    </row>
    <row r="255" spans="1:8">
      <c r="A255" t="s">
        <v>260</v>
      </c>
      <c r="B255" t="str">
        <f t="shared" si="9"/>
        <v>Vendor_254</v>
      </c>
      <c r="C255" t="s">
        <v>310</v>
      </c>
      <c r="D255" t="str">
        <f t="shared" si="10"/>
        <v>West</v>
      </c>
      <c r="E255">
        <v>102491</v>
      </c>
      <c r="F255" s="1">
        <v>44940</v>
      </c>
      <c r="G255" s="1">
        <v>45849</v>
      </c>
      <c r="H255" t="str">
        <f t="shared" si="11"/>
        <v>contact254@vendor.com</v>
      </c>
    </row>
    <row r="256" spans="1:8">
      <c r="A256" t="s">
        <v>261</v>
      </c>
      <c r="B256" t="str">
        <f t="shared" si="9"/>
        <v>Vendor_255</v>
      </c>
      <c r="C256" t="s">
        <v>310</v>
      </c>
      <c r="D256" t="str">
        <f t="shared" si="10"/>
        <v>West</v>
      </c>
      <c r="E256">
        <v>108441</v>
      </c>
      <c r="F256" s="1">
        <v>44506</v>
      </c>
      <c r="G256" s="1">
        <v>45908</v>
      </c>
      <c r="H256" t="str">
        <f t="shared" si="11"/>
        <v>contact255@vendor.com</v>
      </c>
    </row>
    <row r="257" spans="1:8">
      <c r="A257" t="s">
        <v>262</v>
      </c>
      <c r="B257" t="str">
        <f t="shared" si="9"/>
        <v>Vendor_256</v>
      </c>
      <c r="C257" t="s">
        <v>310</v>
      </c>
      <c r="D257" t="str">
        <f t="shared" si="10"/>
        <v>West</v>
      </c>
      <c r="E257">
        <v>191994</v>
      </c>
      <c r="F257" s="1">
        <v>44515</v>
      </c>
      <c r="G257" s="1">
        <v>45584</v>
      </c>
      <c r="H257" t="str">
        <f t="shared" si="11"/>
        <v>contact256@vendor.com</v>
      </c>
    </row>
    <row r="258" spans="1:8">
      <c r="A258" t="s">
        <v>263</v>
      </c>
      <c r="B258" t="str">
        <f t="shared" si="9"/>
        <v>Vendor_257</v>
      </c>
      <c r="C258" t="s">
        <v>310</v>
      </c>
      <c r="D258" t="str">
        <f t="shared" si="10"/>
        <v>West</v>
      </c>
      <c r="E258">
        <v>226050</v>
      </c>
      <c r="F258" s="1">
        <v>44915</v>
      </c>
      <c r="G258" s="1">
        <v>45888</v>
      </c>
      <c r="H258" t="str">
        <f t="shared" si="11"/>
        <v>contact257@vendor.com</v>
      </c>
    </row>
    <row r="259" spans="1:8">
      <c r="A259" t="s">
        <v>264</v>
      </c>
      <c r="B259" t="str">
        <f t="shared" ref="B259:B322" si="12">_xlfn.CONCAT("Vendor_",TEXT(ROW()-1,"000"))</f>
        <v>Vendor_258</v>
      </c>
      <c r="C259" t="s">
        <v>310</v>
      </c>
      <c r="D259" t="str">
        <f t="shared" ref="D259:D322" si="13">CHOOSE(ROUNDUP((ROW()-1)/100,0),"East","South","West","North")</f>
        <v>West</v>
      </c>
      <c r="E259">
        <v>164333</v>
      </c>
      <c r="F259" s="1">
        <v>44491</v>
      </c>
      <c r="G259" s="1">
        <v>46119</v>
      </c>
      <c r="H259" t="str">
        <f t="shared" ref="H259:H322" si="14">_xlfn.CONCAT("contact",ROW()-1,"@vendor.com")</f>
        <v>contact258@vendor.com</v>
      </c>
    </row>
    <row r="260" spans="1:8">
      <c r="A260" t="s">
        <v>265</v>
      </c>
      <c r="B260" t="str">
        <f t="shared" si="12"/>
        <v>Vendor_259</v>
      </c>
      <c r="C260" t="s">
        <v>310</v>
      </c>
      <c r="D260" t="str">
        <f t="shared" si="13"/>
        <v>West</v>
      </c>
      <c r="E260">
        <v>4484896</v>
      </c>
      <c r="F260" s="1">
        <v>44740</v>
      </c>
      <c r="G260" s="1">
        <v>46454</v>
      </c>
      <c r="H260" t="str">
        <f t="shared" si="14"/>
        <v>contact259@vendor.com</v>
      </c>
    </row>
    <row r="261" spans="1:8">
      <c r="A261" t="s">
        <v>266</v>
      </c>
      <c r="B261" t="str">
        <f t="shared" si="12"/>
        <v>Vendor_260</v>
      </c>
      <c r="C261" t="s">
        <v>310</v>
      </c>
      <c r="D261" t="str">
        <f t="shared" si="13"/>
        <v>West</v>
      </c>
      <c r="E261">
        <v>1042022</v>
      </c>
      <c r="F261" s="1">
        <v>44239</v>
      </c>
      <c r="G261" s="1">
        <v>45417</v>
      </c>
      <c r="H261" t="str">
        <f t="shared" si="14"/>
        <v>contact260@vendor.com</v>
      </c>
    </row>
    <row r="262" spans="1:8">
      <c r="A262" t="s">
        <v>267</v>
      </c>
      <c r="B262" t="str">
        <f t="shared" si="12"/>
        <v>Vendor_261</v>
      </c>
      <c r="C262" t="s">
        <v>310</v>
      </c>
      <c r="D262" t="str">
        <f t="shared" si="13"/>
        <v>West</v>
      </c>
      <c r="E262">
        <v>1741274</v>
      </c>
      <c r="F262" s="1">
        <v>44568</v>
      </c>
      <c r="G262" s="1">
        <v>45127</v>
      </c>
      <c r="H262" t="str">
        <f t="shared" si="14"/>
        <v>contact261@vendor.com</v>
      </c>
    </row>
    <row r="263" spans="1:8">
      <c r="A263" t="s">
        <v>268</v>
      </c>
      <c r="B263" t="str">
        <f t="shared" si="12"/>
        <v>Vendor_262</v>
      </c>
      <c r="C263" t="s">
        <v>310</v>
      </c>
      <c r="D263" t="str">
        <f t="shared" si="13"/>
        <v>West</v>
      </c>
      <c r="E263">
        <v>3343835</v>
      </c>
      <c r="F263" s="1">
        <v>44276</v>
      </c>
      <c r="G263" s="1">
        <v>45566</v>
      </c>
      <c r="H263" t="str">
        <f t="shared" si="14"/>
        <v>contact262@vendor.com</v>
      </c>
    </row>
    <row r="264" spans="1:8">
      <c r="A264" t="s">
        <v>269</v>
      </c>
      <c r="B264" t="str">
        <f t="shared" si="12"/>
        <v>Vendor_263</v>
      </c>
      <c r="C264" t="s">
        <v>310</v>
      </c>
      <c r="D264" t="str">
        <f t="shared" si="13"/>
        <v>West</v>
      </c>
      <c r="E264">
        <v>4624587</v>
      </c>
      <c r="F264" s="1">
        <v>44242</v>
      </c>
      <c r="G264" s="1">
        <v>45499</v>
      </c>
      <c r="H264" t="str">
        <f t="shared" si="14"/>
        <v>contact263@vendor.com</v>
      </c>
    </row>
    <row r="265" spans="1:8">
      <c r="A265" t="s">
        <v>270</v>
      </c>
      <c r="B265" t="str">
        <f t="shared" si="12"/>
        <v>Vendor_264</v>
      </c>
      <c r="C265" t="s">
        <v>310</v>
      </c>
      <c r="D265" t="str">
        <f t="shared" si="13"/>
        <v>West</v>
      </c>
      <c r="E265">
        <v>3658468</v>
      </c>
      <c r="F265" s="1">
        <v>45129</v>
      </c>
      <c r="G265" s="1">
        <v>45624</v>
      </c>
      <c r="H265" t="str">
        <f t="shared" si="14"/>
        <v>contact264@vendor.com</v>
      </c>
    </row>
    <row r="266" spans="1:8">
      <c r="A266" t="s">
        <v>271</v>
      </c>
      <c r="B266" t="str">
        <f t="shared" si="12"/>
        <v>Vendor_265</v>
      </c>
      <c r="C266" t="s">
        <v>310</v>
      </c>
      <c r="D266" t="str">
        <f t="shared" si="13"/>
        <v>West</v>
      </c>
      <c r="E266">
        <v>3167949</v>
      </c>
      <c r="F266" s="1">
        <v>45174</v>
      </c>
      <c r="G266" s="1">
        <v>46188</v>
      </c>
      <c r="H266" t="str">
        <f t="shared" si="14"/>
        <v>contact265@vendor.com</v>
      </c>
    </row>
    <row r="267" spans="1:8">
      <c r="A267" t="s">
        <v>272</v>
      </c>
      <c r="B267" t="str">
        <f t="shared" si="12"/>
        <v>Vendor_266</v>
      </c>
      <c r="C267" t="s">
        <v>310</v>
      </c>
      <c r="D267" t="str">
        <f t="shared" si="13"/>
        <v>West</v>
      </c>
      <c r="E267">
        <v>2080880</v>
      </c>
      <c r="F267" s="1">
        <v>44798</v>
      </c>
      <c r="G267" s="1">
        <v>45796</v>
      </c>
      <c r="H267" t="str">
        <f t="shared" si="14"/>
        <v>contact266@vendor.com</v>
      </c>
    </row>
    <row r="268" spans="1:8">
      <c r="A268" t="s">
        <v>273</v>
      </c>
      <c r="B268" t="str">
        <f t="shared" si="12"/>
        <v>Vendor_267</v>
      </c>
      <c r="C268" t="s">
        <v>310</v>
      </c>
      <c r="D268" t="str">
        <f t="shared" si="13"/>
        <v>West</v>
      </c>
      <c r="E268">
        <v>1664252</v>
      </c>
      <c r="F268" s="1">
        <v>44804</v>
      </c>
      <c r="G268" s="1">
        <v>45227</v>
      </c>
      <c r="H268" t="str">
        <f t="shared" si="14"/>
        <v>contact267@vendor.com</v>
      </c>
    </row>
    <row r="269" spans="1:8">
      <c r="A269" t="s">
        <v>274</v>
      </c>
      <c r="B269" t="str">
        <f t="shared" si="12"/>
        <v>Vendor_268</v>
      </c>
      <c r="C269" t="s">
        <v>310</v>
      </c>
      <c r="D269" t="str">
        <f t="shared" si="13"/>
        <v>West</v>
      </c>
      <c r="E269">
        <v>1555807</v>
      </c>
      <c r="F269" s="1">
        <v>44448</v>
      </c>
      <c r="G269" s="1">
        <v>45408</v>
      </c>
      <c r="H269" t="str">
        <f t="shared" si="14"/>
        <v>contact268@vendor.com</v>
      </c>
    </row>
    <row r="270" spans="1:8">
      <c r="A270" t="s">
        <v>275</v>
      </c>
      <c r="B270" t="str">
        <f t="shared" si="12"/>
        <v>Vendor_269</v>
      </c>
      <c r="C270" t="s">
        <v>310</v>
      </c>
      <c r="D270" t="str">
        <f t="shared" si="13"/>
        <v>West</v>
      </c>
      <c r="E270">
        <v>2335985</v>
      </c>
      <c r="F270" s="1">
        <v>44529</v>
      </c>
      <c r="G270" s="1">
        <v>45663</v>
      </c>
      <c r="H270" t="str">
        <f t="shared" si="14"/>
        <v>contact269@vendor.com</v>
      </c>
    </row>
    <row r="271" spans="1:8">
      <c r="A271" t="s">
        <v>276</v>
      </c>
      <c r="B271" t="str">
        <f t="shared" si="12"/>
        <v>Vendor_270</v>
      </c>
      <c r="C271" t="s">
        <v>310</v>
      </c>
      <c r="D271" t="str">
        <f t="shared" si="13"/>
        <v>West</v>
      </c>
      <c r="E271">
        <v>3354405</v>
      </c>
      <c r="F271" s="1">
        <v>44632</v>
      </c>
      <c r="G271" s="1">
        <v>45264</v>
      </c>
      <c r="H271" t="str">
        <f t="shared" si="14"/>
        <v>contact270@vendor.com</v>
      </c>
    </row>
    <row r="272" spans="1:8">
      <c r="A272" t="s">
        <v>277</v>
      </c>
      <c r="B272" t="str">
        <f t="shared" si="12"/>
        <v>Vendor_271</v>
      </c>
      <c r="C272" t="s">
        <v>310</v>
      </c>
      <c r="D272" t="str">
        <f t="shared" si="13"/>
        <v>West</v>
      </c>
      <c r="E272">
        <v>4058999</v>
      </c>
      <c r="F272" s="1">
        <v>44916</v>
      </c>
      <c r="G272" s="1">
        <v>45577</v>
      </c>
      <c r="H272" t="str">
        <f t="shared" si="14"/>
        <v>contact271@vendor.com</v>
      </c>
    </row>
    <row r="273" spans="1:8">
      <c r="A273" t="s">
        <v>278</v>
      </c>
      <c r="B273" t="str">
        <f t="shared" si="12"/>
        <v>Vendor_272</v>
      </c>
      <c r="C273" t="s">
        <v>310</v>
      </c>
      <c r="D273" t="str">
        <f t="shared" si="13"/>
        <v>West</v>
      </c>
      <c r="E273">
        <v>4260724</v>
      </c>
      <c r="F273" s="1">
        <v>44567</v>
      </c>
      <c r="G273" s="1">
        <v>45917</v>
      </c>
      <c r="H273" t="str">
        <f t="shared" si="14"/>
        <v>contact272@vendor.com</v>
      </c>
    </row>
    <row r="274" spans="1:8">
      <c r="A274" t="s">
        <v>279</v>
      </c>
      <c r="B274" t="str">
        <f t="shared" si="12"/>
        <v>Vendor_273</v>
      </c>
      <c r="C274" t="s">
        <v>310</v>
      </c>
      <c r="D274" t="str">
        <f t="shared" si="13"/>
        <v>West</v>
      </c>
      <c r="E274">
        <v>3653022</v>
      </c>
      <c r="F274" s="1">
        <v>44345</v>
      </c>
      <c r="G274" s="1">
        <v>44882</v>
      </c>
      <c r="H274" t="str">
        <f t="shared" si="14"/>
        <v>contact273@vendor.com</v>
      </c>
    </row>
    <row r="275" spans="1:8">
      <c r="A275" t="s">
        <v>280</v>
      </c>
      <c r="B275" t="str">
        <f t="shared" si="12"/>
        <v>Vendor_274</v>
      </c>
      <c r="C275" t="s">
        <v>310</v>
      </c>
      <c r="D275" t="str">
        <f t="shared" si="13"/>
        <v>West</v>
      </c>
      <c r="E275">
        <v>2240574</v>
      </c>
      <c r="F275" s="1">
        <v>44244</v>
      </c>
      <c r="G275" s="1">
        <v>45618</v>
      </c>
      <c r="H275" t="str">
        <f t="shared" si="14"/>
        <v>contact274@vendor.com</v>
      </c>
    </row>
    <row r="276" spans="1:8">
      <c r="A276" t="s">
        <v>281</v>
      </c>
      <c r="B276" t="str">
        <f t="shared" si="12"/>
        <v>Vendor_275</v>
      </c>
      <c r="C276" t="s">
        <v>310</v>
      </c>
      <c r="D276" t="str">
        <f t="shared" si="13"/>
        <v>West</v>
      </c>
      <c r="E276">
        <v>1909874</v>
      </c>
      <c r="F276" s="1">
        <v>44604</v>
      </c>
      <c r="G276" s="1">
        <v>45989</v>
      </c>
      <c r="H276" t="str">
        <f t="shared" si="14"/>
        <v>contact275@vendor.com</v>
      </c>
    </row>
    <row r="277" spans="1:8">
      <c r="A277" t="s">
        <v>282</v>
      </c>
      <c r="B277" t="str">
        <f t="shared" si="12"/>
        <v>Vendor_276</v>
      </c>
      <c r="C277" t="s">
        <v>310</v>
      </c>
      <c r="D277" t="str">
        <f t="shared" si="13"/>
        <v>West</v>
      </c>
      <c r="E277">
        <v>1844223</v>
      </c>
      <c r="F277" s="1">
        <v>44434</v>
      </c>
      <c r="G277" s="1">
        <v>45537</v>
      </c>
      <c r="H277" t="str">
        <f t="shared" si="14"/>
        <v>contact276@vendor.com</v>
      </c>
    </row>
    <row r="278" spans="1:8">
      <c r="A278" t="s">
        <v>283</v>
      </c>
      <c r="B278" t="str">
        <f t="shared" si="12"/>
        <v>Vendor_277</v>
      </c>
      <c r="C278" t="s">
        <v>310</v>
      </c>
      <c r="D278" t="str">
        <f t="shared" si="13"/>
        <v>West</v>
      </c>
      <c r="E278">
        <v>2114645</v>
      </c>
      <c r="F278" s="1">
        <v>44855</v>
      </c>
      <c r="G278" s="1">
        <v>46279</v>
      </c>
      <c r="H278" t="str">
        <f t="shared" si="14"/>
        <v>contact277@vendor.com</v>
      </c>
    </row>
    <row r="279" spans="1:8">
      <c r="A279" t="s">
        <v>284</v>
      </c>
      <c r="B279" t="str">
        <f t="shared" si="12"/>
        <v>Vendor_278</v>
      </c>
      <c r="C279" t="s">
        <v>310</v>
      </c>
      <c r="D279" t="str">
        <f t="shared" si="13"/>
        <v>West</v>
      </c>
      <c r="E279">
        <v>2506502</v>
      </c>
      <c r="F279" s="1">
        <v>44799</v>
      </c>
      <c r="G279" s="1">
        <v>46291</v>
      </c>
      <c r="H279" t="str">
        <f t="shared" si="14"/>
        <v>contact278@vendor.com</v>
      </c>
    </row>
    <row r="280" spans="1:8">
      <c r="A280" t="s">
        <v>285</v>
      </c>
      <c r="B280" t="str">
        <f t="shared" si="12"/>
        <v>Vendor_279</v>
      </c>
      <c r="C280" t="s">
        <v>310</v>
      </c>
      <c r="D280" t="str">
        <f t="shared" si="13"/>
        <v>West</v>
      </c>
      <c r="E280">
        <v>4813038</v>
      </c>
      <c r="F280" s="1">
        <v>45196</v>
      </c>
      <c r="G280" s="1">
        <v>46349</v>
      </c>
      <c r="H280" t="str">
        <f t="shared" si="14"/>
        <v>contact279@vendor.com</v>
      </c>
    </row>
    <row r="281" spans="1:8">
      <c r="A281" t="s">
        <v>286</v>
      </c>
      <c r="B281" t="str">
        <f t="shared" si="12"/>
        <v>Vendor_280</v>
      </c>
      <c r="C281" t="s">
        <v>310</v>
      </c>
      <c r="D281" t="str">
        <f t="shared" si="13"/>
        <v>West</v>
      </c>
      <c r="E281">
        <v>3824780</v>
      </c>
      <c r="F281" s="1">
        <v>44748</v>
      </c>
      <c r="G281" s="1">
        <v>46051</v>
      </c>
      <c r="H281" t="str">
        <f t="shared" si="14"/>
        <v>contact280@vendor.com</v>
      </c>
    </row>
    <row r="282" spans="1:8">
      <c r="A282" t="s">
        <v>287</v>
      </c>
      <c r="B282" t="str">
        <f t="shared" si="12"/>
        <v>Vendor_281</v>
      </c>
      <c r="C282" t="s">
        <v>310</v>
      </c>
      <c r="D282" t="str">
        <f t="shared" si="13"/>
        <v>West</v>
      </c>
      <c r="E282">
        <v>4469254</v>
      </c>
      <c r="F282" s="1">
        <v>44306</v>
      </c>
      <c r="G282" s="1">
        <v>45357</v>
      </c>
      <c r="H282" t="str">
        <f t="shared" si="14"/>
        <v>contact281@vendor.com</v>
      </c>
    </row>
    <row r="283" spans="1:8">
      <c r="A283" t="s">
        <v>288</v>
      </c>
      <c r="B283" t="str">
        <f t="shared" si="12"/>
        <v>Vendor_282</v>
      </c>
      <c r="C283" t="s">
        <v>310</v>
      </c>
      <c r="D283" t="str">
        <f t="shared" si="13"/>
        <v>West</v>
      </c>
      <c r="E283">
        <v>4283175</v>
      </c>
      <c r="F283" s="1">
        <v>44967</v>
      </c>
      <c r="G283" s="1">
        <v>45670</v>
      </c>
      <c r="H283" t="str">
        <f t="shared" si="14"/>
        <v>contact282@vendor.com</v>
      </c>
    </row>
    <row r="284" spans="1:8">
      <c r="A284" t="s">
        <v>289</v>
      </c>
      <c r="B284" t="str">
        <f t="shared" si="12"/>
        <v>Vendor_283</v>
      </c>
      <c r="C284" t="s">
        <v>310</v>
      </c>
      <c r="D284" t="str">
        <f t="shared" si="13"/>
        <v>West</v>
      </c>
      <c r="E284">
        <v>2068569</v>
      </c>
      <c r="F284" s="1">
        <v>45174</v>
      </c>
      <c r="G284" s="1">
        <v>45753</v>
      </c>
      <c r="H284" t="str">
        <f t="shared" si="14"/>
        <v>contact283@vendor.com</v>
      </c>
    </row>
    <row r="285" spans="1:8">
      <c r="A285" t="s">
        <v>290</v>
      </c>
      <c r="B285" t="str">
        <f t="shared" si="12"/>
        <v>Vendor_284</v>
      </c>
      <c r="C285" t="s">
        <v>310</v>
      </c>
      <c r="D285" t="str">
        <f t="shared" si="13"/>
        <v>West</v>
      </c>
      <c r="E285">
        <v>4803966</v>
      </c>
      <c r="F285" s="1">
        <v>44420</v>
      </c>
      <c r="G285" s="1">
        <v>45771</v>
      </c>
      <c r="H285" t="str">
        <f t="shared" si="14"/>
        <v>contact284@vendor.com</v>
      </c>
    </row>
    <row r="286" spans="1:8">
      <c r="A286" t="s">
        <v>291</v>
      </c>
      <c r="B286" t="str">
        <f t="shared" si="12"/>
        <v>Vendor_285</v>
      </c>
      <c r="C286" t="s">
        <v>310</v>
      </c>
      <c r="D286" t="str">
        <f t="shared" si="13"/>
        <v>West</v>
      </c>
      <c r="E286">
        <v>2804597</v>
      </c>
      <c r="F286" s="1">
        <v>44966</v>
      </c>
      <c r="G286" s="1">
        <v>46368</v>
      </c>
      <c r="H286" t="str">
        <f t="shared" si="14"/>
        <v>contact285@vendor.com</v>
      </c>
    </row>
    <row r="287" spans="1:8">
      <c r="A287" t="s">
        <v>292</v>
      </c>
      <c r="B287" t="str">
        <f t="shared" si="12"/>
        <v>Vendor_286</v>
      </c>
      <c r="C287" t="s">
        <v>310</v>
      </c>
      <c r="D287" t="str">
        <f t="shared" si="13"/>
        <v>West</v>
      </c>
      <c r="E287">
        <v>2255113</v>
      </c>
      <c r="F287" s="1">
        <v>45072</v>
      </c>
      <c r="G287" s="1">
        <v>46361</v>
      </c>
      <c r="H287" t="str">
        <f t="shared" si="14"/>
        <v>contact286@vendor.com</v>
      </c>
    </row>
    <row r="288" spans="1:8">
      <c r="A288" t="s">
        <v>293</v>
      </c>
      <c r="B288" t="str">
        <f t="shared" si="12"/>
        <v>Vendor_287</v>
      </c>
      <c r="C288" t="s">
        <v>310</v>
      </c>
      <c r="D288" t="str">
        <f t="shared" si="13"/>
        <v>West</v>
      </c>
      <c r="E288">
        <v>4616839</v>
      </c>
      <c r="F288" s="1">
        <v>44441</v>
      </c>
      <c r="G288" s="1">
        <v>45501</v>
      </c>
      <c r="H288" t="str">
        <f t="shared" si="14"/>
        <v>contact287@vendor.com</v>
      </c>
    </row>
    <row r="289" spans="1:8">
      <c r="A289" t="s">
        <v>294</v>
      </c>
      <c r="B289" t="str">
        <f t="shared" si="12"/>
        <v>Vendor_288</v>
      </c>
      <c r="C289" t="s">
        <v>310</v>
      </c>
      <c r="D289" t="str">
        <f t="shared" si="13"/>
        <v>West</v>
      </c>
      <c r="E289">
        <v>1571840</v>
      </c>
      <c r="F289" s="1">
        <v>44488</v>
      </c>
      <c r="G289" s="1">
        <v>45241</v>
      </c>
      <c r="H289" t="str">
        <f t="shared" si="14"/>
        <v>contact288@vendor.com</v>
      </c>
    </row>
    <row r="290" spans="1:8">
      <c r="A290" t="s">
        <v>295</v>
      </c>
      <c r="B290" t="str">
        <f t="shared" si="12"/>
        <v>Vendor_289</v>
      </c>
      <c r="C290" t="s">
        <v>310</v>
      </c>
      <c r="D290" t="str">
        <f t="shared" si="13"/>
        <v>West</v>
      </c>
      <c r="E290">
        <v>1299355</v>
      </c>
      <c r="F290" s="1">
        <v>44262</v>
      </c>
      <c r="G290" s="1">
        <v>45509</v>
      </c>
      <c r="H290" t="str">
        <f t="shared" si="14"/>
        <v>contact289@vendor.com</v>
      </c>
    </row>
    <row r="291" spans="1:8">
      <c r="A291" t="s">
        <v>296</v>
      </c>
      <c r="B291" t="str">
        <f t="shared" si="12"/>
        <v>Vendor_290</v>
      </c>
      <c r="C291" t="s">
        <v>310</v>
      </c>
      <c r="D291" t="str">
        <f t="shared" si="13"/>
        <v>West</v>
      </c>
      <c r="E291">
        <v>3926781</v>
      </c>
      <c r="F291" s="1">
        <v>44498</v>
      </c>
      <c r="G291" s="1">
        <v>45299</v>
      </c>
      <c r="H291" t="str">
        <f t="shared" si="14"/>
        <v>contact290@vendor.com</v>
      </c>
    </row>
    <row r="292" spans="1:8">
      <c r="A292" t="s">
        <v>297</v>
      </c>
      <c r="B292" t="str">
        <f t="shared" si="12"/>
        <v>Vendor_291</v>
      </c>
      <c r="C292" t="s">
        <v>310</v>
      </c>
      <c r="D292" t="str">
        <f t="shared" si="13"/>
        <v>West</v>
      </c>
      <c r="E292">
        <v>4386358</v>
      </c>
      <c r="F292" s="1">
        <v>44782</v>
      </c>
      <c r="G292" s="1">
        <v>46301</v>
      </c>
      <c r="H292" t="str">
        <f t="shared" si="14"/>
        <v>contact291@vendor.com</v>
      </c>
    </row>
    <row r="293" spans="1:8">
      <c r="A293" t="s">
        <v>298</v>
      </c>
      <c r="B293" t="str">
        <f t="shared" si="12"/>
        <v>Vendor_292</v>
      </c>
      <c r="C293" t="s">
        <v>310</v>
      </c>
      <c r="D293" t="str">
        <f t="shared" si="13"/>
        <v>West</v>
      </c>
      <c r="E293">
        <v>4634994</v>
      </c>
      <c r="F293" s="1">
        <v>44463</v>
      </c>
      <c r="G293" s="1">
        <v>45986</v>
      </c>
      <c r="H293" t="str">
        <f t="shared" si="14"/>
        <v>contact292@vendor.com</v>
      </c>
    </row>
    <row r="294" spans="1:8">
      <c r="A294" t="s">
        <v>299</v>
      </c>
      <c r="B294" t="str">
        <f t="shared" si="12"/>
        <v>Vendor_293</v>
      </c>
      <c r="C294" t="s">
        <v>310</v>
      </c>
      <c r="D294" t="str">
        <f t="shared" si="13"/>
        <v>West</v>
      </c>
      <c r="E294">
        <v>4952520</v>
      </c>
      <c r="F294" s="1">
        <v>44947</v>
      </c>
      <c r="G294" s="1">
        <v>46176</v>
      </c>
      <c r="H294" t="str">
        <f t="shared" si="14"/>
        <v>contact293@vendor.com</v>
      </c>
    </row>
    <row r="295" spans="1:8">
      <c r="A295" t="s">
        <v>300</v>
      </c>
      <c r="B295" t="str">
        <f t="shared" si="12"/>
        <v>Vendor_294</v>
      </c>
      <c r="C295" t="s">
        <v>310</v>
      </c>
      <c r="D295" t="str">
        <f t="shared" si="13"/>
        <v>West</v>
      </c>
      <c r="E295">
        <v>3276946</v>
      </c>
      <c r="F295" s="1">
        <v>44456</v>
      </c>
      <c r="G295" s="1">
        <v>45367</v>
      </c>
      <c r="H295" t="str">
        <f t="shared" si="14"/>
        <v>contact294@vendor.com</v>
      </c>
    </row>
    <row r="296" spans="1:8">
      <c r="A296" t="s">
        <v>301</v>
      </c>
      <c r="B296" t="str">
        <f t="shared" si="12"/>
        <v>Vendor_295</v>
      </c>
      <c r="C296" t="s">
        <v>310</v>
      </c>
      <c r="D296" t="str">
        <f t="shared" si="13"/>
        <v>West</v>
      </c>
      <c r="E296">
        <v>1024288</v>
      </c>
      <c r="F296" s="1">
        <v>45181</v>
      </c>
      <c r="G296" s="1">
        <v>46837</v>
      </c>
      <c r="H296" t="str">
        <f t="shared" si="14"/>
        <v>contact295@vendor.com</v>
      </c>
    </row>
    <row r="297" spans="1:8">
      <c r="A297" t="s">
        <v>302</v>
      </c>
      <c r="B297" t="str">
        <f t="shared" si="12"/>
        <v>Vendor_296</v>
      </c>
      <c r="C297" t="s">
        <v>310</v>
      </c>
      <c r="D297" t="str">
        <f t="shared" si="13"/>
        <v>West</v>
      </c>
      <c r="E297">
        <v>716142</v>
      </c>
      <c r="F297" s="1">
        <v>44759</v>
      </c>
      <c r="G297" s="1">
        <v>46132</v>
      </c>
      <c r="H297" t="str">
        <f t="shared" si="14"/>
        <v>contact296@vendor.com</v>
      </c>
    </row>
    <row r="298" spans="1:8">
      <c r="A298" t="s">
        <v>303</v>
      </c>
      <c r="B298" t="str">
        <f t="shared" si="12"/>
        <v>Vendor_297</v>
      </c>
      <c r="C298" t="s">
        <v>310</v>
      </c>
      <c r="D298" t="str">
        <f t="shared" si="13"/>
        <v>West</v>
      </c>
      <c r="E298">
        <v>526558</v>
      </c>
      <c r="F298" s="1">
        <v>44769</v>
      </c>
      <c r="G298" s="1">
        <v>45245</v>
      </c>
      <c r="H298" t="str">
        <f t="shared" si="14"/>
        <v>contact297@vendor.com</v>
      </c>
    </row>
    <row r="299" spans="1:8">
      <c r="A299" t="s">
        <v>304</v>
      </c>
      <c r="B299" t="str">
        <f t="shared" si="12"/>
        <v>Vendor_298</v>
      </c>
      <c r="C299" t="s">
        <v>310</v>
      </c>
      <c r="D299" t="str">
        <f t="shared" si="13"/>
        <v>West</v>
      </c>
      <c r="E299">
        <v>856049</v>
      </c>
      <c r="F299" s="1">
        <v>45092</v>
      </c>
      <c r="G299" s="1">
        <v>45460</v>
      </c>
      <c r="H299" t="str">
        <f t="shared" si="14"/>
        <v>contact298@vendor.com</v>
      </c>
    </row>
    <row r="300" spans="1:8">
      <c r="A300" t="s">
        <v>305</v>
      </c>
      <c r="B300" t="str">
        <f t="shared" si="12"/>
        <v>Vendor_299</v>
      </c>
      <c r="C300" t="s">
        <v>310</v>
      </c>
      <c r="D300" t="str">
        <f t="shared" si="13"/>
        <v>West</v>
      </c>
      <c r="E300">
        <v>971701</v>
      </c>
      <c r="F300" s="1">
        <v>44645</v>
      </c>
      <c r="G300" s="1">
        <v>45328</v>
      </c>
      <c r="H300" t="str">
        <f t="shared" si="14"/>
        <v>contact299@vendor.com</v>
      </c>
    </row>
    <row r="301" spans="1:8">
      <c r="A301" t="s">
        <v>306</v>
      </c>
      <c r="B301" t="str">
        <f t="shared" si="12"/>
        <v>Vendor_300</v>
      </c>
      <c r="C301" t="s">
        <v>310</v>
      </c>
      <c r="D301" t="str">
        <f t="shared" si="13"/>
        <v>West</v>
      </c>
      <c r="E301">
        <v>691138</v>
      </c>
      <c r="F301" s="1">
        <v>45137</v>
      </c>
      <c r="G301" s="1">
        <v>45617</v>
      </c>
      <c r="H301" t="str">
        <f t="shared" si="14"/>
        <v>contact300@vendor.com</v>
      </c>
    </row>
    <row r="302" spans="1:8">
      <c r="A302" t="s">
        <v>320</v>
      </c>
      <c r="B302" t="str">
        <f t="shared" si="12"/>
        <v>Vendor_301</v>
      </c>
      <c r="C302" t="s">
        <v>310</v>
      </c>
      <c r="D302" t="str">
        <f t="shared" si="13"/>
        <v>North</v>
      </c>
      <c r="E302">
        <v>303801</v>
      </c>
      <c r="F302" s="1">
        <v>44557</v>
      </c>
      <c r="G302" s="1">
        <v>45910</v>
      </c>
      <c r="H302" t="str">
        <f t="shared" si="14"/>
        <v>contact301@vendor.com</v>
      </c>
    </row>
    <row r="303" spans="1:8">
      <c r="A303" t="s">
        <v>321</v>
      </c>
      <c r="B303" t="str">
        <f t="shared" si="12"/>
        <v>Vendor_302</v>
      </c>
      <c r="C303" t="s">
        <v>310</v>
      </c>
      <c r="D303" t="str">
        <f t="shared" si="13"/>
        <v>North</v>
      </c>
      <c r="E303">
        <v>378900</v>
      </c>
      <c r="F303" s="1">
        <v>44992</v>
      </c>
      <c r="G303" s="1">
        <v>45368</v>
      </c>
      <c r="H303" t="str">
        <f t="shared" si="14"/>
        <v>contact302@vendor.com</v>
      </c>
    </row>
    <row r="304" spans="1:8">
      <c r="A304" t="s">
        <v>322</v>
      </c>
      <c r="B304" t="str">
        <f t="shared" si="12"/>
        <v>Vendor_303</v>
      </c>
      <c r="C304" t="s">
        <v>310</v>
      </c>
      <c r="D304" t="str">
        <f t="shared" si="13"/>
        <v>North</v>
      </c>
      <c r="E304">
        <v>414850</v>
      </c>
      <c r="F304" s="1">
        <v>44798</v>
      </c>
      <c r="G304" s="1">
        <v>46084</v>
      </c>
      <c r="H304" t="str">
        <f t="shared" si="14"/>
        <v>contact303@vendor.com</v>
      </c>
    </row>
    <row r="305" spans="1:8">
      <c r="A305" t="s">
        <v>323</v>
      </c>
      <c r="B305" t="str">
        <f t="shared" si="12"/>
        <v>Vendor_304</v>
      </c>
      <c r="C305" t="s">
        <v>310</v>
      </c>
      <c r="D305" t="str">
        <f t="shared" si="13"/>
        <v>North</v>
      </c>
      <c r="E305">
        <v>810902</v>
      </c>
      <c r="F305" s="1">
        <v>45113</v>
      </c>
      <c r="G305" s="1">
        <v>45564</v>
      </c>
      <c r="H305" t="str">
        <f t="shared" si="14"/>
        <v>contact304@vendor.com</v>
      </c>
    </row>
    <row r="306" spans="1:8">
      <c r="A306" t="s">
        <v>324</v>
      </c>
      <c r="B306" t="str">
        <f t="shared" si="12"/>
        <v>Vendor_305</v>
      </c>
      <c r="C306" t="s">
        <v>310</v>
      </c>
      <c r="D306" t="str">
        <f t="shared" si="13"/>
        <v>North</v>
      </c>
      <c r="E306">
        <v>816674</v>
      </c>
      <c r="F306" s="1">
        <v>45146</v>
      </c>
      <c r="G306" s="1">
        <v>46171</v>
      </c>
      <c r="H306" t="str">
        <f t="shared" si="14"/>
        <v>contact305@vendor.com</v>
      </c>
    </row>
    <row r="307" spans="1:8">
      <c r="A307" t="s">
        <v>325</v>
      </c>
      <c r="B307" t="str">
        <f t="shared" si="12"/>
        <v>Vendor_306</v>
      </c>
      <c r="C307" t="s">
        <v>310</v>
      </c>
      <c r="D307" t="str">
        <f t="shared" si="13"/>
        <v>North</v>
      </c>
      <c r="E307">
        <v>910567</v>
      </c>
      <c r="F307" s="1">
        <v>44543</v>
      </c>
      <c r="G307" s="1">
        <v>45056</v>
      </c>
      <c r="H307" t="str">
        <f t="shared" si="14"/>
        <v>contact306@vendor.com</v>
      </c>
    </row>
    <row r="308" spans="1:8">
      <c r="A308" t="s">
        <v>326</v>
      </c>
      <c r="B308" t="str">
        <f t="shared" si="12"/>
        <v>Vendor_307</v>
      </c>
      <c r="C308" t="s">
        <v>310</v>
      </c>
      <c r="D308" t="str">
        <f t="shared" si="13"/>
        <v>North</v>
      </c>
      <c r="E308">
        <v>495321</v>
      </c>
      <c r="F308" s="1">
        <v>44915</v>
      </c>
      <c r="G308" s="1">
        <v>45495</v>
      </c>
      <c r="H308" t="str">
        <f t="shared" si="14"/>
        <v>contact307@vendor.com</v>
      </c>
    </row>
    <row r="309" spans="1:8">
      <c r="A309" t="s">
        <v>327</v>
      </c>
      <c r="B309" t="str">
        <f t="shared" si="12"/>
        <v>Vendor_308</v>
      </c>
      <c r="C309" t="s">
        <v>310</v>
      </c>
      <c r="D309" t="str">
        <f t="shared" si="13"/>
        <v>North</v>
      </c>
      <c r="E309">
        <v>577273</v>
      </c>
      <c r="F309" s="1">
        <v>45028</v>
      </c>
      <c r="G309" s="1">
        <v>46167</v>
      </c>
      <c r="H309" t="str">
        <f t="shared" si="14"/>
        <v>contact308@vendor.com</v>
      </c>
    </row>
    <row r="310" spans="1:8">
      <c r="A310" t="s">
        <v>328</v>
      </c>
      <c r="B310" t="str">
        <f t="shared" si="12"/>
        <v>Vendor_309</v>
      </c>
      <c r="C310" t="s">
        <v>310</v>
      </c>
      <c r="D310" t="str">
        <f t="shared" si="13"/>
        <v>North</v>
      </c>
      <c r="E310">
        <v>915082</v>
      </c>
      <c r="F310" s="1">
        <v>44803</v>
      </c>
      <c r="G310" s="1">
        <v>46552</v>
      </c>
      <c r="H310" t="str">
        <f t="shared" si="14"/>
        <v>contact309@vendor.com</v>
      </c>
    </row>
    <row r="311" spans="1:8">
      <c r="A311" t="s">
        <v>329</v>
      </c>
      <c r="B311" t="str">
        <f t="shared" si="12"/>
        <v>Vendor_310</v>
      </c>
      <c r="C311" t="s">
        <v>310</v>
      </c>
      <c r="D311" t="str">
        <f t="shared" si="13"/>
        <v>North</v>
      </c>
      <c r="E311">
        <v>438553</v>
      </c>
      <c r="F311" s="1">
        <v>44395</v>
      </c>
      <c r="G311" s="1">
        <v>44947</v>
      </c>
      <c r="H311" t="str">
        <f t="shared" si="14"/>
        <v>contact310@vendor.com</v>
      </c>
    </row>
    <row r="312" spans="1:8">
      <c r="A312" t="s">
        <v>330</v>
      </c>
      <c r="B312" t="str">
        <f t="shared" si="12"/>
        <v>Vendor_311</v>
      </c>
      <c r="C312" t="s">
        <v>310</v>
      </c>
      <c r="D312" t="str">
        <f t="shared" si="13"/>
        <v>North</v>
      </c>
      <c r="E312">
        <v>709446</v>
      </c>
      <c r="F312" s="1">
        <v>44734</v>
      </c>
      <c r="G312" s="1">
        <v>46264</v>
      </c>
      <c r="H312" t="str">
        <f t="shared" si="14"/>
        <v>contact311@vendor.com</v>
      </c>
    </row>
    <row r="313" spans="1:8">
      <c r="A313" t="s">
        <v>331</v>
      </c>
      <c r="B313" t="str">
        <f t="shared" si="12"/>
        <v>Vendor_312</v>
      </c>
      <c r="C313" t="s">
        <v>310</v>
      </c>
      <c r="D313" t="str">
        <f t="shared" si="13"/>
        <v>North</v>
      </c>
      <c r="E313">
        <v>533434</v>
      </c>
      <c r="F313" s="1">
        <v>44945</v>
      </c>
      <c r="G313" s="1">
        <v>45862</v>
      </c>
      <c r="H313" t="str">
        <f t="shared" si="14"/>
        <v>contact312@vendor.com</v>
      </c>
    </row>
    <row r="314" spans="1:8">
      <c r="A314" t="s">
        <v>332</v>
      </c>
      <c r="B314" t="str">
        <f t="shared" si="12"/>
        <v>Vendor_313</v>
      </c>
      <c r="C314" t="s">
        <v>310</v>
      </c>
      <c r="D314" t="str">
        <f t="shared" si="13"/>
        <v>North</v>
      </c>
      <c r="E314">
        <v>966410</v>
      </c>
      <c r="F314" s="1">
        <v>45186</v>
      </c>
      <c r="G314" s="1">
        <v>46255</v>
      </c>
      <c r="H314" t="str">
        <f t="shared" si="14"/>
        <v>contact313@vendor.com</v>
      </c>
    </row>
    <row r="315" spans="1:8">
      <c r="A315" t="s">
        <v>333</v>
      </c>
      <c r="B315" t="str">
        <f t="shared" si="12"/>
        <v>Vendor_314</v>
      </c>
      <c r="C315" t="s">
        <v>310</v>
      </c>
      <c r="D315" t="str">
        <f t="shared" si="13"/>
        <v>North</v>
      </c>
      <c r="E315">
        <v>886916</v>
      </c>
      <c r="F315" s="1">
        <v>44850</v>
      </c>
      <c r="G315" s="1">
        <v>46024</v>
      </c>
      <c r="H315" t="str">
        <f t="shared" si="14"/>
        <v>contact314@vendor.com</v>
      </c>
    </row>
    <row r="316" spans="1:8">
      <c r="A316" t="s">
        <v>334</v>
      </c>
      <c r="B316" t="str">
        <f t="shared" si="12"/>
        <v>Vendor_315</v>
      </c>
      <c r="C316" t="s">
        <v>310</v>
      </c>
      <c r="D316" t="str">
        <f t="shared" si="13"/>
        <v>North</v>
      </c>
      <c r="E316">
        <v>560165</v>
      </c>
      <c r="F316" s="1">
        <v>44807</v>
      </c>
      <c r="G316" s="1">
        <v>46402</v>
      </c>
      <c r="H316" t="str">
        <f t="shared" si="14"/>
        <v>contact315@vendor.com</v>
      </c>
    </row>
    <row r="317" spans="1:8">
      <c r="A317" t="s">
        <v>335</v>
      </c>
      <c r="B317" t="str">
        <f t="shared" si="12"/>
        <v>Vendor_316</v>
      </c>
      <c r="C317" t="s">
        <v>310</v>
      </c>
      <c r="D317" t="str">
        <f t="shared" si="13"/>
        <v>North</v>
      </c>
      <c r="E317">
        <v>888296</v>
      </c>
      <c r="F317" s="1">
        <v>44950</v>
      </c>
      <c r="G317" s="1">
        <v>46308</v>
      </c>
      <c r="H317" t="str">
        <f t="shared" si="14"/>
        <v>contact316@vendor.com</v>
      </c>
    </row>
    <row r="318" spans="1:8">
      <c r="A318" t="s">
        <v>336</v>
      </c>
      <c r="B318" t="str">
        <f t="shared" si="12"/>
        <v>Vendor_317</v>
      </c>
      <c r="C318" t="s">
        <v>310</v>
      </c>
      <c r="D318" t="str">
        <f t="shared" si="13"/>
        <v>North</v>
      </c>
      <c r="E318">
        <v>896848</v>
      </c>
      <c r="F318" s="1">
        <v>44260</v>
      </c>
      <c r="G318" s="1">
        <v>44756</v>
      </c>
      <c r="H318" t="str">
        <f t="shared" si="14"/>
        <v>contact317@vendor.com</v>
      </c>
    </row>
    <row r="319" spans="1:8">
      <c r="A319" t="s">
        <v>337</v>
      </c>
      <c r="B319" t="str">
        <f t="shared" si="12"/>
        <v>Vendor_318</v>
      </c>
      <c r="C319" t="s">
        <v>310</v>
      </c>
      <c r="D319" t="str">
        <f t="shared" si="13"/>
        <v>North</v>
      </c>
      <c r="E319">
        <v>276979</v>
      </c>
      <c r="F319" s="1">
        <v>44781</v>
      </c>
      <c r="G319" s="1">
        <v>46499</v>
      </c>
      <c r="H319" t="str">
        <f t="shared" si="14"/>
        <v>contact318@vendor.com</v>
      </c>
    </row>
    <row r="320" spans="1:8">
      <c r="A320" t="s">
        <v>338</v>
      </c>
      <c r="B320" t="str">
        <f t="shared" si="12"/>
        <v>Vendor_319</v>
      </c>
      <c r="C320" t="s">
        <v>310</v>
      </c>
      <c r="D320" t="str">
        <f t="shared" si="13"/>
        <v>North</v>
      </c>
      <c r="E320">
        <v>519432</v>
      </c>
      <c r="F320" s="1">
        <v>44341</v>
      </c>
      <c r="G320" s="1">
        <v>45598</v>
      </c>
      <c r="H320" t="str">
        <f t="shared" si="14"/>
        <v>contact319@vendor.com</v>
      </c>
    </row>
    <row r="321" spans="1:8">
      <c r="A321" t="s">
        <v>339</v>
      </c>
      <c r="B321" t="str">
        <f t="shared" si="12"/>
        <v>Vendor_320</v>
      </c>
      <c r="C321" t="s">
        <v>311</v>
      </c>
      <c r="D321" t="str">
        <f t="shared" si="13"/>
        <v>North</v>
      </c>
      <c r="E321">
        <v>288638</v>
      </c>
      <c r="F321" s="1">
        <v>44890</v>
      </c>
      <c r="G321" s="1">
        <v>46155</v>
      </c>
      <c r="H321" t="str">
        <f t="shared" si="14"/>
        <v>contact320@vendor.com</v>
      </c>
    </row>
    <row r="322" spans="1:8">
      <c r="A322" t="s">
        <v>340</v>
      </c>
      <c r="B322" t="str">
        <f t="shared" si="12"/>
        <v>Vendor_321</v>
      </c>
      <c r="C322" t="s">
        <v>311</v>
      </c>
      <c r="D322" t="str">
        <f t="shared" si="13"/>
        <v>North</v>
      </c>
      <c r="E322">
        <v>803436</v>
      </c>
      <c r="F322" s="1">
        <v>44579</v>
      </c>
      <c r="G322" s="1">
        <v>46270</v>
      </c>
      <c r="H322" t="str">
        <f t="shared" si="14"/>
        <v>contact321@vendor.com</v>
      </c>
    </row>
    <row r="323" spans="1:8">
      <c r="A323" t="s">
        <v>341</v>
      </c>
      <c r="B323" t="str">
        <f t="shared" ref="B323:B386" si="15">_xlfn.CONCAT("Vendor_",TEXT(ROW()-1,"000"))</f>
        <v>Vendor_322</v>
      </c>
      <c r="C323" t="s">
        <v>311</v>
      </c>
      <c r="D323" t="str">
        <f t="shared" ref="D323:D386" si="16">CHOOSE(ROUNDUP((ROW()-1)/100,0),"East","South","West","North")</f>
        <v>North</v>
      </c>
      <c r="E323">
        <v>807591</v>
      </c>
      <c r="F323" s="1">
        <v>44292</v>
      </c>
      <c r="G323" s="1">
        <v>44698</v>
      </c>
      <c r="H323" t="str">
        <f t="shared" ref="H323:H386" si="17">_xlfn.CONCAT("contact",ROW()-1,"@vendor.com")</f>
        <v>contact322@vendor.com</v>
      </c>
    </row>
    <row r="324" spans="1:8">
      <c r="A324" t="s">
        <v>342</v>
      </c>
      <c r="B324" t="str">
        <f t="shared" si="15"/>
        <v>Vendor_323</v>
      </c>
      <c r="C324" t="s">
        <v>311</v>
      </c>
      <c r="D324" t="str">
        <f t="shared" si="16"/>
        <v>North</v>
      </c>
      <c r="E324">
        <v>409455</v>
      </c>
      <c r="F324" s="1">
        <v>44482</v>
      </c>
      <c r="G324" s="1">
        <v>45177</v>
      </c>
      <c r="H324" t="str">
        <f t="shared" si="17"/>
        <v>contact323@vendor.com</v>
      </c>
    </row>
    <row r="325" spans="1:8">
      <c r="A325" t="s">
        <v>343</v>
      </c>
      <c r="B325" t="str">
        <f t="shared" si="15"/>
        <v>Vendor_324</v>
      </c>
      <c r="C325" t="s">
        <v>311</v>
      </c>
      <c r="D325" t="str">
        <f t="shared" si="16"/>
        <v>North</v>
      </c>
      <c r="E325">
        <v>938630</v>
      </c>
      <c r="F325" s="1">
        <v>45162</v>
      </c>
      <c r="G325" s="1">
        <v>46917</v>
      </c>
      <c r="H325" t="str">
        <f t="shared" si="17"/>
        <v>contact324@vendor.com</v>
      </c>
    </row>
    <row r="326" spans="1:8">
      <c r="A326" t="s">
        <v>344</v>
      </c>
      <c r="B326" t="str">
        <f t="shared" si="15"/>
        <v>Vendor_325</v>
      </c>
      <c r="C326" t="s">
        <v>311</v>
      </c>
      <c r="D326" t="str">
        <f t="shared" si="16"/>
        <v>North</v>
      </c>
      <c r="E326">
        <v>456833</v>
      </c>
      <c r="F326" s="1">
        <v>44833</v>
      </c>
      <c r="G326" s="1">
        <v>46152</v>
      </c>
      <c r="H326" t="str">
        <f t="shared" si="17"/>
        <v>contact325@vendor.com</v>
      </c>
    </row>
    <row r="327" spans="1:8">
      <c r="A327" t="s">
        <v>345</v>
      </c>
      <c r="B327" t="str">
        <f t="shared" si="15"/>
        <v>Vendor_326</v>
      </c>
      <c r="C327" t="s">
        <v>311</v>
      </c>
      <c r="D327" t="str">
        <f t="shared" si="16"/>
        <v>North</v>
      </c>
      <c r="E327">
        <v>957178</v>
      </c>
      <c r="F327" s="1">
        <v>44863</v>
      </c>
      <c r="G327" s="1">
        <v>46679</v>
      </c>
      <c r="H327" t="str">
        <f t="shared" si="17"/>
        <v>contact326@vendor.com</v>
      </c>
    </row>
    <row r="328" spans="1:8">
      <c r="A328" t="s">
        <v>346</v>
      </c>
      <c r="B328" t="str">
        <f t="shared" si="15"/>
        <v>Vendor_327</v>
      </c>
      <c r="C328" t="s">
        <v>311</v>
      </c>
      <c r="D328" t="str">
        <f t="shared" si="16"/>
        <v>North</v>
      </c>
      <c r="E328">
        <v>747282</v>
      </c>
      <c r="F328" s="1">
        <v>44834</v>
      </c>
      <c r="G328" s="1">
        <v>46088</v>
      </c>
      <c r="H328" t="str">
        <f t="shared" si="17"/>
        <v>contact327@vendor.com</v>
      </c>
    </row>
    <row r="329" spans="1:8">
      <c r="A329" t="s">
        <v>347</v>
      </c>
      <c r="B329" t="str">
        <f t="shared" si="15"/>
        <v>Vendor_328</v>
      </c>
      <c r="C329" t="s">
        <v>311</v>
      </c>
      <c r="D329" t="str">
        <f t="shared" si="16"/>
        <v>North</v>
      </c>
      <c r="E329">
        <v>90128</v>
      </c>
      <c r="F329" s="1">
        <v>44768</v>
      </c>
      <c r="G329" s="1">
        <v>45514</v>
      </c>
      <c r="H329" t="str">
        <f t="shared" si="17"/>
        <v>contact328@vendor.com</v>
      </c>
    </row>
    <row r="330" spans="1:8">
      <c r="A330" t="s">
        <v>348</v>
      </c>
      <c r="B330" t="str">
        <f t="shared" si="15"/>
        <v>Vendor_329</v>
      </c>
      <c r="C330" t="s">
        <v>311</v>
      </c>
      <c r="D330" t="str">
        <f t="shared" si="16"/>
        <v>North</v>
      </c>
      <c r="E330">
        <v>185475</v>
      </c>
      <c r="F330" s="1">
        <v>44722</v>
      </c>
      <c r="G330" s="1">
        <v>45907</v>
      </c>
      <c r="H330" t="str">
        <f t="shared" si="17"/>
        <v>contact329@vendor.com</v>
      </c>
    </row>
    <row r="331" spans="1:8">
      <c r="A331" t="s">
        <v>349</v>
      </c>
      <c r="B331" t="str">
        <f t="shared" si="15"/>
        <v>Vendor_330</v>
      </c>
      <c r="C331" t="s">
        <v>311</v>
      </c>
      <c r="D331" t="str">
        <f t="shared" si="16"/>
        <v>North</v>
      </c>
      <c r="E331">
        <v>239251</v>
      </c>
      <c r="F331" s="1">
        <v>45006</v>
      </c>
      <c r="G331" s="1">
        <v>45453</v>
      </c>
      <c r="H331" t="str">
        <f t="shared" si="17"/>
        <v>contact330@vendor.com</v>
      </c>
    </row>
    <row r="332" spans="1:8">
      <c r="A332" t="s">
        <v>350</v>
      </c>
      <c r="B332" t="str">
        <f t="shared" si="15"/>
        <v>Vendor_331</v>
      </c>
      <c r="C332" t="s">
        <v>311</v>
      </c>
      <c r="D332" t="str">
        <f t="shared" si="16"/>
        <v>North</v>
      </c>
      <c r="E332">
        <v>116908</v>
      </c>
      <c r="F332" s="1">
        <v>44331</v>
      </c>
      <c r="G332" s="1">
        <v>45216</v>
      </c>
      <c r="H332" t="str">
        <f t="shared" si="17"/>
        <v>contact331@vendor.com</v>
      </c>
    </row>
    <row r="333" spans="1:8">
      <c r="A333" t="s">
        <v>351</v>
      </c>
      <c r="B333" t="str">
        <f t="shared" si="15"/>
        <v>Vendor_332</v>
      </c>
      <c r="C333" t="s">
        <v>311</v>
      </c>
      <c r="D333" t="str">
        <f t="shared" si="16"/>
        <v>North</v>
      </c>
      <c r="E333">
        <v>215089</v>
      </c>
      <c r="F333" s="1">
        <v>44947</v>
      </c>
      <c r="G333" s="1">
        <v>46611</v>
      </c>
      <c r="H333" t="str">
        <f t="shared" si="17"/>
        <v>contact332@vendor.com</v>
      </c>
    </row>
    <row r="334" spans="1:8">
      <c r="A334" t="s">
        <v>352</v>
      </c>
      <c r="B334" t="str">
        <f t="shared" si="15"/>
        <v>Vendor_333</v>
      </c>
      <c r="C334" t="s">
        <v>311</v>
      </c>
      <c r="D334" t="str">
        <f t="shared" si="16"/>
        <v>North</v>
      </c>
      <c r="E334">
        <v>115072</v>
      </c>
      <c r="F334" s="1">
        <v>44448</v>
      </c>
      <c r="G334" s="1">
        <v>45602</v>
      </c>
      <c r="H334" t="str">
        <f t="shared" si="17"/>
        <v>contact333@vendor.com</v>
      </c>
    </row>
    <row r="335" spans="1:8">
      <c r="A335" t="s">
        <v>353</v>
      </c>
      <c r="B335" t="str">
        <f t="shared" si="15"/>
        <v>Vendor_334</v>
      </c>
      <c r="C335" t="s">
        <v>311</v>
      </c>
      <c r="D335" t="str">
        <f t="shared" si="16"/>
        <v>North</v>
      </c>
      <c r="E335">
        <v>99122</v>
      </c>
      <c r="F335" s="1">
        <v>45188</v>
      </c>
      <c r="G335" s="1">
        <v>45708</v>
      </c>
      <c r="H335" t="str">
        <f t="shared" si="17"/>
        <v>contact334@vendor.com</v>
      </c>
    </row>
    <row r="336" spans="1:8">
      <c r="A336" t="s">
        <v>354</v>
      </c>
      <c r="B336" t="str">
        <f t="shared" si="15"/>
        <v>Vendor_335</v>
      </c>
      <c r="C336" t="s">
        <v>311</v>
      </c>
      <c r="D336" t="str">
        <f t="shared" si="16"/>
        <v>North</v>
      </c>
      <c r="E336">
        <v>71066</v>
      </c>
      <c r="F336" s="1">
        <v>44348</v>
      </c>
      <c r="G336" s="1">
        <v>45071</v>
      </c>
      <c r="H336" t="str">
        <f t="shared" si="17"/>
        <v>contact335@vendor.com</v>
      </c>
    </row>
    <row r="337" spans="1:8">
      <c r="A337" t="s">
        <v>355</v>
      </c>
      <c r="B337" t="str">
        <f t="shared" si="15"/>
        <v>Vendor_336</v>
      </c>
      <c r="C337" t="s">
        <v>311</v>
      </c>
      <c r="D337" t="str">
        <f t="shared" si="16"/>
        <v>North</v>
      </c>
      <c r="E337">
        <v>108952</v>
      </c>
      <c r="F337" s="1">
        <v>45005</v>
      </c>
      <c r="G337" s="1">
        <v>45871</v>
      </c>
      <c r="H337" t="str">
        <f t="shared" si="17"/>
        <v>contact336@vendor.com</v>
      </c>
    </row>
    <row r="338" spans="1:8">
      <c r="A338" t="s">
        <v>356</v>
      </c>
      <c r="B338" t="str">
        <f t="shared" si="15"/>
        <v>Vendor_337</v>
      </c>
      <c r="C338" t="s">
        <v>311</v>
      </c>
      <c r="D338" t="str">
        <f t="shared" si="16"/>
        <v>North</v>
      </c>
      <c r="E338">
        <v>56032</v>
      </c>
      <c r="F338" s="1">
        <v>45184</v>
      </c>
      <c r="G338" s="1">
        <v>45705</v>
      </c>
      <c r="H338" t="str">
        <f t="shared" si="17"/>
        <v>contact337@vendor.com</v>
      </c>
    </row>
    <row r="339" spans="1:8">
      <c r="A339" t="s">
        <v>357</v>
      </c>
      <c r="B339" t="str">
        <f t="shared" si="15"/>
        <v>Vendor_338</v>
      </c>
      <c r="C339" t="s">
        <v>311</v>
      </c>
      <c r="D339" t="str">
        <f t="shared" si="16"/>
        <v>North</v>
      </c>
      <c r="E339">
        <v>116660</v>
      </c>
      <c r="F339" s="1">
        <v>44338</v>
      </c>
      <c r="G339" s="1">
        <v>46035</v>
      </c>
      <c r="H339" t="str">
        <f t="shared" si="17"/>
        <v>contact338@vendor.com</v>
      </c>
    </row>
    <row r="340" spans="1:8">
      <c r="A340" t="s">
        <v>358</v>
      </c>
      <c r="B340" t="str">
        <f t="shared" si="15"/>
        <v>Vendor_339</v>
      </c>
      <c r="C340" t="s">
        <v>311</v>
      </c>
      <c r="D340" t="str">
        <f t="shared" si="16"/>
        <v>North</v>
      </c>
      <c r="E340">
        <v>53297</v>
      </c>
      <c r="F340" s="1">
        <v>44403</v>
      </c>
      <c r="G340" s="1">
        <v>45097</v>
      </c>
      <c r="H340" t="str">
        <f t="shared" si="17"/>
        <v>contact339@vendor.com</v>
      </c>
    </row>
    <row r="341" spans="1:8">
      <c r="A341" t="s">
        <v>359</v>
      </c>
      <c r="B341" t="str">
        <f t="shared" si="15"/>
        <v>Vendor_340</v>
      </c>
      <c r="C341" t="s">
        <v>311</v>
      </c>
      <c r="D341" t="str">
        <f t="shared" si="16"/>
        <v>North</v>
      </c>
      <c r="E341">
        <v>77421</v>
      </c>
      <c r="F341" s="1">
        <v>44521</v>
      </c>
      <c r="G341" s="1">
        <v>45950</v>
      </c>
      <c r="H341" t="str">
        <f t="shared" si="17"/>
        <v>contact340@vendor.com</v>
      </c>
    </row>
    <row r="342" spans="1:8">
      <c r="A342" t="s">
        <v>360</v>
      </c>
      <c r="B342" t="str">
        <f t="shared" si="15"/>
        <v>Vendor_341</v>
      </c>
      <c r="C342" t="s">
        <v>311</v>
      </c>
      <c r="D342" t="str">
        <f t="shared" si="16"/>
        <v>North</v>
      </c>
      <c r="E342">
        <v>209801</v>
      </c>
      <c r="F342" s="1">
        <v>44897</v>
      </c>
      <c r="G342" s="1">
        <v>45311</v>
      </c>
      <c r="H342" t="str">
        <f t="shared" si="17"/>
        <v>contact341@vendor.com</v>
      </c>
    </row>
    <row r="343" spans="1:8">
      <c r="A343" t="s">
        <v>361</v>
      </c>
      <c r="B343" t="str">
        <f t="shared" si="15"/>
        <v>Vendor_342</v>
      </c>
      <c r="C343" t="s">
        <v>311</v>
      </c>
      <c r="D343" t="str">
        <f t="shared" si="16"/>
        <v>North</v>
      </c>
      <c r="E343">
        <v>70734</v>
      </c>
      <c r="F343" s="1">
        <v>44278</v>
      </c>
      <c r="G343" s="1">
        <v>45932</v>
      </c>
      <c r="H343" t="str">
        <f t="shared" si="17"/>
        <v>contact342@vendor.com</v>
      </c>
    </row>
    <row r="344" spans="1:8">
      <c r="A344" t="s">
        <v>362</v>
      </c>
      <c r="B344" t="str">
        <f t="shared" si="15"/>
        <v>Vendor_343</v>
      </c>
      <c r="C344" t="s">
        <v>311</v>
      </c>
      <c r="D344" t="str">
        <f t="shared" si="16"/>
        <v>North</v>
      </c>
      <c r="E344">
        <v>235449</v>
      </c>
      <c r="F344" s="1">
        <v>45125</v>
      </c>
      <c r="G344" s="1">
        <v>45688</v>
      </c>
      <c r="H344" t="str">
        <f t="shared" si="17"/>
        <v>contact343@vendor.com</v>
      </c>
    </row>
    <row r="345" spans="1:8">
      <c r="A345" t="s">
        <v>363</v>
      </c>
      <c r="B345" t="str">
        <f t="shared" si="15"/>
        <v>Vendor_344</v>
      </c>
      <c r="C345" t="s">
        <v>311</v>
      </c>
      <c r="D345" t="str">
        <f t="shared" si="16"/>
        <v>North</v>
      </c>
      <c r="E345">
        <v>137723</v>
      </c>
      <c r="F345" s="1">
        <v>44550</v>
      </c>
      <c r="G345" s="1">
        <v>45344</v>
      </c>
      <c r="H345" t="str">
        <f t="shared" si="17"/>
        <v>contact344@vendor.com</v>
      </c>
    </row>
    <row r="346" spans="1:8">
      <c r="A346" t="s">
        <v>364</v>
      </c>
      <c r="B346" t="str">
        <f t="shared" si="15"/>
        <v>Vendor_345</v>
      </c>
      <c r="C346" t="s">
        <v>311</v>
      </c>
      <c r="D346" t="str">
        <f t="shared" si="16"/>
        <v>North</v>
      </c>
      <c r="E346">
        <v>64753</v>
      </c>
      <c r="F346" s="1">
        <v>44566</v>
      </c>
      <c r="G346" s="1">
        <v>46010</v>
      </c>
      <c r="H346" t="str">
        <f t="shared" si="17"/>
        <v>contact345@vendor.com</v>
      </c>
    </row>
    <row r="347" spans="1:8">
      <c r="A347" t="s">
        <v>365</v>
      </c>
      <c r="B347" t="str">
        <f t="shared" si="15"/>
        <v>Vendor_346</v>
      </c>
      <c r="C347" t="s">
        <v>311</v>
      </c>
      <c r="D347" t="str">
        <f t="shared" si="16"/>
        <v>North</v>
      </c>
      <c r="E347">
        <v>243573</v>
      </c>
      <c r="F347" s="1">
        <v>44815</v>
      </c>
      <c r="G347" s="1">
        <v>45511</v>
      </c>
      <c r="H347" t="str">
        <f t="shared" si="17"/>
        <v>contact346@vendor.com</v>
      </c>
    </row>
    <row r="348" spans="1:8">
      <c r="A348" t="s">
        <v>366</v>
      </c>
      <c r="B348" t="str">
        <f t="shared" si="15"/>
        <v>Vendor_347</v>
      </c>
      <c r="C348" t="s">
        <v>311</v>
      </c>
      <c r="D348" t="str">
        <f t="shared" si="16"/>
        <v>North</v>
      </c>
      <c r="E348">
        <v>98059</v>
      </c>
      <c r="F348" s="1">
        <v>44671</v>
      </c>
      <c r="G348" s="1">
        <v>45890</v>
      </c>
      <c r="H348" t="str">
        <f t="shared" si="17"/>
        <v>contact347@vendor.com</v>
      </c>
    </row>
    <row r="349" spans="1:8">
      <c r="A349" t="s">
        <v>367</v>
      </c>
      <c r="B349" t="str">
        <f t="shared" si="15"/>
        <v>Vendor_348</v>
      </c>
      <c r="C349" t="s">
        <v>311</v>
      </c>
      <c r="D349" t="str">
        <f t="shared" si="16"/>
        <v>North</v>
      </c>
      <c r="E349">
        <v>100214</v>
      </c>
      <c r="F349" s="1">
        <v>45086</v>
      </c>
      <c r="G349" s="1">
        <v>45887</v>
      </c>
      <c r="H349" t="str">
        <f t="shared" si="17"/>
        <v>contact348@vendor.com</v>
      </c>
    </row>
    <row r="350" spans="1:8">
      <c r="A350" t="s">
        <v>368</v>
      </c>
      <c r="B350" t="str">
        <f t="shared" si="15"/>
        <v>Vendor_349</v>
      </c>
      <c r="C350" t="s">
        <v>311</v>
      </c>
      <c r="D350" t="str">
        <f t="shared" si="16"/>
        <v>North</v>
      </c>
      <c r="E350">
        <v>105065</v>
      </c>
      <c r="F350" s="1">
        <v>44794</v>
      </c>
      <c r="G350" s="1">
        <v>45626</v>
      </c>
      <c r="H350" t="str">
        <f t="shared" si="17"/>
        <v>contact349@vendor.com</v>
      </c>
    </row>
    <row r="351" spans="1:8">
      <c r="A351" t="s">
        <v>369</v>
      </c>
      <c r="B351" t="str">
        <f t="shared" si="15"/>
        <v>Vendor_350</v>
      </c>
      <c r="C351" t="s">
        <v>311</v>
      </c>
      <c r="D351" t="str">
        <f t="shared" si="16"/>
        <v>North</v>
      </c>
      <c r="E351">
        <v>150695</v>
      </c>
      <c r="F351" s="1">
        <v>44490</v>
      </c>
      <c r="G351" s="1">
        <v>45693</v>
      </c>
      <c r="H351" t="str">
        <f t="shared" si="17"/>
        <v>contact350@vendor.com</v>
      </c>
    </row>
    <row r="352" spans="1:8">
      <c r="A352" t="s">
        <v>370</v>
      </c>
      <c r="B352" t="str">
        <f t="shared" si="15"/>
        <v>Vendor_351</v>
      </c>
      <c r="C352" t="s">
        <v>311</v>
      </c>
      <c r="D352" t="str">
        <f t="shared" si="16"/>
        <v>North</v>
      </c>
      <c r="E352">
        <v>189901</v>
      </c>
      <c r="F352" s="1">
        <v>44896</v>
      </c>
      <c r="G352" s="1">
        <v>45721</v>
      </c>
      <c r="H352" t="str">
        <f t="shared" si="17"/>
        <v>contact351@vendor.com</v>
      </c>
    </row>
    <row r="353" spans="1:8">
      <c r="A353" t="s">
        <v>371</v>
      </c>
      <c r="B353" t="str">
        <f t="shared" si="15"/>
        <v>Vendor_352</v>
      </c>
      <c r="C353" t="s">
        <v>311</v>
      </c>
      <c r="D353" t="str">
        <f t="shared" si="16"/>
        <v>North</v>
      </c>
      <c r="E353">
        <v>242931</v>
      </c>
      <c r="F353" s="1">
        <v>44950</v>
      </c>
      <c r="G353" s="1">
        <v>45821</v>
      </c>
      <c r="H353" t="str">
        <f t="shared" si="17"/>
        <v>contact352@vendor.com</v>
      </c>
    </row>
    <row r="354" spans="1:8">
      <c r="A354" t="s">
        <v>372</v>
      </c>
      <c r="B354" t="str">
        <f t="shared" si="15"/>
        <v>Vendor_353</v>
      </c>
      <c r="C354" t="s">
        <v>311</v>
      </c>
      <c r="D354" t="str">
        <f t="shared" si="16"/>
        <v>North</v>
      </c>
      <c r="E354">
        <v>211450</v>
      </c>
      <c r="F354" s="1">
        <v>44513</v>
      </c>
      <c r="G354" s="1">
        <v>45625</v>
      </c>
      <c r="H354" t="str">
        <f t="shared" si="17"/>
        <v>contact353@vendor.com</v>
      </c>
    </row>
    <row r="355" spans="1:8">
      <c r="A355" t="s">
        <v>373</v>
      </c>
      <c r="B355" t="str">
        <f t="shared" si="15"/>
        <v>Vendor_354</v>
      </c>
      <c r="C355" t="s">
        <v>311</v>
      </c>
      <c r="D355" t="str">
        <f t="shared" si="16"/>
        <v>North</v>
      </c>
      <c r="E355">
        <v>94882</v>
      </c>
      <c r="F355" s="1">
        <v>44866</v>
      </c>
      <c r="G355" s="1">
        <v>46489</v>
      </c>
      <c r="H355" t="str">
        <f t="shared" si="17"/>
        <v>contact354@vendor.com</v>
      </c>
    </row>
    <row r="356" spans="1:8">
      <c r="A356" t="s">
        <v>374</v>
      </c>
      <c r="B356" t="str">
        <f t="shared" si="15"/>
        <v>Vendor_355</v>
      </c>
      <c r="C356" t="s">
        <v>311</v>
      </c>
      <c r="D356" t="str">
        <f t="shared" si="16"/>
        <v>North</v>
      </c>
      <c r="E356">
        <v>214095</v>
      </c>
      <c r="F356" s="1">
        <v>44867</v>
      </c>
      <c r="G356" s="1">
        <v>45860</v>
      </c>
      <c r="H356" t="str">
        <f t="shared" si="17"/>
        <v>contact355@vendor.com</v>
      </c>
    </row>
    <row r="357" spans="1:8">
      <c r="A357" t="s">
        <v>375</v>
      </c>
      <c r="B357" t="str">
        <f t="shared" si="15"/>
        <v>Vendor_356</v>
      </c>
      <c r="C357" t="s">
        <v>311</v>
      </c>
      <c r="D357" t="str">
        <f t="shared" si="16"/>
        <v>North</v>
      </c>
      <c r="E357">
        <v>200428</v>
      </c>
      <c r="F357" s="1">
        <v>44597</v>
      </c>
      <c r="G357" s="1">
        <v>46398</v>
      </c>
      <c r="H357" t="str">
        <f t="shared" si="17"/>
        <v>contact356@vendor.com</v>
      </c>
    </row>
    <row r="358" spans="1:8">
      <c r="A358" t="s">
        <v>376</v>
      </c>
      <c r="B358" t="str">
        <f t="shared" si="15"/>
        <v>Vendor_357</v>
      </c>
      <c r="C358" t="s">
        <v>311</v>
      </c>
      <c r="D358" t="str">
        <f t="shared" si="16"/>
        <v>North</v>
      </c>
      <c r="E358">
        <v>221957</v>
      </c>
      <c r="F358" s="1">
        <v>44360</v>
      </c>
      <c r="G358" s="1">
        <v>45366</v>
      </c>
      <c r="H358" t="str">
        <f t="shared" si="17"/>
        <v>contact357@vendor.com</v>
      </c>
    </row>
    <row r="359" spans="1:8">
      <c r="A359" t="s">
        <v>377</v>
      </c>
      <c r="B359" t="str">
        <f t="shared" si="15"/>
        <v>Vendor_358</v>
      </c>
      <c r="C359" t="s">
        <v>311</v>
      </c>
      <c r="D359" t="str">
        <f t="shared" si="16"/>
        <v>North</v>
      </c>
      <c r="E359">
        <v>198854</v>
      </c>
      <c r="F359" s="1">
        <v>44628</v>
      </c>
      <c r="G359" s="1">
        <v>45655</v>
      </c>
      <c r="H359" t="str">
        <f t="shared" si="17"/>
        <v>contact358@vendor.com</v>
      </c>
    </row>
    <row r="360" spans="1:8">
      <c r="A360" t="s">
        <v>378</v>
      </c>
      <c r="B360" t="str">
        <f t="shared" si="15"/>
        <v>Vendor_359</v>
      </c>
      <c r="C360" t="s">
        <v>311</v>
      </c>
      <c r="D360" t="str">
        <f t="shared" si="16"/>
        <v>North</v>
      </c>
      <c r="E360">
        <v>74823</v>
      </c>
      <c r="F360" s="1">
        <v>44579</v>
      </c>
      <c r="G360" s="1">
        <v>45986</v>
      </c>
      <c r="H360" t="str">
        <f t="shared" si="17"/>
        <v>contact359@vendor.com</v>
      </c>
    </row>
    <row r="361" spans="1:8">
      <c r="A361" t="s">
        <v>379</v>
      </c>
      <c r="B361" t="str">
        <f t="shared" si="15"/>
        <v>Vendor_360</v>
      </c>
      <c r="C361" t="s">
        <v>311</v>
      </c>
      <c r="D361" t="str">
        <f t="shared" si="16"/>
        <v>North</v>
      </c>
      <c r="E361">
        <v>71850</v>
      </c>
      <c r="F361" s="1">
        <v>45173</v>
      </c>
      <c r="G361" s="1">
        <v>45793</v>
      </c>
      <c r="H361" t="str">
        <f t="shared" si="17"/>
        <v>contact360@vendor.com</v>
      </c>
    </row>
    <row r="362" spans="1:8">
      <c r="A362" t="s">
        <v>380</v>
      </c>
      <c r="B362" t="str">
        <f t="shared" si="15"/>
        <v>Vendor_361</v>
      </c>
      <c r="C362" t="s">
        <v>311</v>
      </c>
      <c r="D362" t="str">
        <f t="shared" si="16"/>
        <v>North</v>
      </c>
      <c r="E362">
        <v>136346</v>
      </c>
      <c r="F362" s="1">
        <v>44610</v>
      </c>
      <c r="G362" s="1">
        <v>45329</v>
      </c>
      <c r="H362" t="str">
        <f t="shared" si="17"/>
        <v>contact361@vendor.com</v>
      </c>
    </row>
    <row r="363" spans="1:8">
      <c r="A363" t="s">
        <v>381</v>
      </c>
      <c r="B363" t="str">
        <f t="shared" si="15"/>
        <v>Vendor_362</v>
      </c>
      <c r="C363" t="s">
        <v>311</v>
      </c>
      <c r="D363" t="str">
        <f t="shared" si="16"/>
        <v>North</v>
      </c>
      <c r="E363">
        <v>191543</v>
      </c>
      <c r="F363" s="1">
        <v>45161</v>
      </c>
      <c r="G363" s="1">
        <v>46675</v>
      </c>
      <c r="H363" t="str">
        <f t="shared" si="17"/>
        <v>contact362@vendor.com</v>
      </c>
    </row>
    <row r="364" spans="1:8">
      <c r="A364" t="s">
        <v>382</v>
      </c>
      <c r="B364" t="str">
        <f t="shared" si="15"/>
        <v>Vendor_363</v>
      </c>
      <c r="C364" t="s">
        <v>311</v>
      </c>
      <c r="D364" t="str">
        <f t="shared" si="16"/>
        <v>North</v>
      </c>
      <c r="E364">
        <v>249374</v>
      </c>
      <c r="F364" s="1">
        <v>44688</v>
      </c>
      <c r="G364" s="1">
        <v>46382</v>
      </c>
      <c r="H364" t="str">
        <f t="shared" si="17"/>
        <v>contact363@vendor.com</v>
      </c>
    </row>
    <row r="365" spans="1:8">
      <c r="A365" t="s">
        <v>383</v>
      </c>
      <c r="B365" t="str">
        <f t="shared" si="15"/>
        <v>Vendor_364</v>
      </c>
      <c r="C365" t="s">
        <v>311</v>
      </c>
      <c r="D365" t="str">
        <f t="shared" si="16"/>
        <v>North</v>
      </c>
      <c r="E365">
        <v>106403</v>
      </c>
      <c r="F365" s="1">
        <v>44675</v>
      </c>
      <c r="G365" s="1">
        <v>45193</v>
      </c>
      <c r="H365" t="str">
        <f t="shared" si="17"/>
        <v>contact364@vendor.com</v>
      </c>
    </row>
    <row r="366" spans="1:8">
      <c r="A366" t="s">
        <v>384</v>
      </c>
      <c r="B366" t="str">
        <f t="shared" si="15"/>
        <v>Vendor_365</v>
      </c>
      <c r="C366" t="s">
        <v>311</v>
      </c>
      <c r="D366" t="str">
        <f t="shared" si="16"/>
        <v>North</v>
      </c>
      <c r="E366">
        <v>90592</v>
      </c>
      <c r="F366" s="1">
        <v>44486</v>
      </c>
      <c r="G366" s="1">
        <v>45504</v>
      </c>
      <c r="H366" t="str">
        <f t="shared" si="17"/>
        <v>contact365@vendor.com</v>
      </c>
    </row>
    <row r="367" spans="1:8">
      <c r="A367" t="s">
        <v>385</v>
      </c>
      <c r="B367" t="str">
        <f t="shared" si="15"/>
        <v>Vendor_366</v>
      </c>
      <c r="C367" t="s">
        <v>311</v>
      </c>
      <c r="D367" t="str">
        <f t="shared" si="16"/>
        <v>North</v>
      </c>
      <c r="E367">
        <v>102289</v>
      </c>
      <c r="F367" s="1">
        <v>44604</v>
      </c>
      <c r="G367" s="1">
        <v>45458</v>
      </c>
      <c r="H367" t="str">
        <f t="shared" si="17"/>
        <v>contact366@vendor.com</v>
      </c>
    </row>
    <row r="368" spans="1:8">
      <c r="A368" t="s">
        <v>386</v>
      </c>
      <c r="B368" t="str">
        <f t="shared" si="15"/>
        <v>Vendor_367</v>
      </c>
      <c r="C368" t="s">
        <v>311</v>
      </c>
      <c r="D368" t="str">
        <f t="shared" si="16"/>
        <v>North</v>
      </c>
      <c r="E368">
        <v>244186</v>
      </c>
      <c r="F368" s="1">
        <v>44667</v>
      </c>
      <c r="G368" s="1">
        <v>46193</v>
      </c>
      <c r="H368" t="str">
        <f t="shared" si="17"/>
        <v>contact367@vendor.com</v>
      </c>
    </row>
    <row r="369" spans="1:8">
      <c r="A369" t="s">
        <v>387</v>
      </c>
      <c r="B369" t="str">
        <f t="shared" si="15"/>
        <v>Vendor_368</v>
      </c>
      <c r="C369" t="s">
        <v>311</v>
      </c>
      <c r="D369" t="str">
        <f t="shared" si="16"/>
        <v>North</v>
      </c>
      <c r="E369">
        <v>88941</v>
      </c>
      <c r="F369" s="1">
        <v>44288</v>
      </c>
      <c r="G369" s="1">
        <v>45939</v>
      </c>
      <c r="H369" t="str">
        <f t="shared" si="17"/>
        <v>contact368@vendor.com</v>
      </c>
    </row>
    <row r="370" spans="1:8">
      <c r="A370" t="s">
        <v>388</v>
      </c>
      <c r="B370" t="str">
        <f t="shared" si="15"/>
        <v>Vendor_369</v>
      </c>
      <c r="C370" t="s">
        <v>311</v>
      </c>
      <c r="D370" t="str">
        <f t="shared" si="16"/>
        <v>North</v>
      </c>
      <c r="E370">
        <v>244272</v>
      </c>
      <c r="F370" s="1">
        <v>45028</v>
      </c>
      <c r="G370" s="1">
        <v>46414</v>
      </c>
      <c r="H370" t="str">
        <f t="shared" si="17"/>
        <v>contact369@vendor.com</v>
      </c>
    </row>
    <row r="371" spans="1:8">
      <c r="A371" t="s">
        <v>389</v>
      </c>
      <c r="B371" t="str">
        <f t="shared" si="15"/>
        <v>Vendor_370</v>
      </c>
      <c r="C371" t="s">
        <v>311</v>
      </c>
      <c r="D371" t="str">
        <f t="shared" si="16"/>
        <v>North</v>
      </c>
      <c r="E371">
        <v>102212</v>
      </c>
      <c r="F371" s="1">
        <v>44320</v>
      </c>
      <c r="G371" s="1">
        <v>45537</v>
      </c>
      <c r="H371" t="str">
        <f t="shared" si="17"/>
        <v>contact370@vendor.com</v>
      </c>
    </row>
    <row r="372" spans="1:8">
      <c r="A372" t="s">
        <v>390</v>
      </c>
      <c r="B372" t="str">
        <f t="shared" si="15"/>
        <v>Vendor_371</v>
      </c>
      <c r="C372" t="s">
        <v>311</v>
      </c>
      <c r="D372" t="str">
        <f t="shared" si="16"/>
        <v>North</v>
      </c>
      <c r="E372">
        <v>149142</v>
      </c>
      <c r="F372" s="1">
        <v>44657</v>
      </c>
      <c r="G372" s="1">
        <v>45344</v>
      </c>
      <c r="H372" t="str">
        <f t="shared" si="17"/>
        <v>contact371@vendor.com</v>
      </c>
    </row>
    <row r="373" spans="1:8">
      <c r="A373" t="s">
        <v>391</v>
      </c>
      <c r="B373" t="str">
        <f t="shared" si="15"/>
        <v>Vendor_372</v>
      </c>
      <c r="C373" t="s">
        <v>311</v>
      </c>
      <c r="D373" t="str">
        <f t="shared" si="16"/>
        <v>North</v>
      </c>
      <c r="E373">
        <v>198973</v>
      </c>
      <c r="F373" s="1">
        <v>44431</v>
      </c>
      <c r="G373" s="1">
        <v>46049</v>
      </c>
      <c r="H373" t="str">
        <f t="shared" si="17"/>
        <v>contact372@vendor.com</v>
      </c>
    </row>
    <row r="374" spans="1:8">
      <c r="A374" t="s">
        <v>392</v>
      </c>
      <c r="B374" t="str">
        <f t="shared" si="15"/>
        <v>Vendor_373</v>
      </c>
      <c r="C374" t="s">
        <v>311</v>
      </c>
      <c r="D374" t="str">
        <f t="shared" si="16"/>
        <v>North</v>
      </c>
      <c r="E374">
        <v>73373</v>
      </c>
      <c r="F374" s="1">
        <v>44395</v>
      </c>
      <c r="G374" s="1">
        <v>45700</v>
      </c>
      <c r="H374" t="str">
        <f t="shared" si="17"/>
        <v>contact373@vendor.com</v>
      </c>
    </row>
    <row r="375" spans="1:8">
      <c r="A375" t="s">
        <v>393</v>
      </c>
      <c r="B375" t="str">
        <f t="shared" si="15"/>
        <v>Vendor_374</v>
      </c>
      <c r="C375" t="s">
        <v>311</v>
      </c>
      <c r="D375" t="str">
        <f t="shared" si="16"/>
        <v>North</v>
      </c>
      <c r="E375">
        <v>137848</v>
      </c>
      <c r="F375" s="1">
        <v>44790</v>
      </c>
      <c r="G375" s="1">
        <v>45819</v>
      </c>
      <c r="H375" t="str">
        <f t="shared" si="17"/>
        <v>contact374@vendor.com</v>
      </c>
    </row>
    <row r="376" spans="1:8">
      <c r="A376" t="s">
        <v>394</v>
      </c>
      <c r="B376" t="str">
        <f t="shared" si="15"/>
        <v>Vendor_375</v>
      </c>
      <c r="C376" t="s">
        <v>311</v>
      </c>
      <c r="D376" t="str">
        <f t="shared" si="16"/>
        <v>North</v>
      </c>
      <c r="E376">
        <v>135248</v>
      </c>
      <c r="F376" s="1">
        <v>44297</v>
      </c>
      <c r="G376" s="1">
        <v>44764</v>
      </c>
      <c r="H376" t="str">
        <f t="shared" si="17"/>
        <v>contact375@vendor.com</v>
      </c>
    </row>
    <row r="377" spans="1:8">
      <c r="A377" t="s">
        <v>395</v>
      </c>
      <c r="B377" t="str">
        <f t="shared" si="15"/>
        <v>Vendor_376</v>
      </c>
      <c r="C377" t="s">
        <v>311</v>
      </c>
      <c r="D377" t="str">
        <f t="shared" si="16"/>
        <v>North</v>
      </c>
      <c r="E377">
        <v>114217</v>
      </c>
      <c r="F377" s="1">
        <v>44870</v>
      </c>
      <c r="G377" s="1">
        <v>45257</v>
      </c>
      <c r="H377" t="str">
        <f t="shared" si="17"/>
        <v>contact376@vendor.com</v>
      </c>
    </row>
    <row r="378" spans="1:8">
      <c r="A378" t="s">
        <v>396</v>
      </c>
      <c r="B378" t="str">
        <f t="shared" si="15"/>
        <v>Vendor_377</v>
      </c>
      <c r="C378" t="s">
        <v>311</v>
      </c>
      <c r="D378" t="str">
        <f t="shared" si="16"/>
        <v>North</v>
      </c>
      <c r="E378">
        <v>237910</v>
      </c>
      <c r="F378" s="1">
        <v>44673</v>
      </c>
      <c r="G378" s="1">
        <v>45864</v>
      </c>
      <c r="H378" t="str">
        <f t="shared" si="17"/>
        <v>contact377@vendor.com</v>
      </c>
    </row>
    <row r="379" spans="1:8">
      <c r="A379" t="s">
        <v>397</v>
      </c>
      <c r="B379" t="str">
        <f t="shared" si="15"/>
        <v>Vendor_378</v>
      </c>
      <c r="C379" t="s">
        <v>311</v>
      </c>
      <c r="D379" t="str">
        <f t="shared" si="16"/>
        <v>North</v>
      </c>
      <c r="E379">
        <v>146142</v>
      </c>
      <c r="F379" s="1">
        <v>44384</v>
      </c>
      <c r="G379" s="1">
        <v>45183</v>
      </c>
      <c r="H379" t="str">
        <f t="shared" si="17"/>
        <v>contact378@vendor.com</v>
      </c>
    </row>
    <row r="380" spans="1:8">
      <c r="A380" t="s">
        <v>398</v>
      </c>
      <c r="B380" t="str">
        <f t="shared" si="15"/>
        <v>Vendor_379</v>
      </c>
      <c r="C380" t="s">
        <v>311</v>
      </c>
      <c r="D380" t="str">
        <f t="shared" si="16"/>
        <v>North</v>
      </c>
      <c r="E380">
        <v>146601</v>
      </c>
      <c r="F380" s="1">
        <v>44427</v>
      </c>
      <c r="G380" s="1">
        <v>45138</v>
      </c>
      <c r="H380" t="str">
        <f t="shared" si="17"/>
        <v>contact379@vendor.com</v>
      </c>
    </row>
    <row r="381" spans="1:8">
      <c r="A381" t="s">
        <v>399</v>
      </c>
      <c r="B381" t="str">
        <f t="shared" si="15"/>
        <v>Vendor_380</v>
      </c>
      <c r="C381" t="s">
        <v>311</v>
      </c>
      <c r="D381" t="str">
        <f t="shared" si="16"/>
        <v>North</v>
      </c>
      <c r="E381">
        <v>171385</v>
      </c>
      <c r="F381" s="1">
        <v>44761</v>
      </c>
      <c r="G381" s="1">
        <v>45449</v>
      </c>
      <c r="H381" t="str">
        <f t="shared" si="17"/>
        <v>contact380@vendor.com</v>
      </c>
    </row>
    <row r="382" spans="1:8">
      <c r="A382" t="s">
        <v>400</v>
      </c>
      <c r="B382" t="str">
        <f t="shared" si="15"/>
        <v>Vendor_381</v>
      </c>
      <c r="C382" t="s">
        <v>311</v>
      </c>
      <c r="D382" t="str">
        <f t="shared" si="16"/>
        <v>North</v>
      </c>
      <c r="E382">
        <v>188518</v>
      </c>
      <c r="F382" s="1">
        <v>44782</v>
      </c>
      <c r="G382" s="1">
        <v>45385</v>
      </c>
      <c r="H382" t="str">
        <f t="shared" si="17"/>
        <v>contact381@vendor.com</v>
      </c>
    </row>
    <row r="383" spans="1:8">
      <c r="A383" t="s">
        <v>401</v>
      </c>
      <c r="B383" t="str">
        <f t="shared" si="15"/>
        <v>Vendor_382</v>
      </c>
      <c r="C383" t="s">
        <v>311</v>
      </c>
      <c r="D383" t="str">
        <f t="shared" si="16"/>
        <v>North</v>
      </c>
      <c r="E383">
        <v>93037</v>
      </c>
      <c r="F383" s="1">
        <v>44989</v>
      </c>
      <c r="G383" s="1">
        <v>46015</v>
      </c>
      <c r="H383" t="str">
        <f t="shared" si="17"/>
        <v>contact382@vendor.com</v>
      </c>
    </row>
    <row r="384" spans="1:8">
      <c r="A384" t="s">
        <v>402</v>
      </c>
      <c r="B384" t="str">
        <f t="shared" si="15"/>
        <v>Vendor_383</v>
      </c>
      <c r="C384" t="s">
        <v>311</v>
      </c>
      <c r="D384" t="str">
        <f t="shared" si="16"/>
        <v>North</v>
      </c>
      <c r="E384">
        <v>164575</v>
      </c>
      <c r="F384" s="1">
        <v>44416</v>
      </c>
      <c r="G384" s="1">
        <v>45025</v>
      </c>
      <c r="H384" t="str">
        <f t="shared" si="17"/>
        <v>contact383@vendor.com</v>
      </c>
    </row>
    <row r="385" spans="1:8">
      <c r="A385" t="s">
        <v>403</v>
      </c>
      <c r="B385" t="str">
        <f t="shared" si="15"/>
        <v>Vendor_384</v>
      </c>
      <c r="C385" t="s">
        <v>311</v>
      </c>
      <c r="D385" t="str">
        <f t="shared" si="16"/>
        <v>North</v>
      </c>
      <c r="E385">
        <v>204592</v>
      </c>
      <c r="F385" s="1">
        <v>44388</v>
      </c>
      <c r="G385" s="1">
        <v>45220</v>
      </c>
      <c r="H385" t="str">
        <f t="shared" si="17"/>
        <v>contact384@vendor.com</v>
      </c>
    </row>
    <row r="386" spans="1:8">
      <c r="A386" t="s">
        <v>404</v>
      </c>
      <c r="B386" t="str">
        <f t="shared" si="15"/>
        <v>Vendor_385</v>
      </c>
      <c r="C386" t="s">
        <v>311</v>
      </c>
      <c r="D386" t="str">
        <f t="shared" si="16"/>
        <v>North</v>
      </c>
      <c r="E386">
        <v>205996</v>
      </c>
      <c r="F386" s="1">
        <v>44537</v>
      </c>
      <c r="G386" s="1">
        <v>45176</v>
      </c>
      <c r="H386" t="str">
        <f t="shared" si="17"/>
        <v>contact385@vendor.com</v>
      </c>
    </row>
    <row r="387" spans="1:8">
      <c r="A387" t="s">
        <v>405</v>
      </c>
      <c r="B387" t="str">
        <f t="shared" ref="B387:B401" si="18">_xlfn.CONCAT("Vendor_",TEXT(ROW()-1,"000"))</f>
        <v>Vendor_386</v>
      </c>
      <c r="C387" t="s">
        <v>311</v>
      </c>
      <c r="D387" t="str">
        <f t="shared" ref="D387:D401" si="19">CHOOSE(ROUNDUP((ROW()-1)/100,0),"East","South","West","North")</f>
        <v>North</v>
      </c>
      <c r="E387">
        <v>107784</v>
      </c>
      <c r="F387" s="1">
        <v>44592</v>
      </c>
      <c r="G387" s="1">
        <v>45648</v>
      </c>
      <c r="H387" t="str">
        <f t="shared" ref="H387:H401" si="20">_xlfn.CONCAT("contact",ROW()-1,"@vendor.com")</f>
        <v>contact386@vendor.com</v>
      </c>
    </row>
    <row r="388" spans="1:8">
      <c r="A388" t="s">
        <v>406</v>
      </c>
      <c r="B388" t="str">
        <f t="shared" si="18"/>
        <v>Vendor_387</v>
      </c>
      <c r="C388" t="s">
        <v>311</v>
      </c>
      <c r="D388" t="str">
        <f t="shared" si="19"/>
        <v>North</v>
      </c>
      <c r="E388">
        <v>132365</v>
      </c>
      <c r="F388" s="1">
        <v>45103</v>
      </c>
      <c r="G388" s="1">
        <v>45518</v>
      </c>
      <c r="H388" t="str">
        <f t="shared" si="20"/>
        <v>contact387@vendor.com</v>
      </c>
    </row>
    <row r="389" spans="1:8">
      <c r="A389" t="s">
        <v>407</v>
      </c>
      <c r="B389" t="str">
        <f t="shared" si="18"/>
        <v>Vendor_388</v>
      </c>
      <c r="C389" t="s">
        <v>311</v>
      </c>
      <c r="D389" t="str">
        <f t="shared" si="19"/>
        <v>North</v>
      </c>
      <c r="E389">
        <v>57104</v>
      </c>
      <c r="F389" s="1">
        <v>45096</v>
      </c>
      <c r="G389" s="1">
        <v>46493</v>
      </c>
      <c r="H389" t="str">
        <f t="shared" si="20"/>
        <v>contact388@vendor.com</v>
      </c>
    </row>
    <row r="390" spans="1:8">
      <c r="A390" t="s">
        <v>408</v>
      </c>
      <c r="B390" t="str">
        <f t="shared" si="18"/>
        <v>Vendor_389</v>
      </c>
      <c r="C390" t="s">
        <v>311</v>
      </c>
      <c r="D390" t="str">
        <f t="shared" si="19"/>
        <v>North</v>
      </c>
      <c r="E390">
        <v>93677</v>
      </c>
      <c r="F390" s="1">
        <v>44492</v>
      </c>
      <c r="G390" s="1">
        <v>45679</v>
      </c>
      <c r="H390" t="str">
        <f t="shared" si="20"/>
        <v>contact389@vendor.com</v>
      </c>
    </row>
    <row r="391" spans="1:8">
      <c r="A391" t="s">
        <v>409</v>
      </c>
      <c r="B391" t="str">
        <f t="shared" si="18"/>
        <v>Vendor_390</v>
      </c>
      <c r="C391" t="s">
        <v>311</v>
      </c>
      <c r="D391" t="str">
        <f t="shared" si="19"/>
        <v>North</v>
      </c>
      <c r="E391">
        <v>128614</v>
      </c>
      <c r="F391" s="1">
        <v>44761</v>
      </c>
      <c r="G391" s="1">
        <v>46524</v>
      </c>
      <c r="H391" t="str">
        <f t="shared" si="20"/>
        <v>contact390@vendor.com</v>
      </c>
    </row>
    <row r="392" spans="1:8">
      <c r="A392" t="s">
        <v>410</v>
      </c>
      <c r="B392" t="str">
        <f t="shared" si="18"/>
        <v>Vendor_391</v>
      </c>
      <c r="C392" t="s">
        <v>311</v>
      </c>
      <c r="D392" t="str">
        <f t="shared" si="19"/>
        <v>North</v>
      </c>
      <c r="E392">
        <v>226337</v>
      </c>
      <c r="F392" s="1">
        <v>45156</v>
      </c>
      <c r="G392" s="1">
        <v>45768</v>
      </c>
      <c r="H392" t="str">
        <f t="shared" si="20"/>
        <v>contact391@vendor.com</v>
      </c>
    </row>
    <row r="393" spans="1:8">
      <c r="A393" t="s">
        <v>411</v>
      </c>
      <c r="B393" t="str">
        <f t="shared" si="18"/>
        <v>Vendor_392</v>
      </c>
      <c r="C393" t="s">
        <v>311</v>
      </c>
      <c r="D393" t="str">
        <f t="shared" si="19"/>
        <v>North</v>
      </c>
      <c r="E393">
        <v>218926</v>
      </c>
      <c r="F393" s="1">
        <v>44818</v>
      </c>
      <c r="G393" s="1">
        <v>45309</v>
      </c>
      <c r="H393" t="str">
        <f t="shared" si="20"/>
        <v>contact392@vendor.com</v>
      </c>
    </row>
    <row r="394" spans="1:8">
      <c r="A394" t="s">
        <v>412</v>
      </c>
      <c r="B394" t="str">
        <f t="shared" si="18"/>
        <v>Vendor_393</v>
      </c>
      <c r="C394" t="s">
        <v>311</v>
      </c>
      <c r="D394" t="str">
        <f t="shared" si="19"/>
        <v>North</v>
      </c>
      <c r="E394">
        <v>186526</v>
      </c>
      <c r="F394" s="1">
        <v>44727</v>
      </c>
      <c r="G394" s="1">
        <v>45831</v>
      </c>
      <c r="H394" t="str">
        <f t="shared" si="20"/>
        <v>contact393@vendor.com</v>
      </c>
    </row>
    <row r="395" spans="1:8">
      <c r="A395" t="s">
        <v>413</v>
      </c>
      <c r="B395" t="str">
        <f t="shared" si="18"/>
        <v>Vendor_394</v>
      </c>
      <c r="C395" t="s">
        <v>311</v>
      </c>
      <c r="D395" t="str">
        <f t="shared" si="19"/>
        <v>North</v>
      </c>
      <c r="E395">
        <v>242259</v>
      </c>
      <c r="F395" s="1">
        <v>44887</v>
      </c>
      <c r="G395" s="1">
        <v>45298</v>
      </c>
      <c r="H395" t="str">
        <f t="shared" si="20"/>
        <v>contact394@vendor.com</v>
      </c>
    </row>
    <row r="396" spans="1:8">
      <c r="A396" t="s">
        <v>414</v>
      </c>
      <c r="B396" t="str">
        <f t="shared" si="18"/>
        <v>Vendor_395</v>
      </c>
      <c r="C396" t="s">
        <v>311</v>
      </c>
      <c r="D396" t="str">
        <f t="shared" si="19"/>
        <v>North</v>
      </c>
      <c r="E396">
        <v>215482</v>
      </c>
      <c r="F396" s="1">
        <v>44879</v>
      </c>
      <c r="G396" s="1">
        <v>46581</v>
      </c>
      <c r="H396" t="str">
        <f t="shared" si="20"/>
        <v>contact395@vendor.com</v>
      </c>
    </row>
    <row r="397" spans="1:8">
      <c r="A397" t="s">
        <v>415</v>
      </c>
      <c r="B397" t="str">
        <f t="shared" si="18"/>
        <v>Vendor_396</v>
      </c>
      <c r="C397" t="s">
        <v>311</v>
      </c>
      <c r="D397" t="str">
        <f t="shared" si="19"/>
        <v>North</v>
      </c>
      <c r="E397">
        <v>120820</v>
      </c>
      <c r="F397" s="1">
        <v>44908</v>
      </c>
      <c r="G397" s="1">
        <v>45457</v>
      </c>
      <c r="H397" t="str">
        <f t="shared" si="20"/>
        <v>contact396@vendor.com</v>
      </c>
    </row>
    <row r="398" spans="1:8">
      <c r="A398" t="s">
        <v>416</v>
      </c>
      <c r="B398" t="str">
        <f t="shared" si="18"/>
        <v>Vendor_397</v>
      </c>
      <c r="C398" t="s">
        <v>311</v>
      </c>
      <c r="D398" t="str">
        <f t="shared" si="19"/>
        <v>North</v>
      </c>
      <c r="E398">
        <v>2727524</v>
      </c>
      <c r="F398" s="1">
        <v>44468</v>
      </c>
      <c r="G398" s="1">
        <v>46043</v>
      </c>
      <c r="H398" t="str">
        <f t="shared" si="20"/>
        <v>contact397@vendor.com</v>
      </c>
    </row>
    <row r="399" spans="1:8">
      <c r="A399" t="s">
        <v>417</v>
      </c>
      <c r="B399" t="str">
        <f t="shared" si="18"/>
        <v>Vendor_398</v>
      </c>
      <c r="C399" t="s">
        <v>311</v>
      </c>
      <c r="D399" t="str">
        <f t="shared" si="19"/>
        <v>North</v>
      </c>
      <c r="E399">
        <v>3389070</v>
      </c>
      <c r="F399" s="1">
        <v>44476</v>
      </c>
      <c r="G399" s="1">
        <v>45737</v>
      </c>
      <c r="H399" t="str">
        <f t="shared" si="20"/>
        <v>contact398@vendor.com</v>
      </c>
    </row>
    <row r="400" spans="1:8">
      <c r="A400" t="s">
        <v>418</v>
      </c>
      <c r="B400" t="str">
        <f t="shared" si="18"/>
        <v>Vendor_399</v>
      </c>
      <c r="C400" t="s">
        <v>311</v>
      </c>
      <c r="D400" t="str">
        <f t="shared" si="19"/>
        <v>North</v>
      </c>
      <c r="E400">
        <v>2884267</v>
      </c>
      <c r="F400" s="1">
        <v>45061</v>
      </c>
      <c r="G400" s="1">
        <v>46882</v>
      </c>
      <c r="H400" t="str">
        <f t="shared" si="20"/>
        <v>contact399@vendor.com</v>
      </c>
    </row>
    <row r="401" spans="1:8">
      <c r="A401" t="s">
        <v>419</v>
      </c>
      <c r="B401" t="str">
        <f t="shared" si="18"/>
        <v>Vendor_400</v>
      </c>
      <c r="C401" t="s">
        <v>311</v>
      </c>
      <c r="D401" t="str">
        <f t="shared" si="19"/>
        <v>North</v>
      </c>
      <c r="E401">
        <v>2950224</v>
      </c>
      <c r="F401" s="1">
        <v>45108</v>
      </c>
      <c r="G401" s="1">
        <v>45849</v>
      </c>
      <c r="H401" t="str">
        <f t="shared" si="20"/>
        <v>contact400@vendor.com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5F02B-756C-46B0-8D9B-7548113D8FFF}">
  <dimension ref="A1:K1601"/>
  <sheetViews>
    <sheetView topLeftCell="A1581" workbookViewId="0">
      <selection activeCell="H8" sqref="H8"/>
    </sheetView>
  </sheetViews>
  <sheetFormatPr defaultRowHeight="14.5"/>
  <cols>
    <col min="1" max="1" width="9.453125" bestFit="1" customWidth="1"/>
    <col min="2" max="2" width="20.81640625" bestFit="1" customWidth="1"/>
    <col min="4" max="4" width="9.453125" bestFit="1" customWidth="1"/>
    <col min="5" max="5" width="19.26953125" bestFit="1" customWidth="1"/>
    <col min="6" max="6" width="10.26953125" bestFit="1" customWidth="1"/>
    <col min="7" max="7" width="13.1796875" bestFit="1" customWidth="1"/>
    <col min="8" max="8" width="15.36328125" bestFit="1" customWidth="1"/>
    <col min="9" max="9" width="16.1796875" customWidth="1"/>
    <col min="10" max="10" width="22.90625" customWidth="1"/>
  </cols>
  <sheetData>
    <row r="1" spans="1:11">
      <c r="A1" t="s">
        <v>0</v>
      </c>
      <c r="B1" s="2" t="s">
        <v>312</v>
      </c>
      <c r="C1" t="s">
        <v>313</v>
      </c>
      <c r="D1" t="s">
        <v>314</v>
      </c>
      <c r="E1" t="s">
        <v>315</v>
      </c>
      <c r="F1" t="s">
        <v>316</v>
      </c>
      <c r="G1" t="s">
        <v>317</v>
      </c>
      <c r="H1" t="s">
        <v>318</v>
      </c>
      <c r="I1" t="s">
        <v>439</v>
      </c>
      <c r="J1" t="s">
        <v>448</v>
      </c>
    </row>
    <row r="2" spans="1:11" ht="29">
      <c r="A2" t="str" cm="1">
        <f t="array" ref="A2">INDEX(Vendor_Master!$A$2:$A$401, ROUNDUP((ROW()-1)/4, 0))</f>
        <v>VND-001</v>
      </c>
      <c r="B2" t="str">
        <f>CHOOSE(MOD(ROW()-2,4)+1,"ISO 14001","Safety Certificate","Environmental Policy","Sustainability Disclosure")</f>
        <v>ISO 14001</v>
      </c>
      <c r="C2" t="str">
        <f>"Yes"</f>
        <v>Yes</v>
      </c>
      <c r="D2" t="str">
        <f>IF(ROW()-1&lt;=1280,"Yes","No")</f>
        <v>Yes</v>
      </c>
      <c r="E2" s="1">
        <v>45619</v>
      </c>
      <c r="F2" s="1">
        <v>46752</v>
      </c>
      <c r="G2">
        <f ca="1">IF($F2="","",$F2-TODAY())</f>
        <v>669</v>
      </c>
      <c r="H2" t="str">
        <f ca="1">IF($C2="No","Not Required",
IF($D2="No","Missing",
IF($F2&lt;TODAY(),"Expired",
IF($F2&lt;=TODAY()+30,"Expiring Soon","Active"))))</f>
        <v>Active</v>
      </c>
      <c r="I2">
        <f ca="1">IF(OR($H2="Missing",$H2="Expired",$H2="Expiring Soon"),1,0)</f>
        <v>0</v>
      </c>
      <c r="J2" t="str">
        <f>IF(B2="ISO 14001","Environmental",
 IF(B2="Environmental Policy","Environmental",
 IF(B2="Sustainability Disclosure","Environmental",
 IF(B2="Safety Certificate","Safety","Regulatory"))))</f>
        <v>Environmental</v>
      </c>
      <c r="K2" s="3" t="s">
        <v>447</v>
      </c>
    </row>
    <row r="3" spans="1:11">
      <c r="A3" t="str" cm="1">
        <f t="array" ref="A3">INDEX(Vendor_Master!$A$2:$A$401, ROUNDUP((ROW()-1)/4, 0))</f>
        <v>VND-001</v>
      </c>
      <c r="B3" t="str">
        <f t="shared" ref="B3:B66" si="0">CHOOSE(MOD(ROW()-2,4)+1,"ISO 14001","Safety Certificate","Environmental Policy","Sustainability Disclosure")</f>
        <v>Safety Certificate</v>
      </c>
      <c r="C3" t="str">
        <f t="shared" ref="C3:C66" si="1">"Yes"</f>
        <v>Yes</v>
      </c>
      <c r="D3" t="str">
        <f t="shared" ref="D3:D66" si="2">IF(ROW()-1&lt;=1280,"Yes","No")</f>
        <v>Yes</v>
      </c>
      <c r="E3" s="1">
        <v>46046</v>
      </c>
      <c r="F3" s="1">
        <v>46313</v>
      </c>
      <c r="G3">
        <f t="shared" ref="G3:G66" ca="1" si="3">IF($F3="","",$F3-TODAY())</f>
        <v>230</v>
      </c>
      <c r="H3" t="str">
        <f t="shared" ref="H3:H66" ca="1" si="4">IF($C3="No","Not Required",
IF($D3="No","Missing",
IF($F3&lt;TODAY(),"Expired",
IF($F3&lt;=TODAY()+30,"Expiring Soon","Active"))))</f>
        <v>Active</v>
      </c>
      <c r="I3">
        <f t="shared" ref="I3:I66" ca="1" si="5">IF(OR($H3="Missing",$H3="Expired",$H3="Expiring Soon"),1,0)</f>
        <v>0</v>
      </c>
      <c r="J3" t="str">
        <f t="shared" ref="J3:J66" si="6">IF(B3="ISO 14001","Environmental",
 IF(B3="Environmental Policy","Environmental",
 IF(B3="Sustainability Disclosure","Environmental",
 IF(B3="Safety Certificate","Safety","Regulatory"))))</f>
        <v>Safety</v>
      </c>
    </row>
    <row r="4" spans="1:11">
      <c r="A4" t="str" cm="1">
        <f t="array" ref="A4">INDEX(Vendor_Master!$A$2:$A$401, ROUNDUP((ROW()-1)/4, 0))</f>
        <v>VND-001</v>
      </c>
      <c r="B4" t="str">
        <f t="shared" si="0"/>
        <v>Environmental Policy</v>
      </c>
      <c r="C4" t="str">
        <f t="shared" si="1"/>
        <v>Yes</v>
      </c>
      <c r="D4" t="str">
        <f t="shared" si="2"/>
        <v>Yes</v>
      </c>
      <c r="E4" s="1">
        <v>45701</v>
      </c>
      <c r="F4" s="1">
        <v>46534</v>
      </c>
      <c r="G4">
        <f t="shared" ca="1" si="3"/>
        <v>451</v>
      </c>
      <c r="H4" t="str">
        <f t="shared" ca="1" si="4"/>
        <v>Active</v>
      </c>
      <c r="I4">
        <f t="shared" ca="1" si="5"/>
        <v>0</v>
      </c>
      <c r="J4" t="str">
        <f t="shared" si="6"/>
        <v>Environmental</v>
      </c>
    </row>
    <row r="5" spans="1:11">
      <c r="A5" t="str" cm="1">
        <f t="array" ref="A5">INDEX(Vendor_Master!$A$2:$A$401, ROUNDUP((ROW()-1)/4, 0))</f>
        <v>VND-001</v>
      </c>
      <c r="B5" t="str">
        <f t="shared" si="0"/>
        <v>Sustainability Disclosure</v>
      </c>
      <c r="C5" t="str">
        <f t="shared" si="1"/>
        <v>Yes</v>
      </c>
      <c r="D5" t="str">
        <f t="shared" si="2"/>
        <v>Yes</v>
      </c>
      <c r="E5" s="1">
        <v>45390</v>
      </c>
      <c r="F5" s="1">
        <v>46356</v>
      </c>
      <c r="G5">
        <f t="shared" ca="1" si="3"/>
        <v>273</v>
      </c>
      <c r="H5" t="str">
        <f t="shared" ca="1" si="4"/>
        <v>Active</v>
      </c>
      <c r="I5">
        <f t="shared" ca="1" si="5"/>
        <v>0</v>
      </c>
      <c r="J5" t="str">
        <f t="shared" si="6"/>
        <v>Environmental</v>
      </c>
    </row>
    <row r="6" spans="1:11">
      <c r="A6" t="str" cm="1">
        <f t="array" ref="A6">INDEX(Vendor_Master!$A$2:$A$401, ROUNDUP((ROW()-1)/4, 0))</f>
        <v>VND-002</v>
      </c>
      <c r="B6" t="str">
        <f t="shared" si="0"/>
        <v>ISO 14001</v>
      </c>
      <c r="C6" t="str">
        <f t="shared" si="1"/>
        <v>Yes</v>
      </c>
      <c r="D6" t="str">
        <f t="shared" si="2"/>
        <v>Yes</v>
      </c>
      <c r="E6" s="1">
        <v>45648</v>
      </c>
      <c r="F6" s="1">
        <v>46751</v>
      </c>
      <c r="G6">
        <f t="shared" ca="1" si="3"/>
        <v>668</v>
      </c>
      <c r="H6" t="str">
        <f t="shared" ca="1" si="4"/>
        <v>Active</v>
      </c>
      <c r="I6">
        <f t="shared" ca="1" si="5"/>
        <v>0</v>
      </c>
      <c r="J6" t="str">
        <f t="shared" si="6"/>
        <v>Environmental</v>
      </c>
    </row>
    <row r="7" spans="1:11">
      <c r="A7" t="str" cm="1">
        <f t="array" ref="A7">INDEX(Vendor_Master!$A$2:$A$401, ROUNDUP((ROW()-1)/4, 0))</f>
        <v>VND-002</v>
      </c>
      <c r="B7" t="str">
        <f t="shared" si="0"/>
        <v>Safety Certificate</v>
      </c>
      <c r="C7" t="str">
        <f t="shared" si="1"/>
        <v>Yes</v>
      </c>
      <c r="D7" t="str">
        <f t="shared" si="2"/>
        <v>Yes</v>
      </c>
      <c r="E7" s="1">
        <v>46007</v>
      </c>
      <c r="F7" s="1">
        <v>46257</v>
      </c>
      <c r="G7">
        <f t="shared" ca="1" si="3"/>
        <v>174</v>
      </c>
      <c r="H7" t="str">
        <f t="shared" ca="1" si="4"/>
        <v>Active</v>
      </c>
      <c r="I7">
        <f t="shared" ca="1" si="5"/>
        <v>0</v>
      </c>
      <c r="J7" t="str">
        <f t="shared" si="6"/>
        <v>Safety</v>
      </c>
    </row>
    <row r="8" spans="1:11">
      <c r="A8" t="str" cm="1">
        <f t="array" ref="A8">INDEX(Vendor_Master!$A$2:$A$401, ROUNDUP((ROW()-1)/4, 0))</f>
        <v>VND-002</v>
      </c>
      <c r="B8" t="str">
        <f t="shared" si="0"/>
        <v>Environmental Policy</v>
      </c>
      <c r="C8" t="str">
        <f t="shared" si="1"/>
        <v>Yes</v>
      </c>
      <c r="D8" t="str">
        <f t="shared" si="2"/>
        <v>Yes</v>
      </c>
      <c r="E8" s="1">
        <v>45999</v>
      </c>
      <c r="F8" s="1">
        <v>46260</v>
      </c>
      <c r="G8">
        <f t="shared" ca="1" si="3"/>
        <v>177</v>
      </c>
      <c r="H8" t="str">
        <f t="shared" ca="1" si="4"/>
        <v>Active</v>
      </c>
      <c r="I8">
        <f t="shared" ca="1" si="5"/>
        <v>0</v>
      </c>
      <c r="J8" t="str">
        <f t="shared" si="6"/>
        <v>Environmental</v>
      </c>
    </row>
    <row r="9" spans="1:11">
      <c r="A9" t="str" cm="1">
        <f t="array" ref="A9">INDEX(Vendor_Master!$A$2:$A$401, ROUNDUP((ROW()-1)/4, 0))</f>
        <v>VND-002</v>
      </c>
      <c r="B9" t="str">
        <f t="shared" si="0"/>
        <v>Sustainability Disclosure</v>
      </c>
      <c r="C9" t="str">
        <f t="shared" si="1"/>
        <v>Yes</v>
      </c>
      <c r="D9" t="str">
        <f t="shared" si="2"/>
        <v>Yes</v>
      </c>
      <c r="E9" s="1">
        <v>45897</v>
      </c>
      <c r="F9" s="1">
        <v>46869</v>
      </c>
      <c r="G9">
        <f t="shared" ca="1" si="3"/>
        <v>786</v>
      </c>
      <c r="H9" t="str">
        <f t="shared" ca="1" si="4"/>
        <v>Active</v>
      </c>
      <c r="I9">
        <f t="shared" ca="1" si="5"/>
        <v>0</v>
      </c>
      <c r="J9" t="str">
        <f t="shared" si="6"/>
        <v>Environmental</v>
      </c>
    </row>
    <row r="10" spans="1:11">
      <c r="A10" t="str" cm="1">
        <f t="array" ref="A10">INDEX(Vendor_Master!$A$2:$A$401, ROUNDUP((ROW()-1)/4, 0))</f>
        <v>VND-003</v>
      </c>
      <c r="B10" t="str">
        <f t="shared" si="0"/>
        <v>ISO 14001</v>
      </c>
      <c r="C10" t="str">
        <f t="shared" si="1"/>
        <v>Yes</v>
      </c>
      <c r="D10" t="str">
        <f t="shared" si="2"/>
        <v>Yes</v>
      </c>
      <c r="E10" s="1">
        <v>46033</v>
      </c>
      <c r="F10" s="1">
        <v>46506</v>
      </c>
      <c r="G10">
        <f t="shared" ca="1" si="3"/>
        <v>423</v>
      </c>
      <c r="H10" t="str">
        <f t="shared" ca="1" si="4"/>
        <v>Active</v>
      </c>
      <c r="I10">
        <f t="shared" ca="1" si="5"/>
        <v>0</v>
      </c>
      <c r="J10" t="str">
        <f t="shared" si="6"/>
        <v>Environmental</v>
      </c>
    </row>
    <row r="11" spans="1:11">
      <c r="A11" t="str" cm="1">
        <f t="array" ref="A11">INDEX(Vendor_Master!$A$2:$A$401, ROUNDUP((ROW()-1)/4, 0))</f>
        <v>VND-003</v>
      </c>
      <c r="B11" t="str">
        <f t="shared" si="0"/>
        <v>Safety Certificate</v>
      </c>
      <c r="C11" t="str">
        <f t="shared" si="1"/>
        <v>Yes</v>
      </c>
      <c r="D11" t="str">
        <f t="shared" si="2"/>
        <v>Yes</v>
      </c>
      <c r="E11" s="1">
        <v>45403</v>
      </c>
      <c r="F11" s="1">
        <v>46227</v>
      </c>
      <c r="G11">
        <f t="shared" ca="1" si="3"/>
        <v>144</v>
      </c>
      <c r="H11" t="str">
        <f t="shared" ca="1" si="4"/>
        <v>Active</v>
      </c>
      <c r="I11">
        <f t="shared" ca="1" si="5"/>
        <v>0</v>
      </c>
      <c r="J11" t="str">
        <f t="shared" si="6"/>
        <v>Safety</v>
      </c>
    </row>
    <row r="12" spans="1:11">
      <c r="A12" t="str" cm="1">
        <f t="array" ref="A12">INDEX(Vendor_Master!$A$2:$A$401, ROUNDUP((ROW()-1)/4, 0))</f>
        <v>VND-003</v>
      </c>
      <c r="B12" t="str">
        <f t="shared" si="0"/>
        <v>Environmental Policy</v>
      </c>
      <c r="C12" t="str">
        <f t="shared" si="1"/>
        <v>Yes</v>
      </c>
      <c r="D12" t="str">
        <f t="shared" si="2"/>
        <v>Yes</v>
      </c>
      <c r="E12" s="1">
        <v>45739</v>
      </c>
      <c r="F12" s="1">
        <v>46637</v>
      </c>
      <c r="G12">
        <f t="shared" ca="1" si="3"/>
        <v>554</v>
      </c>
      <c r="H12" t="str">
        <f t="shared" ca="1" si="4"/>
        <v>Active</v>
      </c>
      <c r="I12">
        <f t="shared" ca="1" si="5"/>
        <v>0</v>
      </c>
      <c r="J12" t="str">
        <f t="shared" si="6"/>
        <v>Environmental</v>
      </c>
    </row>
    <row r="13" spans="1:11">
      <c r="A13" t="str" cm="1">
        <f t="array" ref="A13">INDEX(Vendor_Master!$A$2:$A$401, ROUNDUP((ROW()-1)/4, 0))</f>
        <v>VND-003</v>
      </c>
      <c r="B13" t="str">
        <f t="shared" si="0"/>
        <v>Sustainability Disclosure</v>
      </c>
      <c r="C13" t="str">
        <f t="shared" si="1"/>
        <v>Yes</v>
      </c>
      <c r="D13" t="str">
        <f t="shared" si="2"/>
        <v>Yes</v>
      </c>
      <c r="E13" s="1">
        <v>45737</v>
      </c>
      <c r="F13" s="1">
        <v>46830</v>
      </c>
      <c r="G13">
        <f t="shared" ca="1" si="3"/>
        <v>747</v>
      </c>
      <c r="H13" t="str">
        <f t="shared" ca="1" si="4"/>
        <v>Active</v>
      </c>
      <c r="I13">
        <f t="shared" ca="1" si="5"/>
        <v>0</v>
      </c>
      <c r="J13" t="str">
        <f t="shared" si="6"/>
        <v>Environmental</v>
      </c>
    </row>
    <row r="14" spans="1:11">
      <c r="A14" t="str" cm="1">
        <f t="array" ref="A14">INDEX(Vendor_Master!$A$2:$A$401, ROUNDUP((ROW()-1)/4, 0))</f>
        <v>VND-004</v>
      </c>
      <c r="B14" t="str">
        <f t="shared" si="0"/>
        <v>ISO 14001</v>
      </c>
      <c r="C14" t="str">
        <f t="shared" si="1"/>
        <v>Yes</v>
      </c>
      <c r="D14" t="str">
        <f t="shared" si="2"/>
        <v>Yes</v>
      </c>
      <c r="E14" s="1">
        <v>46038</v>
      </c>
      <c r="F14" s="1">
        <v>46873</v>
      </c>
      <c r="G14">
        <f t="shared" ca="1" si="3"/>
        <v>790</v>
      </c>
      <c r="H14" t="str">
        <f t="shared" ca="1" si="4"/>
        <v>Active</v>
      </c>
      <c r="I14">
        <f t="shared" ca="1" si="5"/>
        <v>0</v>
      </c>
      <c r="J14" t="str">
        <f t="shared" si="6"/>
        <v>Environmental</v>
      </c>
    </row>
    <row r="15" spans="1:11">
      <c r="A15" t="str" cm="1">
        <f t="array" ref="A15">INDEX(Vendor_Master!$A$2:$A$401, ROUNDUP((ROW()-1)/4, 0))</f>
        <v>VND-004</v>
      </c>
      <c r="B15" t="str">
        <f t="shared" si="0"/>
        <v>Safety Certificate</v>
      </c>
      <c r="C15" t="str">
        <f t="shared" si="1"/>
        <v>Yes</v>
      </c>
      <c r="D15" t="str">
        <f t="shared" si="2"/>
        <v>Yes</v>
      </c>
      <c r="E15" s="1">
        <v>45780</v>
      </c>
      <c r="F15" s="1">
        <v>46916</v>
      </c>
      <c r="G15">
        <f t="shared" ca="1" si="3"/>
        <v>833</v>
      </c>
      <c r="H15" t="str">
        <f t="shared" ca="1" si="4"/>
        <v>Active</v>
      </c>
      <c r="I15">
        <f t="shared" ca="1" si="5"/>
        <v>0</v>
      </c>
      <c r="J15" t="str">
        <f t="shared" si="6"/>
        <v>Safety</v>
      </c>
    </row>
    <row r="16" spans="1:11">
      <c r="A16" t="str" cm="1">
        <f t="array" ref="A16">INDEX(Vendor_Master!$A$2:$A$401, ROUNDUP((ROW()-1)/4, 0))</f>
        <v>VND-004</v>
      </c>
      <c r="B16" t="str">
        <f t="shared" si="0"/>
        <v>Environmental Policy</v>
      </c>
      <c r="C16" t="str">
        <f t="shared" si="1"/>
        <v>Yes</v>
      </c>
      <c r="D16" t="str">
        <f t="shared" si="2"/>
        <v>Yes</v>
      </c>
      <c r="E16" s="1">
        <v>45944</v>
      </c>
      <c r="F16" s="1">
        <v>46369</v>
      </c>
      <c r="G16">
        <f t="shared" ca="1" si="3"/>
        <v>286</v>
      </c>
      <c r="H16" t="str">
        <f t="shared" ca="1" si="4"/>
        <v>Active</v>
      </c>
      <c r="I16">
        <f t="shared" ca="1" si="5"/>
        <v>0</v>
      </c>
      <c r="J16" t="str">
        <f t="shared" si="6"/>
        <v>Environmental</v>
      </c>
    </row>
    <row r="17" spans="1:10">
      <c r="A17" t="str" cm="1">
        <f t="array" ref="A17">INDEX(Vendor_Master!$A$2:$A$401, ROUNDUP((ROW()-1)/4, 0))</f>
        <v>VND-004</v>
      </c>
      <c r="B17" t="str">
        <f t="shared" si="0"/>
        <v>Sustainability Disclosure</v>
      </c>
      <c r="C17" t="str">
        <f t="shared" si="1"/>
        <v>Yes</v>
      </c>
      <c r="D17" t="str">
        <f t="shared" si="2"/>
        <v>Yes</v>
      </c>
      <c r="E17" s="1">
        <v>45582</v>
      </c>
      <c r="F17" s="1">
        <v>46693</v>
      </c>
      <c r="G17">
        <f t="shared" ca="1" si="3"/>
        <v>610</v>
      </c>
      <c r="H17" t="str">
        <f t="shared" ca="1" si="4"/>
        <v>Active</v>
      </c>
      <c r="I17">
        <f t="shared" ca="1" si="5"/>
        <v>0</v>
      </c>
      <c r="J17" t="str">
        <f t="shared" si="6"/>
        <v>Environmental</v>
      </c>
    </row>
    <row r="18" spans="1:10">
      <c r="A18" t="str" cm="1">
        <f t="array" ref="A18">INDEX(Vendor_Master!$A$2:$A$401, ROUNDUP((ROW()-1)/4, 0))</f>
        <v>VND-005</v>
      </c>
      <c r="B18" t="str">
        <f t="shared" si="0"/>
        <v>ISO 14001</v>
      </c>
      <c r="C18" t="str">
        <f t="shared" si="1"/>
        <v>Yes</v>
      </c>
      <c r="D18" t="str">
        <f t="shared" si="2"/>
        <v>Yes</v>
      </c>
      <c r="E18" s="1">
        <v>45884</v>
      </c>
      <c r="F18" s="1">
        <v>46466</v>
      </c>
      <c r="G18">
        <f t="shared" ca="1" si="3"/>
        <v>383</v>
      </c>
      <c r="H18" t="str">
        <f t="shared" ca="1" si="4"/>
        <v>Active</v>
      </c>
      <c r="I18">
        <f t="shared" ca="1" si="5"/>
        <v>0</v>
      </c>
      <c r="J18" t="str">
        <f t="shared" si="6"/>
        <v>Environmental</v>
      </c>
    </row>
    <row r="19" spans="1:10">
      <c r="A19" t="str" cm="1">
        <f t="array" ref="A19">INDEX(Vendor_Master!$A$2:$A$401, ROUNDUP((ROW()-1)/4, 0))</f>
        <v>VND-005</v>
      </c>
      <c r="B19" t="str">
        <f t="shared" si="0"/>
        <v>Safety Certificate</v>
      </c>
      <c r="C19" t="str">
        <f t="shared" si="1"/>
        <v>Yes</v>
      </c>
      <c r="D19" t="str">
        <f t="shared" si="2"/>
        <v>Yes</v>
      </c>
      <c r="E19" s="1">
        <v>45761</v>
      </c>
      <c r="F19" s="1">
        <v>46484</v>
      </c>
      <c r="G19">
        <f t="shared" ca="1" si="3"/>
        <v>401</v>
      </c>
      <c r="H19" t="str">
        <f t="shared" ca="1" si="4"/>
        <v>Active</v>
      </c>
      <c r="I19">
        <f t="shared" ca="1" si="5"/>
        <v>0</v>
      </c>
      <c r="J19" t="str">
        <f t="shared" si="6"/>
        <v>Safety</v>
      </c>
    </row>
    <row r="20" spans="1:10">
      <c r="A20" t="str" cm="1">
        <f t="array" ref="A20">INDEX(Vendor_Master!$A$2:$A$401, ROUNDUP((ROW()-1)/4, 0))</f>
        <v>VND-005</v>
      </c>
      <c r="B20" t="str">
        <f t="shared" si="0"/>
        <v>Environmental Policy</v>
      </c>
      <c r="C20" t="str">
        <f t="shared" si="1"/>
        <v>Yes</v>
      </c>
      <c r="D20" t="str">
        <f t="shared" si="2"/>
        <v>Yes</v>
      </c>
      <c r="E20" s="1">
        <v>45707</v>
      </c>
      <c r="F20" s="1">
        <v>46381</v>
      </c>
      <c r="G20">
        <f t="shared" ca="1" si="3"/>
        <v>298</v>
      </c>
      <c r="H20" t="str">
        <f t="shared" ca="1" si="4"/>
        <v>Active</v>
      </c>
      <c r="I20">
        <f t="shared" ca="1" si="5"/>
        <v>0</v>
      </c>
      <c r="J20" t="str">
        <f t="shared" si="6"/>
        <v>Environmental</v>
      </c>
    </row>
    <row r="21" spans="1:10">
      <c r="A21" t="str" cm="1">
        <f t="array" ref="A21">INDEX(Vendor_Master!$A$2:$A$401, ROUNDUP((ROW()-1)/4, 0))</f>
        <v>VND-005</v>
      </c>
      <c r="B21" t="str">
        <f t="shared" si="0"/>
        <v>Sustainability Disclosure</v>
      </c>
      <c r="C21" t="str">
        <f t="shared" si="1"/>
        <v>Yes</v>
      </c>
      <c r="D21" t="str">
        <f t="shared" si="2"/>
        <v>Yes</v>
      </c>
      <c r="E21" s="1">
        <v>45904</v>
      </c>
      <c r="F21" s="1">
        <v>46417</v>
      </c>
      <c r="G21">
        <f t="shared" ca="1" si="3"/>
        <v>334</v>
      </c>
      <c r="H21" t="str">
        <f t="shared" ca="1" si="4"/>
        <v>Active</v>
      </c>
      <c r="I21">
        <f t="shared" ca="1" si="5"/>
        <v>0</v>
      </c>
      <c r="J21" t="str">
        <f t="shared" si="6"/>
        <v>Environmental</v>
      </c>
    </row>
    <row r="22" spans="1:10">
      <c r="A22" t="str" cm="1">
        <f t="array" ref="A22">INDEX(Vendor_Master!$A$2:$A$401, ROUNDUP((ROW()-1)/4, 0))</f>
        <v>VND-006</v>
      </c>
      <c r="B22" t="str">
        <f t="shared" si="0"/>
        <v>ISO 14001</v>
      </c>
      <c r="C22" t="str">
        <f t="shared" si="1"/>
        <v>Yes</v>
      </c>
      <c r="D22" t="str">
        <f t="shared" si="2"/>
        <v>Yes</v>
      </c>
      <c r="E22" s="1">
        <v>45745</v>
      </c>
      <c r="F22" s="1">
        <v>46620</v>
      </c>
      <c r="G22">
        <f t="shared" ca="1" si="3"/>
        <v>537</v>
      </c>
      <c r="H22" t="str">
        <f t="shared" ca="1" si="4"/>
        <v>Active</v>
      </c>
      <c r="I22">
        <f t="shared" ca="1" si="5"/>
        <v>0</v>
      </c>
      <c r="J22" t="str">
        <f t="shared" si="6"/>
        <v>Environmental</v>
      </c>
    </row>
    <row r="23" spans="1:10">
      <c r="A23" t="str" cm="1">
        <f t="array" ref="A23">INDEX(Vendor_Master!$A$2:$A$401, ROUNDUP((ROW()-1)/4, 0))</f>
        <v>VND-006</v>
      </c>
      <c r="B23" t="str">
        <f t="shared" si="0"/>
        <v>Safety Certificate</v>
      </c>
      <c r="C23" t="str">
        <f t="shared" si="1"/>
        <v>Yes</v>
      </c>
      <c r="D23" t="str">
        <f t="shared" si="2"/>
        <v>Yes</v>
      </c>
      <c r="E23" s="1">
        <v>45992</v>
      </c>
      <c r="F23" s="1">
        <v>46389</v>
      </c>
      <c r="G23">
        <f t="shared" ca="1" si="3"/>
        <v>306</v>
      </c>
      <c r="H23" t="str">
        <f t="shared" ca="1" si="4"/>
        <v>Active</v>
      </c>
      <c r="I23">
        <f t="shared" ca="1" si="5"/>
        <v>0</v>
      </c>
      <c r="J23" t="str">
        <f t="shared" si="6"/>
        <v>Safety</v>
      </c>
    </row>
    <row r="24" spans="1:10">
      <c r="A24" t="str" cm="1">
        <f t="array" ref="A24">INDEX(Vendor_Master!$A$2:$A$401, ROUNDUP((ROW()-1)/4, 0))</f>
        <v>VND-006</v>
      </c>
      <c r="B24" t="str">
        <f t="shared" si="0"/>
        <v>Environmental Policy</v>
      </c>
      <c r="C24" t="str">
        <f t="shared" si="1"/>
        <v>Yes</v>
      </c>
      <c r="D24" t="str">
        <f t="shared" si="2"/>
        <v>Yes</v>
      </c>
      <c r="E24" s="1">
        <v>45676</v>
      </c>
      <c r="F24" s="1">
        <v>46859</v>
      </c>
      <c r="G24">
        <f t="shared" ca="1" si="3"/>
        <v>776</v>
      </c>
      <c r="H24" t="str">
        <f t="shared" ca="1" si="4"/>
        <v>Active</v>
      </c>
      <c r="I24">
        <f t="shared" ca="1" si="5"/>
        <v>0</v>
      </c>
      <c r="J24" t="str">
        <f t="shared" si="6"/>
        <v>Environmental</v>
      </c>
    </row>
    <row r="25" spans="1:10">
      <c r="A25" t="str" cm="1">
        <f t="array" ref="A25">INDEX(Vendor_Master!$A$2:$A$401, ROUNDUP((ROW()-1)/4, 0))</f>
        <v>VND-006</v>
      </c>
      <c r="B25" t="str">
        <f t="shared" si="0"/>
        <v>Sustainability Disclosure</v>
      </c>
      <c r="C25" t="str">
        <f t="shared" si="1"/>
        <v>Yes</v>
      </c>
      <c r="D25" t="str">
        <f t="shared" si="2"/>
        <v>Yes</v>
      </c>
      <c r="E25" s="1">
        <v>45841</v>
      </c>
      <c r="F25" s="1">
        <v>46678</v>
      </c>
      <c r="G25">
        <f t="shared" ca="1" si="3"/>
        <v>595</v>
      </c>
      <c r="H25" t="str">
        <f t="shared" ca="1" si="4"/>
        <v>Active</v>
      </c>
      <c r="I25">
        <f t="shared" ca="1" si="5"/>
        <v>0</v>
      </c>
      <c r="J25" t="str">
        <f t="shared" si="6"/>
        <v>Environmental</v>
      </c>
    </row>
    <row r="26" spans="1:10">
      <c r="A26" t="str" cm="1">
        <f t="array" ref="A26">INDEX(Vendor_Master!$A$2:$A$401, ROUNDUP((ROW()-1)/4, 0))</f>
        <v>VND-007</v>
      </c>
      <c r="B26" t="str">
        <f t="shared" si="0"/>
        <v>ISO 14001</v>
      </c>
      <c r="C26" t="str">
        <f t="shared" si="1"/>
        <v>Yes</v>
      </c>
      <c r="D26" t="str">
        <f t="shared" si="2"/>
        <v>Yes</v>
      </c>
      <c r="E26" s="1">
        <v>45536</v>
      </c>
      <c r="F26" s="1">
        <v>46536</v>
      </c>
      <c r="G26">
        <f t="shared" ca="1" si="3"/>
        <v>453</v>
      </c>
      <c r="H26" t="str">
        <f t="shared" ca="1" si="4"/>
        <v>Active</v>
      </c>
      <c r="I26">
        <f t="shared" ca="1" si="5"/>
        <v>0</v>
      </c>
      <c r="J26" t="str">
        <f t="shared" si="6"/>
        <v>Environmental</v>
      </c>
    </row>
    <row r="27" spans="1:10">
      <c r="A27" t="str" cm="1">
        <f t="array" ref="A27">INDEX(Vendor_Master!$A$2:$A$401, ROUNDUP((ROW()-1)/4, 0))</f>
        <v>VND-007</v>
      </c>
      <c r="B27" t="str">
        <f t="shared" si="0"/>
        <v>Safety Certificate</v>
      </c>
      <c r="C27" t="str">
        <f t="shared" si="1"/>
        <v>Yes</v>
      </c>
      <c r="D27" t="str">
        <f t="shared" si="2"/>
        <v>Yes</v>
      </c>
      <c r="E27" s="1">
        <v>46028</v>
      </c>
      <c r="F27" s="1">
        <v>46922</v>
      </c>
      <c r="G27">
        <f t="shared" ca="1" si="3"/>
        <v>839</v>
      </c>
      <c r="H27" t="str">
        <f t="shared" ca="1" si="4"/>
        <v>Active</v>
      </c>
      <c r="I27">
        <f t="shared" ca="1" si="5"/>
        <v>0</v>
      </c>
      <c r="J27" t="str">
        <f t="shared" si="6"/>
        <v>Safety</v>
      </c>
    </row>
    <row r="28" spans="1:10">
      <c r="A28" t="str" cm="1">
        <f t="array" ref="A28">INDEX(Vendor_Master!$A$2:$A$401, ROUNDUP((ROW()-1)/4, 0))</f>
        <v>VND-007</v>
      </c>
      <c r="B28" t="str">
        <f t="shared" si="0"/>
        <v>Environmental Policy</v>
      </c>
      <c r="C28" t="str">
        <f t="shared" si="1"/>
        <v>Yes</v>
      </c>
      <c r="D28" t="str">
        <f t="shared" si="2"/>
        <v>Yes</v>
      </c>
      <c r="E28" s="1">
        <v>45974</v>
      </c>
      <c r="F28" s="1">
        <v>46338</v>
      </c>
      <c r="G28">
        <f t="shared" ca="1" si="3"/>
        <v>255</v>
      </c>
      <c r="H28" t="str">
        <f t="shared" ca="1" si="4"/>
        <v>Active</v>
      </c>
      <c r="I28">
        <f t="shared" ca="1" si="5"/>
        <v>0</v>
      </c>
      <c r="J28" t="str">
        <f t="shared" si="6"/>
        <v>Environmental</v>
      </c>
    </row>
    <row r="29" spans="1:10">
      <c r="A29" t="str" cm="1">
        <f t="array" ref="A29">INDEX(Vendor_Master!$A$2:$A$401, ROUNDUP((ROW()-1)/4, 0))</f>
        <v>VND-007</v>
      </c>
      <c r="B29" t="str">
        <f t="shared" si="0"/>
        <v>Sustainability Disclosure</v>
      </c>
      <c r="C29" t="str">
        <f t="shared" si="1"/>
        <v>Yes</v>
      </c>
      <c r="D29" t="str">
        <f t="shared" si="2"/>
        <v>Yes</v>
      </c>
      <c r="E29" s="1">
        <v>45661</v>
      </c>
      <c r="F29" s="1">
        <v>46674</v>
      </c>
      <c r="G29">
        <f t="shared" ca="1" si="3"/>
        <v>591</v>
      </c>
      <c r="H29" t="str">
        <f t="shared" ca="1" si="4"/>
        <v>Active</v>
      </c>
      <c r="I29">
        <f t="shared" ca="1" si="5"/>
        <v>0</v>
      </c>
      <c r="J29" t="str">
        <f t="shared" si="6"/>
        <v>Environmental</v>
      </c>
    </row>
    <row r="30" spans="1:10">
      <c r="A30" t="str" cm="1">
        <f t="array" ref="A30">INDEX(Vendor_Master!$A$2:$A$401, ROUNDUP((ROW()-1)/4, 0))</f>
        <v>VND-008</v>
      </c>
      <c r="B30" t="str">
        <f t="shared" si="0"/>
        <v>ISO 14001</v>
      </c>
      <c r="C30" t="str">
        <f t="shared" si="1"/>
        <v>Yes</v>
      </c>
      <c r="D30" t="str">
        <f t="shared" si="2"/>
        <v>Yes</v>
      </c>
      <c r="E30" s="1">
        <v>45559</v>
      </c>
      <c r="F30" s="1">
        <v>46877</v>
      </c>
      <c r="G30">
        <f t="shared" ca="1" si="3"/>
        <v>794</v>
      </c>
      <c r="H30" t="str">
        <f t="shared" ca="1" si="4"/>
        <v>Active</v>
      </c>
      <c r="I30">
        <f t="shared" ca="1" si="5"/>
        <v>0</v>
      </c>
      <c r="J30" t="str">
        <f t="shared" si="6"/>
        <v>Environmental</v>
      </c>
    </row>
    <row r="31" spans="1:10">
      <c r="A31" t="str" cm="1">
        <f t="array" ref="A31">INDEX(Vendor_Master!$A$2:$A$401, ROUNDUP((ROW()-1)/4, 0))</f>
        <v>VND-008</v>
      </c>
      <c r="B31" t="str">
        <f t="shared" si="0"/>
        <v>Safety Certificate</v>
      </c>
      <c r="C31" t="str">
        <f t="shared" si="1"/>
        <v>Yes</v>
      </c>
      <c r="D31" t="str">
        <f t="shared" si="2"/>
        <v>Yes</v>
      </c>
      <c r="E31" s="1">
        <v>45683</v>
      </c>
      <c r="F31" s="1">
        <v>46210</v>
      </c>
      <c r="G31">
        <f t="shared" ca="1" si="3"/>
        <v>127</v>
      </c>
      <c r="H31" t="str">
        <f t="shared" ca="1" si="4"/>
        <v>Active</v>
      </c>
      <c r="I31">
        <f t="shared" ca="1" si="5"/>
        <v>0</v>
      </c>
      <c r="J31" t="str">
        <f t="shared" si="6"/>
        <v>Safety</v>
      </c>
    </row>
    <row r="32" spans="1:10">
      <c r="A32" t="str" cm="1">
        <f t="array" ref="A32">INDEX(Vendor_Master!$A$2:$A$401, ROUNDUP((ROW()-1)/4, 0))</f>
        <v>VND-008</v>
      </c>
      <c r="B32" t="str">
        <f t="shared" si="0"/>
        <v>Environmental Policy</v>
      </c>
      <c r="C32" t="str">
        <f t="shared" si="1"/>
        <v>Yes</v>
      </c>
      <c r="D32" t="str">
        <f t="shared" si="2"/>
        <v>Yes</v>
      </c>
      <c r="E32" s="1">
        <v>45946</v>
      </c>
      <c r="F32" s="1">
        <v>46840</v>
      </c>
      <c r="G32">
        <f t="shared" ca="1" si="3"/>
        <v>757</v>
      </c>
      <c r="H32" t="str">
        <f t="shared" ca="1" si="4"/>
        <v>Active</v>
      </c>
      <c r="I32">
        <f t="shared" ca="1" si="5"/>
        <v>0</v>
      </c>
      <c r="J32" t="str">
        <f t="shared" si="6"/>
        <v>Environmental</v>
      </c>
    </row>
    <row r="33" spans="1:10">
      <c r="A33" t="str" cm="1">
        <f t="array" ref="A33">INDEX(Vendor_Master!$A$2:$A$401, ROUNDUP((ROW()-1)/4, 0))</f>
        <v>VND-008</v>
      </c>
      <c r="B33" t="str">
        <f t="shared" si="0"/>
        <v>Sustainability Disclosure</v>
      </c>
      <c r="C33" t="str">
        <f t="shared" si="1"/>
        <v>Yes</v>
      </c>
      <c r="D33" t="str">
        <f t="shared" si="2"/>
        <v>Yes</v>
      </c>
      <c r="E33" s="1">
        <v>45801</v>
      </c>
      <c r="F33" s="1">
        <v>46755</v>
      </c>
      <c r="G33">
        <f t="shared" ca="1" si="3"/>
        <v>672</v>
      </c>
      <c r="H33" t="str">
        <f t="shared" ca="1" si="4"/>
        <v>Active</v>
      </c>
      <c r="I33">
        <f t="shared" ca="1" si="5"/>
        <v>0</v>
      </c>
      <c r="J33" t="str">
        <f t="shared" si="6"/>
        <v>Environmental</v>
      </c>
    </row>
    <row r="34" spans="1:10">
      <c r="A34" t="str" cm="1">
        <f t="array" ref="A34">INDEX(Vendor_Master!$A$2:$A$401, ROUNDUP((ROW()-1)/4, 0))</f>
        <v>VND-009</v>
      </c>
      <c r="B34" t="str">
        <f t="shared" si="0"/>
        <v>ISO 14001</v>
      </c>
      <c r="C34" t="str">
        <f t="shared" si="1"/>
        <v>Yes</v>
      </c>
      <c r="D34" t="str">
        <f t="shared" si="2"/>
        <v>Yes</v>
      </c>
      <c r="E34" s="1">
        <v>45724</v>
      </c>
      <c r="F34" s="1">
        <v>46218</v>
      </c>
      <c r="G34">
        <f t="shared" ca="1" si="3"/>
        <v>135</v>
      </c>
      <c r="H34" t="str">
        <f t="shared" ca="1" si="4"/>
        <v>Active</v>
      </c>
      <c r="I34">
        <f t="shared" ca="1" si="5"/>
        <v>0</v>
      </c>
      <c r="J34" t="str">
        <f t="shared" si="6"/>
        <v>Environmental</v>
      </c>
    </row>
    <row r="35" spans="1:10">
      <c r="A35" t="str" cm="1">
        <f t="array" ref="A35">INDEX(Vendor_Master!$A$2:$A$401, ROUNDUP((ROW()-1)/4, 0))</f>
        <v>VND-009</v>
      </c>
      <c r="B35" t="str">
        <f t="shared" si="0"/>
        <v>Safety Certificate</v>
      </c>
      <c r="C35" t="str">
        <f t="shared" si="1"/>
        <v>Yes</v>
      </c>
      <c r="D35" t="str">
        <f t="shared" si="2"/>
        <v>Yes</v>
      </c>
      <c r="E35" s="1">
        <v>45830</v>
      </c>
      <c r="F35" s="1">
        <v>46779</v>
      </c>
      <c r="G35">
        <f t="shared" ca="1" si="3"/>
        <v>696</v>
      </c>
      <c r="H35" t="str">
        <f t="shared" ca="1" si="4"/>
        <v>Active</v>
      </c>
      <c r="I35">
        <f t="shared" ca="1" si="5"/>
        <v>0</v>
      </c>
      <c r="J35" t="str">
        <f t="shared" si="6"/>
        <v>Safety</v>
      </c>
    </row>
    <row r="36" spans="1:10">
      <c r="A36" t="str" cm="1">
        <f t="array" ref="A36">INDEX(Vendor_Master!$A$2:$A$401, ROUNDUP((ROW()-1)/4, 0))</f>
        <v>VND-009</v>
      </c>
      <c r="B36" t="str">
        <f t="shared" si="0"/>
        <v>Environmental Policy</v>
      </c>
      <c r="C36" t="str">
        <f t="shared" si="1"/>
        <v>Yes</v>
      </c>
      <c r="D36" t="str">
        <f t="shared" si="2"/>
        <v>Yes</v>
      </c>
      <c r="E36" s="1">
        <v>45718</v>
      </c>
      <c r="F36" s="1">
        <v>46968</v>
      </c>
      <c r="G36">
        <f t="shared" ca="1" si="3"/>
        <v>885</v>
      </c>
      <c r="H36" t="str">
        <f t="shared" ca="1" si="4"/>
        <v>Active</v>
      </c>
      <c r="I36">
        <f t="shared" ca="1" si="5"/>
        <v>0</v>
      </c>
      <c r="J36" t="str">
        <f t="shared" si="6"/>
        <v>Environmental</v>
      </c>
    </row>
    <row r="37" spans="1:10">
      <c r="A37" t="str" cm="1">
        <f t="array" ref="A37">INDEX(Vendor_Master!$A$2:$A$401, ROUNDUP((ROW()-1)/4, 0))</f>
        <v>VND-009</v>
      </c>
      <c r="B37" t="str">
        <f t="shared" si="0"/>
        <v>Sustainability Disclosure</v>
      </c>
      <c r="C37" t="str">
        <f t="shared" si="1"/>
        <v>Yes</v>
      </c>
      <c r="D37" t="str">
        <f t="shared" si="2"/>
        <v>Yes</v>
      </c>
      <c r="E37" s="1">
        <v>45784</v>
      </c>
      <c r="F37" s="1">
        <v>46964</v>
      </c>
      <c r="G37">
        <f t="shared" ca="1" si="3"/>
        <v>881</v>
      </c>
      <c r="H37" t="str">
        <f t="shared" ca="1" si="4"/>
        <v>Active</v>
      </c>
      <c r="I37">
        <f t="shared" ca="1" si="5"/>
        <v>0</v>
      </c>
      <c r="J37" t="str">
        <f t="shared" si="6"/>
        <v>Environmental</v>
      </c>
    </row>
    <row r="38" spans="1:10">
      <c r="A38" t="str" cm="1">
        <f t="array" ref="A38">INDEX(Vendor_Master!$A$2:$A$401, ROUNDUP((ROW()-1)/4, 0))</f>
        <v>VND-010</v>
      </c>
      <c r="B38" t="str">
        <f t="shared" si="0"/>
        <v>ISO 14001</v>
      </c>
      <c r="C38" t="str">
        <f t="shared" si="1"/>
        <v>Yes</v>
      </c>
      <c r="D38" t="str">
        <f t="shared" si="2"/>
        <v>Yes</v>
      </c>
      <c r="E38" s="1">
        <v>45959</v>
      </c>
      <c r="F38" s="1">
        <v>46932</v>
      </c>
      <c r="G38">
        <f t="shared" ca="1" si="3"/>
        <v>849</v>
      </c>
      <c r="H38" t="str">
        <f t="shared" ca="1" si="4"/>
        <v>Active</v>
      </c>
      <c r="I38">
        <f t="shared" ca="1" si="5"/>
        <v>0</v>
      </c>
      <c r="J38" t="str">
        <f t="shared" si="6"/>
        <v>Environmental</v>
      </c>
    </row>
    <row r="39" spans="1:10">
      <c r="A39" t="str" cm="1">
        <f t="array" ref="A39">INDEX(Vendor_Master!$A$2:$A$401, ROUNDUP((ROW()-1)/4, 0))</f>
        <v>VND-010</v>
      </c>
      <c r="B39" t="str">
        <f t="shared" si="0"/>
        <v>Safety Certificate</v>
      </c>
      <c r="C39" t="str">
        <f t="shared" si="1"/>
        <v>Yes</v>
      </c>
      <c r="D39" t="str">
        <f t="shared" si="2"/>
        <v>Yes</v>
      </c>
      <c r="E39" s="1">
        <v>45560</v>
      </c>
      <c r="F39" s="1">
        <v>46868</v>
      </c>
      <c r="G39">
        <f t="shared" ca="1" si="3"/>
        <v>785</v>
      </c>
      <c r="H39" t="str">
        <f t="shared" ca="1" si="4"/>
        <v>Active</v>
      </c>
      <c r="I39">
        <f t="shared" ca="1" si="5"/>
        <v>0</v>
      </c>
      <c r="J39" t="str">
        <f t="shared" si="6"/>
        <v>Safety</v>
      </c>
    </row>
    <row r="40" spans="1:10">
      <c r="A40" t="str" cm="1">
        <f t="array" ref="A40">INDEX(Vendor_Master!$A$2:$A$401, ROUNDUP((ROW()-1)/4, 0))</f>
        <v>VND-010</v>
      </c>
      <c r="B40" t="str">
        <f t="shared" si="0"/>
        <v>Environmental Policy</v>
      </c>
      <c r="C40" t="str">
        <f t="shared" si="1"/>
        <v>Yes</v>
      </c>
      <c r="D40" t="str">
        <f t="shared" si="2"/>
        <v>Yes</v>
      </c>
      <c r="E40" s="1">
        <v>45561</v>
      </c>
      <c r="F40" s="1">
        <v>46421</v>
      </c>
      <c r="G40">
        <f t="shared" ca="1" si="3"/>
        <v>338</v>
      </c>
      <c r="H40" t="str">
        <f t="shared" ca="1" si="4"/>
        <v>Active</v>
      </c>
      <c r="I40">
        <f t="shared" ca="1" si="5"/>
        <v>0</v>
      </c>
      <c r="J40" t="str">
        <f t="shared" si="6"/>
        <v>Environmental</v>
      </c>
    </row>
    <row r="41" spans="1:10">
      <c r="A41" t="str" cm="1">
        <f t="array" ref="A41">INDEX(Vendor_Master!$A$2:$A$401, ROUNDUP((ROW()-1)/4, 0))</f>
        <v>VND-010</v>
      </c>
      <c r="B41" t="str">
        <f t="shared" si="0"/>
        <v>Sustainability Disclosure</v>
      </c>
      <c r="C41" t="str">
        <f t="shared" si="1"/>
        <v>Yes</v>
      </c>
      <c r="D41" t="str">
        <f t="shared" si="2"/>
        <v>Yes</v>
      </c>
      <c r="E41" s="1">
        <v>45675</v>
      </c>
      <c r="F41" s="1">
        <v>46949</v>
      </c>
      <c r="G41">
        <f t="shared" ca="1" si="3"/>
        <v>866</v>
      </c>
      <c r="H41" t="str">
        <f t="shared" ca="1" si="4"/>
        <v>Active</v>
      </c>
      <c r="I41">
        <f t="shared" ca="1" si="5"/>
        <v>0</v>
      </c>
      <c r="J41" t="str">
        <f t="shared" si="6"/>
        <v>Environmental</v>
      </c>
    </row>
    <row r="42" spans="1:10">
      <c r="A42" t="str" cm="1">
        <f t="array" ref="A42">INDEX(Vendor_Master!$A$2:$A$401, ROUNDUP((ROW()-1)/4, 0))</f>
        <v>VND-011</v>
      </c>
      <c r="B42" t="str">
        <f t="shared" si="0"/>
        <v>ISO 14001</v>
      </c>
      <c r="C42" t="str">
        <f t="shared" si="1"/>
        <v>Yes</v>
      </c>
      <c r="D42" t="str">
        <f t="shared" si="2"/>
        <v>Yes</v>
      </c>
      <c r="E42" s="1">
        <v>45792</v>
      </c>
      <c r="F42" s="1">
        <v>46859</v>
      </c>
      <c r="G42">
        <f t="shared" ca="1" si="3"/>
        <v>776</v>
      </c>
      <c r="H42" t="str">
        <f t="shared" ca="1" si="4"/>
        <v>Active</v>
      </c>
      <c r="I42">
        <f t="shared" ca="1" si="5"/>
        <v>0</v>
      </c>
      <c r="J42" t="str">
        <f t="shared" si="6"/>
        <v>Environmental</v>
      </c>
    </row>
    <row r="43" spans="1:10">
      <c r="A43" t="str" cm="1">
        <f t="array" ref="A43">INDEX(Vendor_Master!$A$2:$A$401, ROUNDUP((ROW()-1)/4, 0))</f>
        <v>VND-011</v>
      </c>
      <c r="B43" t="str">
        <f t="shared" si="0"/>
        <v>Safety Certificate</v>
      </c>
      <c r="C43" t="str">
        <f t="shared" si="1"/>
        <v>Yes</v>
      </c>
      <c r="D43" t="str">
        <f t="shared" si="2"/>
        <v>Yes</v>
      </c>
      <c r="E43" s="1">
        <v>45817</v>
      </c>
      <c r="F43" s="1">
        <v>46554</v>
      </c>
      <c r="G43">
        <f t="shared" ca="1" si="3"/>
        <v>471</v>
      </c>
      <c r="H43" t="str">
        <f t="shared" ca="1" si="4"/>
        <v>Active</v>
      </c>
      <c r="I43">
        <f t="shared" ca="1" si="5"/>
        <v>0</v>
      </c>
      <c r="J43" t="str">
        <f t="shared" si="6"/>
        <v>Safety</v>
      </c>
    </row>
    <row r="44" spans="1:10">
      <c r="A44" t="str" cm="1">
        <f t="array" ref="A44">INDEX(Vendor_Master!$A$2:$A$401, ROUNDUP((ROW()-1)/4, 0))</f>
        <v>VND-011</v>
      </c>
      <c r="B44" t="str">
        <f t="shared" si="0"/>
        <v>Environmental Policy</v>
      </c>
      <c r="C44" t="str">
        <f t="shared" si="1"/>
        <v>Yes</v>
      </c>
      <c r="D44" t="str">
        <f t="shared" si="2"/>
        <v>Yes</v>
      </c>
      <c r="E44" s="1">
        <v>45949</v>
      </c>
      <c r="F44" s="1">
        <v>46357</v>
      </c>
      <c r="G44">
        <f t="shared" ca="1" si="3"/>
        <v>274</v>
      </c>
      <c r="H44" t="str">
        <f t="shared" ca="1" si="4"/>
        <v>Active</v>
      </c>
      <c r="I44">
        <f t="shared" ca="1" si="5"/>
        <v>0</v>
      </c>
      <c r="J44" t="str">
        <f t="shared" si="6"/>
        <v>Environmental</v>
      </c>
    </row>
    <row r="45" spans="1:10">
      <c r="A45" t="str" cm="1">
        <f t="array" ref="A45">INDEX(Vendor_Master!$A$2:$A$401, ROUNDUP((ROW()-1)/4, 0))</f>
        <v>VND-011</v>
      </c>
      <c r="B45" t="str">
        <f t="shared" si="0"/>
        <v>Sustainability Disclosure</v>
      </c>
      <c r="C45" t="str">
        <f t="shared" si="1"/>
        <v>Yes</v>
      </c>
      <c r="D45" t="str">
        <f t="shared" si="2"/>
        <v>Yes</v>
      </c>
      <c r="E45" s="1">
        <v>45704</v>
      </c>
      <c r="F45" s="1">
        <v>46702</v>
      </c>
      <c r="G45">
        <f t="shared" ca="1" si="3"/>
        <v>619</v>
      </c>
      <c r="H45" t="str">
        <f t="shared" ca="1" si="4"/>
        <v>Active</v>
      </c>
      <c r="I45">
        <f t="shared" ca="1" si="5"/>
        <v>0</v>
      </c>
      <c r="J45" t="str">
        <f t="shared" si="6"/>
        <v>Environmental</v>
      </c>
    </row>
    <row r="46" spans="1:10">
      <c r="A46" t="str" cm="1">
        <f t="array" ref="A46">INDEX(Vendor_Master!$A$2:$A$401, ROUNDUP((ROW()-1)/4, 0))</f>
        <v>VND-012</v>
      </c>
      <c r="B46" t="str">
        <f t="shared" si="0"/>
        <v>ISO 14001</v>
      </c>
      <c r="C46" t="str">
        <f t="shared" si="1"/>
        <v>Yes</v>
      </c>
      <c r="D46" t="str">
        <f t="shared" si="2"/>
        <v>Yes</v>
      </c>
      <c r="E46" s="1">
        <v>45745</v>
      </c>
      <c r="F46" s="1">
        <v>46714</v>
      </c>
      <c r="G46">
        <f t="shared" ca="1" si="3"/>
        <v>631</v>
      </c>
      <c r="H46" t="str">
        <f t="shared" ca="1" si="4"/>
        <v>Active</v>
      </c>
      <c r="I46">
        <f t="shared" ca="1" si="5"/>
        <v>0</v>
      </c>
      <c r="J46" t="str">
        <f t="shared" si="6"/>
        <v>Environmental</v>
      </c>
    </row>
    <row r="47" spans="1:10">
      <c r="A47" t="str" cm="1">
        <f t="array" ref="A47">INDEX(Vendor_Master!$A$2:$A$401, ROUNDUP((ROW()-1)/4, 0))</f>
        <v>VND-012</v>
      </c>
      <c r="B47" t="str">
        <f t="shared" si="0"/>
        <v>Safety Certificate</v>
      </c>
      <c r="C47" t="str">
        <f t="shared" si="1"/>
        <v>Yes</v>
      </c>
      <c r="D47" t="str">
        <f t="shared" si="2"/>
        <v>Yes</v>
      </c>
      <c r="E47" s="1">
        <v>45517</v>
      </c>
      <c r="F47" s="1">
        <v>46463</v>
      </c>
      <c r="G47">
        <f t="shared" ca="1" si="3"/>
        <v>380</v>
      </c>
      <c r="H47" t="str">
        <f t="shared" ca="1" si="4"/>
        <v>Active</v>
      </c>
      <c r="I47">
        <f t="shared" ca="1" si="5"/>
        <v>0</v>
      </c>
      <c r="J47" t="str">
        <f t="shared" si="6"/>
        <v>Safety</v>
      </c>
    </row>
    <row r="48" spans="1:10">
      <c r="A48" t="str" cm="1">
        <f t="array" ref="A48">INDEX(Vendor_Master!$A$2:$A$401, ROUNDUP((ROW()-1)/4, 0))</f>
        <v>VND-012</v>
      </c>
      <c r="B48" t="str">
        <f t="shared" si="0"/>
        <v>Environmental Policy</v>
      </c>
      <c r="C48" t="str">
        <f t="shared" si="1"/>
        <v>Yes</v>
      </c>
      <c r="D48" t="str">
        <f t="shared" si="2"/>
        <v>Yes</v>
      </c>
      <c r="E48" s="1">
        <v>45633</v>
      </c>
      <c r="F48" s="1">
        <v>46855</v>
      </c>
      <c r="G48">
        <f t="shared" ca="1" si="3"/>
        <v>772</v>
      </c>
      <c r="H48" t="str">
        <f t="shared" ca="1" si="4"/>
        <v>Active</v>
      </c>
      <c r="I48">
        <f t="shared" ca="1" si="5"/>
        <v>0</v>
      </c>
      <c r="J48" t="str">
        <f t="shared" si="6"/>
        <v>Environmental</v>
      </c>
    </row>
    <row r="49" spans="1:10">
      <c r="A49" t="str" cm="1">
        <f t="array" ref="A49">INDEX(Vendor_Master!$A$2:$A$401, ROUNDUP((ROW()-1)/4, 0))</f>
        <v>VND-012</v>
      </c>
      <c r="B49" t="str">
        <f t="shared" si="0"/>
        <v>Sustainability Disclosure</v>
      </c>
      <c r="C49" t="str">
        <f t="shared" si="1"/>
        <v>Yes</v>
      </c>
      <c r="D49" t="str">
        <f t="shared" si="2"/>
        <v>Yes</v>
      </c>
      <c r="E49" s="1">
        <v>45438</v>
      </c>
      <c r="F49" s="1">
        <v>46977</v>
      </c>
      <c r="G49">
        <f t="shared" ca="1" si="3"/>
        <v>894</v>
      </c>
      <c r="H49" t="str">
        <f t="shared" ca="1" si="4"/>
        <v>Active</v>
      </c>
      <c r="I49">
        <f t="shared" ca="1" si="5"/>
        <v>0</v>
      </c>
      <c r="J49" t="str">
        <f t="shared" si="6"/>
        <v>Environmental</v>
      </c>
    </row>
    <row r="50" spans="1:10">
      <c r="A50" t="str" cm="1">
        <f t="array" ref="A50">INDEX(Vendor_Master!$A$2:$A$401, ROUNDUP((ROW()-1)/4, 0))</f>
        <v>VND-013</v>
      </c>
      <c r="B50" t="str">
        <f t="shared" si="0"/>
        <v>ISO 14001</v>
      </c>
      <c r="C50" t="str">
        <f t="shared" si="1"/>
        <v>Yes</v>
      </c>
      <c r="D50" t="str">
        <f t="shared" si="2"/>
        <v>Yes</v>
      </c>
      <c r="E50" s="1">
        <v>45925</v>
      </c>
      <c r="F50" s="1">
        <v>46310</v>
      </c>
      <c r="G50">
        <f t="shared" ca="1" si="3"/>
        <v>227</v>
      </c>
      <c r="H50" t="str">
        <f t="shared" ca="1" si="4"/>
        <v>Active</v>
      </c>
      <c r="I50">
        <f t="shared" ca="1" si="5"/>
        <v>0</v>
      </c>
      <c r="J50" t="str">
        <f t="shared" si="6"/>
        <v>Environmental</v>
      </c>
    </row>
    <row r="51" spans="1:10">
      <c r="A51" t="str" cm="1">
        <f t="array" ref="A51">INDEX(Vendor_Master!$A$2:$A$401, ROUNDUP((ROW()-1)/4, 0))</f>
        <v>VND-013</v>
      </c>
      <c r="B51" t="str">
        <f t="shared" si="0"/>
        <v>Safety Certificate</v>
      </c>
      <c r="C51" t="str">
        <f t="shared" si="1"/>
        <v>Yes</v>
      </c>
      <c r="D51" t="str">
        <f t="shared" si="2"/>
        <v>Yes</v>
      </c>
      <c r="E51" s="1">
        <v>45950</v>
      </c>
      <c r="F51" s="1">
        <v>46345</v>
      </c>
      <c r="G51">
        <f t="shared" ca="1" si="3"/>
        <v>262</v>
      </c>
      <c r="H51" t="str">
        <f t="shared" ca="1" si="4"/>
        <v>Active</v>
      </c>
      <c r="I51">
        <f t="shared" ca="1" si="5"/>
        <v>0</v>
      </c>
      <c r="J51" t="str">
        <f t="shared" si="6"/>
        <v>Safety</v>
      </c>
    </row>
    <row r="52" spans="1:10">
      <c r="A52" t="str" cm="1">
        <f t="array" ref="A52">INDEX(Vendor_Master!$A$2:$A$401, ROUNDUP((ROW()-1)/4, 0))</f>
        <v>VND-013</v>
      </c>
      <c r="B52" t="str">
        <f t="shared" si="0"/>
        <v>Environmental Policy</v>
      </c>
      <c r="C52" t="str">
        <f t="shared" si="1"/>
        <v>Yes</v>
      </c>
      <c r="D52" t="str">
        <f t="shared" si="2"/>
        <v>Yes</v>
      </c>
      <c r="E52" s="1">
        <v>45711</v>
      </c>
      <c r="F52" s="1">
        <v>46754</v>
      </c>
      <c r="G52">
        <f t="shared" ca="1" si="3"/>
        <v>671</v>
      </c>
      <c r="H52" t="str">
        <f t="shared" ca="1" si="4"/>
        <v>Active</v>
      </c>
      <c r="I52">
        <f t="shared" ca="1" si="5"/>
        <v>0</v>
      </c>
      <c r="J52" t="str">
        <f t="shared" si="6"/>
        <v>Environmental</v>
      </c>
    </row>
    <row r="53" spans="1:10">
      <c r="A53" t="str" cm="1">
        <f t="array" ref="A53">INDEX(Vendor_Master!$A$2:$A$401, ROUNDUP((ROW()-1)/4, 0))</f>
        <v>VND-013</v>
      </c>
      <c r="B53" t="str">
        <f t="shared" si="0"/>
        <v>Sustainability Disclosure</v>
      </c>
      <c r="C53" t="str">
        <f t="shared" si="1"/>
        <v>Yes</v>
      </c>
      <c r="D53" t="str">
        <f t="shared" si="2"/>
        <v>Yes</v>
      </c>
      <c r="E53" s="1">
        <v>45617</v>
      </c>
      <c r="F53" s="1">
        <v>46875</v>
      </c>
      <c r="G53">
        <f t="shared" ca="1" si="3"/>
        <v>792</v>
      </c>
      <c r="H53" t="str">
        <f t="shared" ca="1" si="4"/>
        <v>Active</v>
      </c>
      <c r="I53">
        <f t="shared" ca="1" si="5"/>
        <v>0</v>
      </c>
      <c r="J53" t="str">
        <f t="shared" si="6"/>
        <v>Environmental</v>
      </c>
    </row>
    <row r="54" spans="1:10">
      <c r="A54" t="str" cm="1">
        <f t="array" ref="A54">INDEX(Vendor_Master!$A$2:$A$401, ROUNDUP((ROW()-1)/4, 0))</f>
        <v>VND-014</v>
      </c>
      <c r="B54" t="str">
        <f t="shared" si="0"/>
        <v>ISO 14001</v>
      </c>
      <c r="C54" t="str">
        <f t="shared" si="1"/>
        <v>Yes</v>
      </c>
      <c r="D54" t="str">
        <f t="shared" si="2"/>
        <v>Yes</v>
      </c>
      <c r="E54" s="1">
        <v>45824</v>
      </c>
      <c r="F54" s="1">
        <v>46532</v>
      </c>
      <c r="G54">
        <f t="shared" ca="1" si="3"/>
        <v>449</v>
      </c>
      <c r="H54" t="str">
        <f t="shared" ca="1" si="4"/>
        <v>Active</v>
      </c>
      <c r="I54">
        <f t="shared" ca="1" si="5"/>
        <v>0</v>
      </c>
      <c r="J54" t="str">
        <f t="shared" si="6"/>
        <v>Environmental</v>
      </c>
    </row>
    <row r="55" spans="1:10">
      <c r="A55" t="str" cm="1">
        <f t="array" ref="A55">INDEX(Vendor_Master!$A$2:$A$401, ROUNDUP((ROW()-1)/4, 0))</f>
        <v>VND-014</v>
      </c>
      <c r="B55" t="str">
        <f t="shared" si="0"/>
        <v>Safety Certificate</v>
      </c>
      <c r="C55" t="str">
        <f t="shared" si="1"/>
        <v>Yes</v>
      </c>
      <c r="D55" t="str">
        <f t="shared" si="2"/>
        <v>Yes</v>
      </c>
      <c r="E55" s="1">
        <v>45627</v>
      </c>
      <c r="F55" s="1">
        <v>46815</v>
      </c>
      <c r="G55">
        <f t="shared" ca="1" si="3"/>
        <v>732</v>
      </c>
      <c r="H55" t="str">
        <f t="shared" ca="1" si="4"/>
        <v>Active</v>
      </c>
      <c r="I55">
        <f t="shared" ca="1" si="5"/>
        <v>0</v>
      </c>
      <c r="J55" t="str">
        <f t="shared" si="6"/>
        <v>Safety</v>
      </c>
    </row>
    <row r="56" spans="1:10">
      <c r="A56" t="str" cm="1">
        <f t="array" ref="A56">INDEX(Vendor_Master!$A$2:$A$401, ROUNDUP((ROW()-1)/4, 0))</f>
        <v>VND-014</v>
      </c>
      <c r="B56" t="str">
        <f t="shared" si="0"/>
        <v>Environmental Policy</v>
      </c>
      <c r="C56" t="str">
        <f t="shared" si="1"/>
        <v>Yes</v>
      </c>
      <c r="D56" t="str">
        <f t="shared" si="2"/>
        <v>Yes</v>
      </c>
      <c r="E56" s="1">
        <v>45688</v>
      </c>
      <c r="F56" s="1">
        <v>46295</v>
      </c>
      <c r="G56">
        <f t="shared" ca="1" si="3"/>
        <v>212</v>
      </c>
      <c r="H56" t="str">
        <f t="shared" ca="1" si="4"/>
        <v>Active</v>
      </c>
      <c r="I56">
        <f t="shared" ca="1" si="5"/>
        <v>0</v>
      </c>
      <c r="J56" t="str">
        <f t="shared" si="6"/>
        <v>Environmental</v>
      </c>
    </row>
    <row r="57" spans="1:10">
      <c r="A57" t="str" cm="1">
        <f t="array" ref="A57">INDEX(Vendor_Master!$A$2:$A$401, ROUNDUP((ROW()-1)/4, 0))</f>
        <v>VND-014</v>
      </c>
      <c r="B57" t="str">
        <f t="shared" si="0"/>
        <v>Sustainability Disclosure</v>
      </c>
      <c r="C57" t="str">
        <f t="shared" si="1"/>
        <v>Yes</v>
      </c>
      <c r="D57" t="str">
        <f t="shared" si="2"/>
        <v>Yes</v>
      </c>
      <c r="E57" s="1">
        <v>45825</v>
      </c>
      <c r="F57" s="1">
        <v>46838</v>
      </c>
      <c r="G57">
        <f t="shared" ca="1" si="3"/>
        <v>755</v>
      </c>
      <c r="H57" t="str">
        <f t="shared" ca="1" si="4"/>
        <v>Active</v>
      </c>
      <c r="I57">
        <f t="shared" ca="1" si="5"/>
        <v>0</v>
      </c>
      <c r="J57" t="str">
        <f t="shared" si="6"/>
        <v>Environmental</v>
      </c>
    </row>
    <row r="58" spans="1:10">
      <c r="A58" t="str" cm="1">
        <f t="array" ref="A58">INDEX(Vendor_Master!$A$2:$A$401, ROUNDUP((ROW()-1)/4, 0))</f>
        <v>VND-015</v>
      </c>
      <c r="B58" t="str">
        <f t="shared" si="0"/>
        <v>ISO 14001</v>
      </c>
      <c r="C58" t="str">
        <f t="shared" si="1"/>
        <v>Yes</v>
      </c>
      <c r="D58" t="str">
        <f t="shared" si="2"/>
        <v>Yes</v>
      </c>
      <c r="E58" s="1">
        <v>45448</v>
      </c>
      <c r="F58" s="1">
        <v>46770</v>
      </c>
      <c r="G58">
        <f t="shared" ca="1" si="3"/>
        <v>687</v>
      </c>
      <c r="H58" t="str">
        <f t="shared" ca="1" si="4"/>
        <v>Active</v>
      </c>
      <c r="I58">
        <f t="shared" ca="1" si="5"/>
        <v>0</v>
      </c>
      <c r="J58" t="str">
        <f t="shared" si="6"/>
        <v>Environmental</v>
      </c>
    </row>
    <row r="59" spans="1:10">
      <c r="A59" t="str" cm="1">
        <f t="array" ref="A59">INDEX(Vendor_Master!$A$2:$A$401, ROUNDUP((ROW()-1)/4, 0))</f>
        <v>VND-015</v>
      </c>
      <c r="B59" t="str">
        <f t="shared" si="0"/>
        <v>Safety Certificate</v>
      </c>
      <c r="C59" t="str">
        <f t="shared" si="1"/>
        <v>Yes</v>
      </c>
      <c r="D59" t="str">
        <f t="shared" si="2"/>
        <v>Yes</v>
      </c>
      <c r="E59" s="1">
        <v>46060</v>
      </c>
      <c r="F59" s="1">
        <v>46701</v>
      </c>
      <c r="G59">
        <f t="shared" ca="1" si="3"/>
        <v>618</v>
      </c>
      <c r="H59" t="str">
        <f t="shared" ca="1" si="4"/>
        <v>Active</v>
      </c>
      <c r="I59">
        <f t="shared" ca="1" si="5"/>
        <v>0</v>
      </c>
      <c r="J59" t="str">
        <f t="shared" si="6"/>
        <v>Safety</v>
      </c>
    </row>
    <row r="60" spans="1:10">
      <c r="A60" t="str" cm="1">
        <f t="array" ref="A60">INDEX(Vendor_Master!$A$2:$A$401, ROUNDUP((ROW()-1)/4, 0))</f>
        <v>VND-015</v>
      </c>
      <c r="B60" t="str">
        <f t="shared" si="0"/>
        <v>Environmental Policy</v>
      </c>
      <c r="C60" t="str">
        <f t="shared" si="1"/>
        <v>Yes</v>
      </c>
      <c r="D60" t="str">
        <f t="shared" si="2"/>
        <v>Yes</v>
      </c>
      <c r="E60" s="1">
        <v>46044</v>
      </c>
      <c r="F60" s="1">
        <v>46694</v>
      </c>
      <c r="G60">
        <f t="shared" ca="1" si="3"/>
        <v>611</v>
      </c>
      <c r="H60" t="str">
        <f t="shared" ca="1" si="4"/>
        <v>Active</v>
      </c>
      <c r="I60">
        <f t="shared" ca="1" si="5"/>
        <v>0</v>
      </c>
      <c r="J60" t="str">
        <f t="shared" si="6"/>
        <v>Environmental</v>
      </c>
    </row>
    <row r="61" spans="1:10">
      <c r="A61" t="str" cm="1">
        <f t="array" ref="A61">INDEX(Vendor_Master!$A$2:$A$401, ROUNDUP((ROW()-1)/4, 0))</f>
        <v>VND-015</v>
      </c>
      <c r="B61" t="str">
        <f t="shared" si="0"/>
        <v>Sustainability Disclosure</v>
      </c>
      <c r="C61" t="str">
        <f t="shared" si="1"/>
        <v>Yes</v>
      </c>
      <c r="D61" t="str">
        <f t="shared" si="2"/>
        <v>Yes</v>
      </c>
      <c r="E61" s="1">
        <v>45666</v>
      </c>
      <c r="F61" s="1">
        <v>46799</v>
      </c>
      <c r="G61">
        <f t="shared" ca="1" si="3"/>
        <v>716</v>
      </c>
      <c r="H61" t="str">
        <f t="shared" ca="1" si="4"/>
        <v>Active</v>
      </c>
      <c r="I61">
        <f t="shared" ca="1" si="5"/>
        <v>0</v>
      </c>
      <c r="J61" t="str">
        <f t="shared" si="6"/>
        <v>Environmental</v>
      </c>
    </row>
    <row r="62" spans="1:10">
      <c r="A62" t="str" cm="1">
        <f t="array" ref="A62">INDEX(Vendor_Master!$A$2:$A$401, ROUNDUP((ROW()-1)/4, 0))</f>
        <v>VND-016</v>
      </c>
      <c r="B62" t="str">
        <f t="shared" si="0"/>
        <v>ISO 14001</v>
      </c>
      <c r="C62" t="str">
        <f t="shared" si="1"/>
        <v>Yes</v>
      </c>
      <c r="D62" t="str">
        <f t="shared" si="2"/>
        <v>Yes</v>
      </c>
      <c r="E62" s="1">
        <v>45489</v>
      </c>
      <c r="F62" s="1">
        <v>46930</v>
      </c>
      <c r="G62">
        <f t="shared" ca="1" si="3"/>
        <v>847</v>
      </c>
      <c r="H62" t="str">
        <f t="shared" ca="1" si="4"/>
        <v>Active</v>
      </c>
      <c r="I62">
        <f t="shared" ca="1" si="5"/>
        <v>0</v>
      </c>
      <c r="J62" t="str">
        <f t="shared" si="6"/>
        <v>Environmental</v>
      </c>
    </row>
    <row r="63" spans="1:10">
      <c r="A63" t="str" cm="1">
        <f t="array" ref="A63">INDEX(Vendor_Master!$A$2:$A$401, ROUNDUP((ROW()-1)/4, 0))</f>
        <v>VND-016</v>
      </c>
      <c r="B63" t="str">
        <f t="shared" si="0"/>
        <v>Safety Certificate</v>
      </c>
      <c r="C63" t="str">
        <f t="shared" si="1"/>
        <v>Yes</v>
      </c>
      <c r="D63" t="str">
        <f t="shared" si="2"/>
        <v>Yes</v>
      </c>
      <c r="E63" s="1">
        <v>45640</v>
      </c>
      <c r="F63" s="1">
        <v>46711</v>
      </c>
      <c r="G63">
        <f t="shared" ca="1" si="3"/>
        <v>628</v>
      </c>
      <c r="H63" t="str">
        <f t="shared" ca="1" si="4"/>
        <v>Active</v>
      </c>
      <c r="I63">
        <f t="shared" ca="1" si="5"/>
        <v>0</v>
      </c>
      <c r="J63" t="str">
        <f t="shared" si="6"/>
        <v>Safety</v>
      </c>
    </row>
    <row r="64" spans="1:10">
      <c r="A64" t="str" cm="1">
        <f t="array" ref="A64">INDEX(Vendor_Master!$A$2:$A$401, ROUNDUP((ROW()-1)/4, 0))</f>
        <v>VND-016</v>
      </c>
      <c r="B64" t="str">
        <f t="shared" si="0"/>
        <v>Environmental Policy</v>
      </c>
      <c r="C64" t="str">
        <f t="shared" si="1"/>
        <v>Yes</v>
      </c>
      <c r="D64" t="str">
        <f t="shared" si="2"/>
        <v>Yes</v>
      </c>
      <c r="E64" s="1">
        <v>45661</v>
      </c>
      <c r="F64" s="1">
        <v>46204</v>
      </c>
      <c r="G64">
        <f t="shared" ca="1" si="3"/>
        <v>121</v>
      </c>
      <c r="H64" t="str">
        <f t="shared" ca="1" si="4"/>
        <v>Active</v>
      </c>
      <c r="I64">
        <f t="shared" ca="1" si="5"/>
        <v>0</v>
      </c>
      <c r="J64" t="str">
        <f t="shared" si="6"/>
        <v>Environmental</v>
      </c>
    </row>
    <row r="65" spans="1:10">
      <c r="A65" t="str" cm="1">
        <f t="array" ref="A65">INDEX(Vendor_Master!$A$2:$A$401, ROUNDUP((ROW()-1)/4, 0))</f>
        <v>VND-016</v>
      </c>
      <c r="B65" t="str">
        <f t="shared" si="0"/>
        <v>Sustainability Disclosure</v>
      </c>
      <c r="C65" t="str">
        <f t="shared" si="1"/>
        <v>Yes</v>
      </c>
      <c r="D65" t="str">
        <f t="shared" si="2"/>
        <v>Yes</v>
      </c>
      <c r="E65" s="1">
        <v>45695</v>
      </c>
      <c r="F65" s="1">
        <v>46658</v>
      </c>
      <c r="G65">
        <f t="shared" ca="1" si="3"/>
        <v>575</v>
      </c>
      <c r="H65" t="str">
        <f t="shared" ca="1" si="4"/>
        <v>Active</v>
      </c>
      <c r="I65">
        <f t="shared" ca="1" si="5"/>
        <v>0</v>
      </c>
      <c r="J65" t="str">
        <f t="shared" si="6"/>
        <v>Environmental</v>
      </c>
    </row>
    <row r="66" spans="1:10">
      <c r="A66" t="str" cm="1">
        <f t="array" ref="A66">INDEX(Vendor_Master!$A$2:$A$401, ROUNDUP((ROW()-1)/4, 0))</f>
        <v>VND-017</v>
      </c>
      <c r="B66" t="str">
        <f t="shared" si="0"/>
        <v>ISO 14001</v>
      </c>
      <c r="C66" t="str">
        <f t="shared" si="1"/>
        <v>Yes</v>
      </c>
      <c r="D66" t="str">
        <f t="shared" si="2"/>
        <v>Yes</v>
      </c>
      <c r="E66" s="1">
        <v>45883</v>
      </c>
      <c r="F66" s="1">
        <v>46679</v>
      </c>
      <c r="G66">
        <f t="shared" ca="1" si="3"/>
        <v>596</v>
      </c>
      <c r="H66" t="str">
        <f t="shared" ca="1" si="4"/>
        <v>Active</v>
      </c>
      <c r="I66">
        <f t="shared" ca="1" si="5"/>
        <v>0</v>
      </c>
      <c r="J66" t="str">
        <f t="shared" si="6"/>
        <v>Environmental</v>
      </c>
    </row>
    <row r="67" spans="1:10">
      <c r="A67" t="str" cm="1">
        <f t="array" ref="A67">INDEX(Vendor_Master!$A$2:$A$401, ROUNDUP((ROW()-1)/4, 0))</f>
        <v>VND-017</v>
      </c>
      <c r="B67" t="str">
        <f t="shared" ref="B67:B130" si="7">CHOOSE(MOD(ROW()-2,4)+1,"ISO 14001","Safety Certificate","Environmental Policy","Sustainability Disclosure")</f>
        <v>Safety Certificate</v>
      </c>
      <c r="C67" t="str">
        <f t="shared" ref="C67:C130" si="8">"Yes"</f>
        <v>Yes</v>
      </c>
      <c r="D67" t="str">
        <f t="shared" ref="D67:D130" si="9">IF(ROW()-1&lt;=1280,"Yes","No")</f>
        <v>Yes</v>
      </c>
      <c r="E67" s="1">
        <v>45534</v>
      </c>
      <c r="F67" s="1">
        <v>46918</v>
      </c>
      <c r="G67">
        <f t="shared" ref="G67:G130" ca="1" si="10">IF($F67="","",$F67-TODAY())</f>
        <v>835</v>
      </c>
      <c r="H67" t="str">
        <f t="shared" ref="H67:H130" ca="1" si="11">IF($C67="No","Not Required",
IF($D67="No","Missing",
IF($F67&lt;TODAY(),"Expired",
IF($F67&lt;=TODAY()+30,"Expiring Soon","Active"))))</f>
        <v>Active</v>
      </c>
      <c r="I67">
        <f t="shared" ref="I67:I130" ca="1" si="12">IF(OR($H67="Missing",$H67="Expired",$H67="Expiring Soon"),1,0)</f>
        <v>0</v>
      </c>
      <c r="J67" t="str">
        <f t="shared" ref="J67:J130" si="13">IF(B67="ISO 14001","Environmental",
 IF(B67="Environmental Policy","Environmental",
 IF(B67="Sustainability Disclosure","Environmental",
 IF(B67="Safety Certificate","Safety","Regulatory"))))</f>
        <v>Safety</v>
      </c>
    </row>
    <row r="68" spans="1:10">
      <c r="A68" t="str" cm="1">
        <f t="array" ref="A68">INDEX(Vendor_Master!$A$2:$A$401, ROUNDUP((ROW()-1)/4, 0))</f>
        <v>VND-017</v>
      </c>
      <c r="B68" t="str">
        <f t="shared" si="7"/>
        <v>Environmental Policy</v>
      </c>
      <c r="C68" t="str">
        <f t="shared" si="8"/>
        <v>Yes</v>
      </c>
      <c r="D68" t="str">
        <f t="shared" si="9"/>
        <v>Yes</v>
      </c>
      <c r="E68" s="1">
        <v>45757</v>
      </c>
      <c r="F68" s="1">
        <v>46818</v>
      </c>
      <c r="G68">
        <f t="shared" ca="1" si="10"/>
        <v>735</v>
      </c>
      <c r="H68" t="str">
        <f t="shared" ca="1" si="11"/>
        <v>Active</v>
      </c>
      <c r="I68">
        <f t="shared" ca="1" si="12"/>
        <v>0</v>
      </c>
      <c r="J68" t="str">
        <f t="shared" si="13"/>
        <v>Environmental</v>
      </c>
    </row>
    <row r="69" spans="1:10">
      <c r="A69" t="str" cm="1">
        <f t="array" ref="A69">INDEX(Vendor_Master!$A$2:$A$401, ROUNDUP((ROW()-1)/4, 0))</f>
        <v>VND-017</v>
      </c>
      <c r="B69" t="str">
        <f t="shared" si="7"/>
        <v>Sustainability Disclosure</v>
      </c>
      <c r="C69" t="str">
        <f t="shared" si="8"/>
        <v>Yes</v>
      </c>
      <c r="D69" t="str">
        <f t="shared" si="9"/>
        <v>Yes</v>
      </c>
      <c r="E69" s="1">
        <v>45729</v>
      </c>
      <c r="F69" s="1">
        <v>46312</v>
      </c>
      <c r="G69">
        <f t="shared" ca="1" si="10"/>
        <v>229</v>
      </c>
      <c r="H69" t="str">
        <f t="shared" ca="1" si="11"/>
        <v>Active</v>
      </c>
      <c r="I69">
        <f t="shared" ca="1" si="12"/>
        <v>0</v>
      </c>
      <c r="J69" t="str">
        <f t="shared" si="13"/>
        <v>Environmental</v>
      </c>
    </row>
    <row r="70" spans="1:10">
      <c r="A70" t="str" cm="1">
        <f t="array" ref="A70">INDEX(Vendor_Master!$A$2:$A$401, ROUNDUP((ROW()-1)/4, 0))</f>
        <v>VND-018</v>
      </c>
      <c r="B70" t="str">
        <f t="shared" si="7"/>
        <v>ISO 14001</v>
      </c>
      <c r="C70" t="str">
        <f t="shared" si="8"/>
        <v>Yes</v>
      </c>
      <c r="D70" t="str">
        <f t="shared" si="9"/>
        <v>Yes</v>
      </c>
      <c r="E70" s="1">
        <v>45450</v>
      </c>
      <c r="F70" s="1">
        <v>46505</v>
      </c>
      <c r="G70">
        <f t="shared" ca="1" si="10"/>
        <v>422</v>
      </c>
      <c r="H70" t="str">
        <f t="shared" ca="1" si="11"/>
        <v>Active</v>
      </c>
      <c r="I70">
        <f t="shared" ca="1" si="12"/>
        <v>0</v>
      </c>
      <c r="J70" t="str">
        <f t="shared" si="13"/>
        <v>Environmental</v>
      </c>
    </row>
    <row r="71" spans="1:10">
      <c r="A71" t="str" cm="1">
        <f t="array" ref="A71">INDEX(Vendor_Master!$A$2:$A$401, ROUNDUP((ROW()-1)/4, 0))</f>
        <v>VND-018</v>
      </c>
      <c r="B71" t="str">
        <f t="shared" si="7"/>
        <v>Safety Certificate</v>
      </c>
      <c r="C71" t="str">
        <f t="shared" si="8"/>
        <v>Yes</v>
      </c>
      <c r="D71" t="str">
        <f t="shared" si="9"/>
        <v>Yes</v>
      </c>
      <c r="E71" s="1">
        <v>45609</v>
      </c>
      <c r="F71" s="1">
        <v>46494</v>
      </c>
      <c r="G71">
        <f t="shared" ca="1" si="10"/>
        <v>411</v>
      </c>
      <c r="H71" t="str">
        <f t="shared" ca="1" si="11"/>
        <v>Active</v>
      </c>
      <c r="I71">
        <f t="shared" ca="1" si="12"/>
        <v>0</v>
      </c>
      <c r="J71" t="str">
        <f t="shared" si="13"/>
        <v>Safety</v>
      </c>
    </row>
    <row r="72" spans="1:10">
      <c r="A72" t="str" cm="1">
        <f t="array" ref="A72">INDEX(Vendor_Master!$A$2:$A$401, ROUNDUP((ROW()-1)/4, 0))</f>
        <v>VND-018</v>
      </c>
      <c r="B72" t="str">
        <f t="shared" si="7"/>
        <v>Environmental Policy</v>
      </c>
      <c r="C72" t="str">
        <f t="shared" si="8"/>
        <v>Yes</v>
      </c>
      <c r="D72" t="str">
        <f t="shared" si="9"/>
        <v>Yes</v>
      </c>
      <c r="E72" s="1">
        <v>45582</v>
      </c>
      <c r="F72" s="1">
        <v>46346</v>
      </c>
      <c r="G72">
        <f t="shared" ca="1" si="10"/>
        <v>263</v>
      </c>
      <c r="H72" t="str">
        <f t="shared" ca="1" si="11"/>
        <v>Active</v>
      </c>
      <c r="I72">
        <f t="shared" ca="1" si="12"/>
        <v>0</v>
      </c>
      <c r="J72" t="str">
        <f t="shared" si="13"/>
        <v>Environmental</v>
      </c>
    </row>
    <row r="73" spans="1:10">
      <c r="A73" t="str" cm="1">
        <f t="array" ref="A73">INDEX(Vendor_Master!$A$2:$A$401, ROUNDUP((ROW()-1)/4, 0))</f>
        <v>VND-018</v>
      </c>
      <c r="B73" t="str">
        <f t="shared" si="7"/>
        <v>Sustainability Disclosure</v>
      </c>
      <c r="C73" t="str">
        <f t="shared" si="8"/>
        <v>Yes</v>
      </c>
      <c r="D73" t="str">
        <f t="shared" si="9"/>
        <v>Yes</v>
      </c>
      <c r="E73" s="1">
        <v>45995</v>
      </c>
      <c r="F73" s="1">
        <v>46503</v>
      </c>
      <c r="G73">
        <f t="shared" ca="1" si="10"/>
        <v>420</v>
      </c>
      <c r="H73" t="str">
        <f t="shared" ca="1" si="11"/>
        <v>Active</v>
      </c>
      <c r="I73">
        <f t="shared" ca="1" si="12"/>
        <v>0</v>
      </c>
      <c r="J73" t="str">
        <f t="shared" si="13"/>
        <v>Environmental</v>
      </c>
    </row>
    <row r="74" spans="1:10">
      <c r="A74" t="str" cm="1">
        <f t="array" ref="A74">INDEX(Vendor_Master!$A$2:$A$401, ROUNDUP((ROW()-1)/4, 0))</f>
        <v>VND-019</v>
      </c>
      <c r="B74" t="str">
        <f t="shared" si="7"/>
        <v>ISO 14001</v>
      </c>
      <c r="C74" t="str">
        <f t="shared" si="8"/>
        <v>Yes</v>
      </c>
      <c r="D74" t="str">
        <f t="shared" si="9"/>
        <v>Yes</v>
      </c>
      <c r="E74" s="1">
        <v>46052</v>
      </c>
      <c r="F74" s="1">
        <v>46728</v>
      </c>
      <c r="G74">
        <f t="shared" ca="1" si="10"/>
        <v>645</v>
      </c>
      <c r="H74" t="str">
        <f t="shared" ca="1" si="11"/>
        <v>Active</v>
      </c>
      <c r="I74">
        <f t="shared" ca="1" si="12"/>
        <v>0</v>
      </c>
      <c r="J74" t="str">
        <f t="shared" si="13"/>
        <v>Environmental</v>
      </c>
    </row>
    <row r="75" spans="1:10">
      <c r="A75" t="str" cm="1">
        <f t="array" ref="A75">INDEX(Vendor_Master!$A$2:$A$401, ROUNDUP((ROW()-1)/4, 0))</f>
        <v>VND-019</v>
      </c>
      <c r="B75" t="str">
        <f t="shared" si="7"/>
        <v>Safety Certificate</v>
      </c>
      <c r="C75" t="str">
        <f t="shared" si="8"/>
        <v>Yes</v>
      </c>
      <c r="D75" t="str">
        <f t="shared" si="9"/>
        <v>Yes</v>
      </c>
      <c r="E75" s="1">
        <v>45849</v>
      </c>
      <c r="F75" s="1">
        <v>46440</v>
      </c>
      <c r="G75">
        <f t="shared" ca="1" si="10"/>
        <v>357</v>
      </c>
      <c r="H75" t="str">
        <f t="shared" ca="1" si="11"/>
        <v>Active</v>
      </c>
      <c r="I75">
        <f t="shared" ca="1" si="12"/>
        <v>0</v>
      </c>
      <c r="J75" t="str">
        <f t="shared" si="13"/>
        <v>Safety</v>
      </c>
    </row>
    <row r="76" spans="1:10">
      <c r="A76" t="str" cm="1">
        <f t="array" ref="A76">INDEX(Vendor_Master!$A$2:$A$401, ROUNDUP((ROW()-1)/4, 0))</f>
        <v>VND-019</v>
      </c>
      <c r="B76" t="str">
        <f t="shared" si="7"/>
        <v>Environmental Policy</v>
      </c>
      <c r="C76" t="str">
        <f t="shared" si="8"/>
        <v>Yes</v>
      </c>
      <c r="D76" t="str">
        <f t="shared" si="9"/>
        <v>Yes</v>
      </c>
      <c r="E76" s="1">
        <v>45778</v>
      </c>
      <c r="F76" s="1">
        <v>46422</v>
      </c>
      <c r="G76">
        <f t="shared" ca="1" si="10"/>
        <v>339</v>
      </c>
      <c r="H76" t="str">
        <f t="shared" ca="1" si="11"/>
        <v>Active</v>
      </c>
      <c r="I76">
        <f t="shared" ca="1" si="12"/>
        <v>0</v>
      </c>
      <c r="J76" t="str">
        <f t="shared" si="13"/>
        <v>Environmental</v>
      </c>
    </row>
    <row r="77" spans="1:10">
      <c r="A77" t="str" cm="1">
        <f t="array" ref="A77">INDEX(Vendor_Master!$A$2:$A$401, ROUNDUP((ROW()-1)/4, 0))</f>
        <v>VND-019</v>
      </c>
      <c r="B77" t="str">
        <f t="shared" si="7"/>
        <v>Sustainability Disclosure</v>
      </c>
      <c r="C77" t="str">
        <f t="shared" si="8"/>
        <v>Yes</v>
      </c>
      <c r="D77" t="str">
        <f t="shared" si="9"/>
        <v>Yes</v>
      </c>
      <c r="E77" s="1">
        <v>45445</v>
      </c>
      <c r="F77" s="1">
        <v>46423</v>
      </c>
      <c r="G77">
        <f t="shared" ca="1" si="10"/>
        <v>340</v>
      </c>
      <c r="H77" t="str">
        <f t="shared" ca="1" si="11"/>
        <v>Active</v>
      </c>
      <c r="I77">
        <f t="shared" ca="1" si="12"/>
        <v>0</v>
      </c>
      <c r="J77" t="str">
        <f t="shared" si="13"/>
        <v>Environmental</v>
      </c>
    </row>
    <row r="78" spans="1:10">
      <c r="A78" t="str" cm="1">
        <f t="array" ref="A78">INDEX(Vendor_Master!$A$2:$A$401, ROUNDUP((ROW()-1)/4, 0))</f>
        <v>VND-020</v>
      </c>
      <c r="B78" t="str">
        <f t="shared" si="7"/>
        <v>ISO 14001</v>
      </c>
      <c r="C78" t="str">
        <f t="shared" si="8"/>
        <v>Yes</v>
      </c>
      <c r="D78" t="str">
        <f t="shared" si="9"/>
        <v>Yes</v>
      </c>
      <c r="E78" s="1">
        <v>45394</v>
      </c>
      <c r="F78" s="1">
        <v>46713</v>
      </c>
      <c r="G78">
        <f t="shared" ca="1" si="10"/>
        <v>630</v>
      </c>
      <c r="H78" t="str">
        <f t="shared" ca="1" si="11"/>
        <v>Active</v>
      </c>
      <c r="I78">
        <f t="shared" ca="1" si="12"/>
        <v>0</v>
      </c>
      <c r="J78" t="str">
        <f t="shared" si="13"/>
        <v>Environmental</v>
      </c>
    </row>
    <row r="79" spans="1:10">
      <c r="A79" t="str" cm="1">
        <f t="array" ref="A79">INDEX(Vendor_Master!$A$2:$A$401, ROUNDUP((ROW()-1)/4, 0))</f>
        <v>VND-020</v>
      </c>
      <c r="B79" t="str">
        <f t="shared" si="7"/>
        <v>Safety Certificate</v>
      </c>
      <c r="C79" t="str">
        <f t="shared" si="8"/>
        <v>Yes</v>
      </c>
      <c r="D79" t="str">
        <f t="shared" si="9"/>
        <v>Yes</v>
      </c>
      <c r="E79" s="1">
        <v>45923</v>
      </c>
      <c r="F79" s="1">
        <v>46779</v>
      </c>
      <c r="G79">
        <f t="shared" ca="1" si="10"/>
        <v>696</v>
      </c>
      <c r="H79" t="str">
        <f t="shared" ca="1" si="11"/>
        <v>Active</v>
      </c>
      <c r="I79">
        <f t="shared" ca="1" si="12"/>
        <v>0</v>
      </c>
      <c r="J79" t="str">
        <f t="shared" si="13"/>
        <v>Safety</v>
      </c>
    </row>
    <row r="80" spans="1:10">
      <c r="A80" t="str" cm="1">
        <f t="array" ref="A80">INDEX(Vendor_Master!$A$2:$A$401, ROUNDUP((ROW()-1)/4, 0))</f>
        <v>VND-020</v>
      </c>
      <c r="B80" t="str">
        <f t="shared" si="7"/>
        <v>Environmental Policy</v>
      </c>
      <c r="C80" t="str">
        <f t="shared" si="8"/>
        <v>Yes</v>
      </c>
      <c r="D80" t="str">
        <f t="shared" si="9"/>
        <v>Yes</v>
      </c>
      <c r="E80" s="1">
        <v>45462</v>
      </c>
      <c r="F80" s="1">
        <v>46728</v>
      </c>
      <c r="G80">
        <f t="shared" ca="1" si="10"/>
        <v>645</v>
      </c>
      <c r="H80" t="str">
        <f t="shared" ca="1" si="11"/>
        <v>Active</v>
      </c>
      <c r="I80">
        <f t="shared" ca="1" si="12"/>
        <v>0</v>
      </c>
      <c r="J80" t="str">
        <f t="shared" si="13"/>
        <v>Environmental</v>
      </c>
    </row>
    <row r="81" spans="1:10">
      <c r="A81" t="str" cm="1">
        <f t="array" ref="A81">INDEX(Vendor_Master!$A$2:$A$401, ROUNDUP((ROW()-1)/4, 0))</f>
        <v>VND-020</v>
      </c>
      <c r="B81" t="str">
        <f t="shared" si="7"/>
        <v>Sustainability Disclosure</v>
      </c>
      <c r="C81" t="str">
        <f t="shared" si="8"/>
        <v>Yes</v>
      </c>
      <c r="D81" t="str">
        <f t="shared" si="9"/>
        <v>Yes</v>
      </c>
      <c r="E81" s="1">
        <v>45861</v>
      </c>
      <c r="F81" s="1">
        <v>46654</v>
      </c>
      <c r="G81">
        <f t="shared" ca="1" si="10"/>
        <v>571</v>
      </c>
      <c r="H81" t="str">
        <f t="shared" ca="1" si="11"/>
        <v>Active</v>
      </c>
      <c r="I81">
        <f t="shared" ca="1" si="12"/>
        <v>0</v>
      </c>
      <c r="J81" t="str">
        <f t="shared" si="13"/>
        <v>Environmental</v>
      </c>
    </row>
    <row r="82" spans="1:10">
      <c r="A82" t="str" cm="1">
        <f t="array" ref="A82">INDEX(Vendor_Master!$A$2:$A$401, ROUNDUP((ROW()-1)/4, 0))</f>
        <v>VND-021</v>
      </c>
      <c r="B82" t="str">
        <f t="shared" si="7"/>
        <v>ISO 14001</v>
      </c>
      <c r="C82" t="str">
        <f t="shared" si="8"/>
        <v>Yes</v>
      </c>
      <c r="D82" t="str">
        <f t="shared" si="9"/>
        <v>Yes</v>
      </c>
      <c r="E82" s="1">
        <v>45514</v>
      </c>
      <c r="F82" s="1">
        <v>46422</v>
      </c>
      <c r="G82">
        <f t="shared" ca="1" si="10"/>
        <v>339</v>
      </c>
      <c r="H82" t="str">
        <f t="shared" ca="1" si="11"/>
        <v>Active</v>
      </c>
      <c r="I82">
        <f t="shared" ca="1" si="12"/>
        <v>0</v>
      </c>
      <c r="J82" t="str">
        <f t="shared" si="13"/>
        <v>Environmental</v>
      </c>
    </row>
    <row r="83" spans="1:10">
      <c r="A83" t="str" cm="1">
        <f t="array" ref="A83">INDEX(Vendor_Master!$A$2:$A$401, ROUNDUP((ROW()-1)/4, 0))</f>
        <v>VND-021</v>
      </c>
      <c r="B83" t="str">
        <f t="shared" si="7"/>
        <v>Safety Certificate</v>
      </c>
      <c r="C83" t="str">
        <f t="shared" si="8"/>
        <v>Yes</v>
      </c>
      <c r="D83" t="str">
        <f t="shared" si="9"/>
        <v>Yes</v>
      </c>
      <c r="E83" s="1">
        <v>45823</v>
      </c>
      <c r="F83" s="1">
        <v>46284</v>
      </c>
      <c r="G83">
        <f t="shared" ca="1" si="10"/>
        <v>201</v>
      </c>
      <c r="H83" t="str">
        <f t="shared" ca="1" si="11"/>
        <v>Active</v>
      </c>
      <c r="I83">
        <f t="shared" ca="1" si="12"/>
        <v>0</v>
      </c>
      <c r="J83" t="str">
        <f t="shared" si="13"/>
        <v>Safety</v>
      </c>
    </row>
    <row r="84" spans="1:10">
      <c r="A84" t="str" cm="1">
        <f t="array" ref="A84">INDEX(Vendor_Master!$A$2:$A$401, ROUNDUP((ROW()-1)/4, 0))</f>
        <v>VND-021</v>
      </c>
      <c r="B84" t="str">
        <f t="shared" si="7"/>
        <v>Environmental Policy</v>
      </c>
      <c r="C84" t="str">
        <f t="shared" si="8"/>
        <v>Yes</v>
      </c>
      <c r="D84" t="str">
        <f t="shared" si="9"/>
        <v>Yes</v>
      </c>
      <c r="E84" s="1">
        <v>45885</v>
      </c>
      <c r="F84" s="1">
        <v>46257</v>
      </c>
      <c r="G84">
        <f t="shared" ca="1" si="10"/>
        <v>174</v>
      </c>
      <c r="H84" t="str">
        <f t="shared" ca="1" si="11"/>
        <v>Active</v>
      </c>
      <c r="I84">
        <f t="shared" ca="1" si="12"/>
        <v>0</v>
      </c>
      <c r="J84" t="str">
        <f t="shared" si="13"/>
        <v>Environmental</v>
      </c>
    </row>
    <row r="85" spans="1:10">
      <c r="A85" t="str" cm="1">
        <f t="array" ref="A85">INDEX(Vendor_Master!$A$2:$A$401, ROUNDUP((ROW()-1)/4, 0))</f>
        <v>VND-021</v>
      </c>
      <c r="B85" t="str">
        <f t="shared" si="7"/>
        <v>Sustainability Disclosure</v>
      </c>
      <c r="C85" t="str">
        <f t="shared" si="8"/>
        <v>Yes</v>
      </c>
      <c r="D85" t="str">
        <f t="shared" si="9"/>
        <v>Yes</v>
      </c>
      <c r="E85" s="1">
        <v>45847</v>
      </c>
      <c r="F85" s="1">
        <v>46331</v>
      </c>
      <c r="G85">
        <f t="shared" ca="1" si="10"/>
        <v>248</v>
      </c>
      <c r="H85" t="str">
        <f t="shared" ca="1" si="11"/>
        <v>Active</v>
      </c>
      <c r="I85">
        <f t="shared" ca="1" si="12"/>
        <v>0</v>
      </c>
      <c r="J85" t="str">
        <f t="shared" si="13"/>
        <v>Environmental</v>
      </c>
    </row>
    <row r="86" spans="1:10">
      <c r="A86" t="str" cm="1">
        <f t="array" ref="A86">INDEX(Vendor_Master!$A$2:$A$401, ROUNDUP((ROW()-1)/4, 0))</f>
        <v>VND-022</v>
      </c>
      <c r="B86" t="str">
        <f t="shared" si="7"/>
        <v>ISO 14001</v>
      </c>
      <c r="C86" t="str">
        <f t="shared" si="8"/>
        <v>Yes</v>
      </c>
      <c r="D86" t="str">
        <f t="shared" si="9"/>
        <v>Yes</v>
      </c>
      <c r="E86" s="1">
        <v>45931</v>
      </c>
      <c r="F86" s="1">
        <v>46600</v>
      </c>
      <c r="G86">
        <f t="shared" ca="1" si="10"/>
        <v>517</v>
      </c>
      <c r="H86" t="str">
        <f t="shared" ca="1" si="11"/>
        <v>Active</v>
      </c>
      <c r="I86">
        <f t="shared" ca="1" si="12"/>
        <v>0</v>
      </c>
      <c r="J86" t="str">
        <f t="shared" si="13"/>
        <v>Environmental</v>
      </c>
    </row>
    <row r="87" spans="1:10">
      <c r="A87" t="str" cm="1">
        <f t="array" ref="A87">INDEX(Vendor_Master!$A$2:$A$401, ROUNDUP((ROW()-1)/4, 0))</f>
        <v>VND-022</v>
      </c>
      <c r="B87" t="str">
        <f t="shared" si="7"/>
        <v>Safety Certificate</v>
      </c>
      <c r="C87" t="str">
        <f t="shared" si="8"/>
        <v>Yes</v>
      </c>
      <c r="D87" t="str">
        <f t="shared" si="9"/>
        <v>Yes</v>
      </c>
      <c r="E87" s="1">
        <v>45541</v>
      </c>
      <c r="F87" s="1">
        <v>46672</v>
      </c>
      <c r="G87">
        <f t="shared" ca="1" si="10"/>
        <v>589</v>
      </c>
      <c r="H87" t="str">
        <f t="shared" ca="1" si="11"/>
        <v>Active</v>
      </c>
      <c r="I87">
        <f t="shared" ca="1" si="12"/>
        <v>0</v>
      </c>
      <c r="J87" t="str">
        <f t="shared" si="13"/>
        <v>Safety</v>
      </c>
    </row>
    <row r="88" spans="1:10">
      <c r="A88" t="str" cm="1">
        <f t="array" ref="A88">INDEX(Vendor_Master!$A$2:$A$401, ROUNDUP((ROW()-1)/4, 0))</f>
        <v>VND-022</v>
      </c>
      <c r="B88" t="str">
        <f t="shared" si="7"/>
        <v>Environmental Policy</v>
      </c>
      <c r="C88" t="str">
        <f t="shared" si="8"/>
        <v>Yes</v>
      </c>
      <c r="D88" t="str">
        <f t="shared" si="9"/>
        <v>Yes</v>
      </c>
      <c r="E88" s="1">
        <v>46033</v>
      </c>
      <c r="F88" s="1">
        <v>46513</v>
      </c>
      <c r="G88">
        <f t="shared" ca="1" si="10"/>
        <v>430</v>
      </c>
      <c r="H88" t="str">
        <f t="shared" ca="1" si="11"/>
        <v>Active</v>
      </c>
      <c r="I88">
        <f t="shared" ca="1" si="12"/>
        <v>0</v>
      </c>
      <c r="J88" t="str">
        <f t="shared" si="13"/>
        <v>Environmental</v>
      </c>
    </row>
    <row r="89" spans="1:10">
      <c r="A89" t="str" cm="1">
        <f t="array" ref="A89">INDEX(Vendor_Master!$A$2:$A$401, ROUNDUP((ROW()-1)/4, 0))</f>
        <v>VND-022</v>
      </c>
      <c r="B89" t="str">
        <f t="shared" si="7"/>
        <v>Sustainability Disclosure</v>
      </c>
      <c r="C89" t="str">
        <f t="shared" si="8"/>
        <v>Yes</v>
      </c>
      <c r="D89" t="str">
        <f t="shared" si="9"/>
        <v>Yes</v>
      </c>
      <c r="E89" s="1">
        <v>45462</v>
      </c>
      <c r="F89" s="1">
        <v>46802</v>
      </c>
      <c r="G89">
        <f t="shared" ca="1" si="10"/>
        <v>719</v>
      </c>
      <c r="H89" t="str">
        <f t="shared" ca="1" si="11"/>
        <v>Active</v>
      </c>
      <c r="I89">
        <f t="shared" ca="1" si="12"/>
        <v>0</v>
      </c>
      <c r="J89" t="str">
        <f t="shared" si="13"/>
        <v>Environmental</v>
      </c>
    </row>
    <row r="90" spans="1:10">
      <c r="A90" t="str" cm="1">
        <f t="array" ref="A90">INDEX(Vendor_Master!$A$2:$A$401, ROUNDUP((ROW()-1)/4, 0))</f>
        <v>VND-023</v>
      </c>
      <c r="B90" t="str">
        <f t="shared" si="7"/>
        <v>ISO 14001</v>
      </c>
      <c r="C90" t="str">
        <f t="shared" si="8"/>
        <v>Yes</v>
      </c>
      <c r="D90" t="str">
        <f t="shared" si="9"/>
        <v>Yes</v>
      </c>
      <c r="E90" s="1">
        <v>45725</v>
      </c>
      <c r="F90" s="1">
        <v>46397</v>
      </c>
      <c r="G90">
        <f t="shared" ca="1" si="10"/>
        <v>314</v>
      </c>
      <c r="H90" t="str">
        <f t="shared" ca="1" si="11"/>
        <v>Active</v>
      </c>
      <c r="I90">
        <f t="shared" ca="1" si="12"/>
        <v>0</v>
      </c>
      <c r="J90" t="str">
        <f t="shared" si="13"/>
        <v>Environmental</v>
      </c>
    </row>
    <row r="91" spans="1:10">
      <c r="A91" t="str" cm="1">
        <f t="array" ref="A91">INDEX(Vendor_Master!$A$2:$A$401, ROUNDUP((ROW()-1)/4, 0))</f>
        <v>VND-023</v>
      </c>
      <c r="B91" t="str">
        <f t="shared" si="7"/>
        <v>Safety Certificate</v>
      </c>
      <c r="C91" t="str">
        <f t="shared" si="8"/>
        <v>Yes</v>
      </c>
      <c r="D91" t="str">
        <f t="shared" si="9"/>
        <v>Yes</v>
      </c>
      <c r="E91" s="1">
        <v>45858</v>
      </c>
      <c r="F91" s="1">
        <v>46534</v>
      </c>
      <c r="G91">
        <f t="shared" ca="1" si="10"/>
        <v>451</v>
      </c>
      <c r="H91" t="str">
        <f t="shared" ca="1" si="11"/>
        <v>Active</v>
      </c>
      <c r="I91">
        <f t="shared" ca="1" si="12"/>
        <v>0</v>
      </c>
      <c r="J91" t="str">
        <f t="shared" si="13"/>
        <v>Safety</v>
      </c>
    </row>
    <row r="92" spans="1:10">
      <c r="A92" t="str" cm="1">
        <f t="array" ref="A92">INDEX(Vendor_Master!$A$2:$A$401, ROUNDUP((ROW()-1)/4, 0))</f>
        <v>VND-023</v>
      </c>
      <c r="B92" t="str">
        <f t="shared" si="7"/>
        <v>Environmental Policy</v>
      </c>
      <c r="C92" t="str">
        <f t="shared" si="8"/>
        <v>Yes</v>
      </c>
      <c r="D92" t="str">
        <f t="shared" si="9"/>
        <v>Yes</v>
      </c>
      <c r="E92" s="1">
        <v>45583</v>
      </c>
      <c r="F92" s="1">
        <v>46379</v>
      </c>
      <c r="G92">
        <f t="shared" ca="1" si="10"/>
        <v>296</v>
      </c>
      <c r="H92" t="str">
        <f t="shared" ca="1" si="11"/>
        <v>Active</v>
      </c>
      <c r="I92">
        <f t="shared" ca="1" si="12"/>
        <v>0</v>
      </c>
      <c r="J92" t="str">
        <f t="shared" si="13"/>
        <v>Environmental</v>
      </c>
    </row>
    <row r="93" spans="1:10">
      <c r="A93" t="str" cm="1">
        <f t="array" ref="A93">INDEX(Vendor_Master!$A$2:$A$401, ROUNDUP((ROW()-1)/4, 0))</f>
        <v>VND-023</v>
      </c>
      <c r="B93" t="str">
        <f t="shared" si="7"/>
        <v>Sustainability Disclosure</v>
      </c>
      <c r="C93" t="str">
        <f t="shared" si="8"/>
        <v>Yes</v>
      </c>
      <c r="D93" t="str">
        <f t="shared" si="9"/>
        <v>Yes</v>
      </c>
      <c r="E93" s="1">
        <v>45917</v>
      </c>
      <c r="F93" s="1">
        <v>46947</v>
      </c>
      <c r="G93">
        <f t="shared" ca="1" si="10"/>
        <v>864</v>
      </c>
      <c r="H93" t="str">
        <f t="shared" ca="1" si="11"/>
        <v>Active</v>
      </c>
      <c r="I93">
        <f t="shared" ca="1" si="12"/>
        <v>0</v>
      </c>
      <c r="J93" t="str">
        <f t="shared" si="13"/>
        <v>Environmental</v>
      </c>
    </row>
    <row r="94" spans="1:10">
      <c r="A94" t="str" cm="1">
        <f t="array" ref="A94">INDEX(Vendor_Master!$A$2:$A$401, ROUNDUP((ROW()-1)/4, 0))</f>
        <v>VND-024</v>
      </c>
      <c r="B94" t="str">
        <f t="shared" si="7"/>
        <v>ISO 14001</v>
      </c>
      <c r="C94" t="str">
        <f t="shared" si="8"/>
        <v>Yes</v>
      </c>
      <c r="D94" t="str">
        <f t="shared" si="9"/>
        <v>Yes</v>
      </c>
      <c r="E94" s="1">
        <v>45409</v>
      </c>
      <c r="F94" s="1">
        <v>46788</v>
      </c>
      <c r="G94">
        <f t="shared" ca="1" si="10"/>
        <v>705</v>
      </c>
      <c r="H94" t="str">
        <f t="shared" ca="1" si="11"/>
        <v>Active</v>
      </c>
      <c r="I94">
        <f t="shared" ca="1" si="12"/>
        <v>0</v>
      </c>
      <c r="J94" t="str">
        <f t="shared" si="13"/>
        <v>Environmental</v>
      </c>
    </row>
    <row r="95" spans="1:10">
      <c r="A95" t="str" cm="1">
        <f t="array" ref="A95">INDEX(Vendor_Master!$A$2:$A$401, ROUNDUP((ROW()-1)/4, 0))</f>
        <v>VND-024</v>
      </c>
      <c r="B95" t="str">
        <f t="shared" si="7"/>
        <v>Safety Certificate</v>
      </c>
      <c r="C95" t="str">
        <f t="shared" si="8"/>
        <v>Yes</v>
      </c>
      <c r="D95" t="str">
        <f t="shared" si="9"/>
        <v>Yes</v>
      </c>
      <c r="E95" s="1">
        <v>46069</v>
      </c>
      <c r="F95" s="1">
        <v>46547</v>
      </c>
      <c r="G95">
        <f t="shared" ca="1" si="10"/>
        <v>464</v>
      </c>
      <c r="H95" t="str">
        <f t="shared" ca="1" si="11"/>
        <v>Active</v>
      </c>
      <c r="I95">
        <f t="shared" ca="1" si="12"/>
        <v>0</v>
      </c>
      <c r="J95" t="str">
        <f t="shared" si="13"/>
        <v>Safety</v>
      </c>
    </row>
    <row r="96" spans="1:10">
      <c r="A96" t="str" cm="1">
        <f t="array" ref="A96">INDEX(Vendor_Master!$A$2:$A$401, ROUNDUP((ROW()-1)/4, 0))</f>
        <v>VND-024</v>
      </c>
      <c r="B96" t="str">
        <f t="shared" si="7"/>
        <v>Environmental Policy</v>
      </c>
      <c r="C96" t="str">
        <f t="shared" si="8"/>
        <v>Yes</v>
      </c>
      <c r="D96" t="str">
        <f t="shared" si="9"/>
        <v>Yes</v>
      </c>
      <c r="E96" s="1">
        <v>45628</v>
      </c>
      <c r="F96" s="1">
        <v>46718</v>
      </c>
      <c r="G96">
        <f t="shared" ca="1" si="10"/>
        <v>635</v>
      </c>
      <c r="H96" t="str">
        <f t="shared" ca="1" si="11"/>
        <v>Active</v>
      </c>
      <c r="I96">
        <f t="shared" ca="1" si="12"/>
        <v>0</v>
      </c>
      <c r="J96" t="str">
        <f t="shared" si="13"/>
        <v>Environmental</v>
      </c>
    </row>
    <row r="97" spans="1:10">
      <c r="A97" t="str" cm="1">
        <f t="array" ref="A97">INDEX(Vendor_Master!$A$2:$A$401, ROUNDUP((ROW()-1)/4, 0))</f>
        <v>VND-024</v>
      </c>
      <c r="B97" t="str">
        <f t="shared" si="7"/>
        <v>Sustainability Disclosure</v>
      </c>
      <c r="C97" t="str">
        <f t="shared" si="8"/>
        <v>Yes</v>
      </c>
      <c r="D97" t="str">
        <f t="shared" si="9"/>
        <v>Yes</v>
      </c>
      <c r="E97" s="1">
        <v>45942</v>
      </c>
      <c r="F97" s="1">
        <v>46687</v>
      </c>
      <c r="G97">
        <f t="shared" ca="1" si="10"/>
        <v>604</v>
      </c>
      <c r="H97" t="str">
        <f t="shared" ca="1" si="11"/>
        <v>Active</v>
      </c>
      <c r="I97">
        <f t="shared" ca="1" si="12"/>
        <v>0</v>
      </c>
      <c r="J97" t="str">
        <f t="shared" si="13"/>
        <v>Environmental</v>
      </c>
    </row>
    <row r="98" spans="1:10">
      <c r="A98" t="str" cm="1">
        <f t="array" ref="A98">INDEX(Vendor_Master!$A$2:$A$401, ROUNDUP((ROW()-1)/4, 0))</f>
        <v>VND-025</v>
      </c>
      <c r="B98" t="str">
        <f t="shared" si="7"/>
        <v>ISO 14001</v>
      </c>
      <c r="C98" t="str">
        <f t="shared" si="8"/>
        <v>Yes</v>
      </c>
      <c r="D98" t="str">
        <f t="shared" si="9"/>
        <v>Yes</v>
      </c>
      <c r="E98" s="1">
        <v>45753</v>
      </c>
      <c r="F98" s="1">
        <v>46390</v>
      </c>
      <c r="G98">
        <f t="shared" ca="1" si="10"/>
        <v>307</v>
      </c>
      <c r="H98" t="str">
        <f t="shared" ca="1" si="11"/>
        <v>Active</v>
      </c>
      <c r="I98">
        <f t="shared" ca="1" si="12"/>
        <v>0</v>
      </c>
      <c r="J98" t="str">
        <f t="shared" si="13"/>
        <v>Environmental</v>
      </c>
    </row>
    <row r="99" spans="1:10">
      <c r="A99" t="str" cm="1">
        <f t="array" ref="A99">INDEX(Vendor_Master!$A$2:$A$401, ROUNDUP((ROW()-1)/4, 0))</f>
        <v>VND-025</v>
      </c>
      <c r="B99" t="str">
        <f t="shared" si="7"/>
        <v>Safety Certificate</v>
      </c>
      <c r="C99" t="str">
        <f t="shared" si="8"/>
        <v>Yes</v>
      </c>
      <c r="D99" t="str">
        <f t="shared" si="9"/>
        <v>Yes</v>
      </c>
      <c r="E99" s="1">
        <v>46048</v>
      </c>
      <c r="F99" s="1">
        <v>46853</v>
      </c>
      <c r="G99">
        <f t="shared" ca="1" si="10"/>
        <v>770</v>
      </c>
      <c r="H99" t="str">
        <f t="shared" ca="1" si="11"/>
        <v>Active</v>
      </c>
      <c r="I99">
        <f t="shared" ca="1" si="12"/>
        <v>0</v>
      </c>
      <c r="J99" t="str">
        <f t="shared" si="13"/>
        <v>Safety</v>
      </c>
    </row>
    <row r="100" spans="1:10">
      <c r="A100" t="str" cm="1">
        <f t="array" ref="A100">INDEX(Vendor_Master!$A$2:$A$401, ROUNDUP((ROW()-1)/4, 0))</f>
        <v>VND-025</v>
      </c>
      <c r="B100" t="str">
        <f t="shared" si="7"/>
        <v>Environmental Policy</v>
      </c>
      <c r="C100" t="str">
        <f t="shared" si="8"/>
        <v>Yes</v>
      </c>
      <c r="D100" t="str">
        <f t="shared" si="9"/>
        <v>Yes</v>
      </c>
      <c r="E100" s="1">
        <v>45501</v>
      </c>
      <c r="F100" s="1">
        <v>46615</v>
      </c>
      <c r="G100">
        <f t="shared" ca="1" si="10"/>
        <v>532</v>
      </c>
      <c r="H100" t="str">
        <f t="shared" ca="1" si="11"/>
        <v>Active</v>
      </c>
      <c r="I100">
        <f t="shared" ca="1" si="12"/>
        <v>0</v>
      </c>
      <c r="J100" t="str">
        <f t="shared" si="13"/>
        <v>Environmental</v>
      </c>
    </row>
    <row r="101" spans="1:10">
      <c r="A101" t="str" cm="1">
        <f t="array" ref="A101">INDEX(Vendor_Master!$A$2:$A$401, ROUNDUP((ROW()-1)/4, 0))</f>
        <v>VND-025</v>
      </c>
      <c r="B101" t="str">
        <f t="shared" si="7"/>
        <v>Sustainability Disclosure</v>
      </c>
      <c r="C101" t="str">
        <f t="shared" si="8"/>
        <v>Yes</v>
      </c>
      <c r="D101" t="str">
        <f t="shared" si="9"/>
        <v>Yes</v>
      </c>
      <c r="E101" s="1">
        <v>45749</v>
      </c>
      <c r="F101" s="1">
        <v>46263</v>
      </c>
      <c r="G101">
        <f t="shared" ca="1" si="10"/>
        <v>180</v>
      </c>
      <c r="H101" t="str">
        <f t="shared" ca="1" si="11"/>
        <v>Active</v>
      </c>
      <c r="I101">
        <f t="shared" ca="1" si="12"/>
        <v>0</v>
      </c>
      <c r="J101" t="str">
        <f t="shared" si="13"/>
        <v>Environmental</v>
      </c>
    </row>
    <row r="102" spans="1:10">
      <c r="A102" t="str" cm="1">
        <f t="array" ref="A102">INDEX(Vendor_Master!$A$2:$A$401, ROUNDUP((ROW()-1)/4, 0))</f>
        <v>VND-026</v>
      </c>
      <c r="B102" t="str">
        <f t="shared" si="7"/>
        <v>ISO 14001</v>
      </c>
      <c r="C102" t="str">
        <f t="shared" si="8"/>
        <v>Yes</v>
      </c>
      <c r="D102" t="str">
        <f t="shared" si="9"/>
        <v>Yes</v>
      </c>
      <c r="E102" s="1">
        <v>46029</v>
      </c>
      <c r="F102" s="1">
        <v>46928</v>
      </c>
      <c r="G102">
        <f t="shared" ca="1" si="10"/>
        <v>845</v>
      </c>
      <c r="H102" t="str">
        <f t="shared" ca="1" si="11"/>
        <v>Active</v>
      </c>
      <c r="I102">
        <f t="shared" ca="1" si="12"/>
        <v>0</v>
      </c>
      <c r="J102" t="str">
        <f t="shared" si="13"/>
        <v>Environmental</v>
      </c>
    </row>
    <row r="103" spans="1:10">
      <c r="A103" t="str" cm="1">
        <f t="array" ref="A103">INDEX(Vendor_Master!$A$2:$A$401, ROUNDUP((ROW()-1)/4, 0))</f>
        <v>VND-026</v>
      </c>
      <c r="B103" t="str">
        <f t="shared" si="7"/>
        <v>Safety Certificate</v>
      </c>
      <c r="C103" t="str">
        <f t="shared" si="8"/>
        <v>Yes</v>
      </c>
      <c r="D103" t="str">
        <f t="shared" si="9"/>
        <v>Yes</v>
      </c>
      <c r="E103" s="1">
        <v>45960</v>
      </c>
      <c r="F103" s="1">
        <v>46702</v>
      </c>
      <c r="G103">
        <f t="shared" ca="1" si="10"/>
        <v>619</v>
      </c>
      <c r="H103" t="str">
        <f t="shared" ca="1" si="11"/>
        <v>Active</v>
      </c>
      <c r="I103">
        <f t="shared" ca="1" si="12"/>
        <v>0</v>
      </c>
      <c r="J103" t="str">
        <f t="shared" si="13"/>
        <v>Safety</v>
      </c>
    </row>
    <row r="104" spans="1:10">
      <c r="A104" t="str" cm="1">
        <f t="array" ref="A104">INDEX(Vendor_Master!$A$2:$A$401, ROUNDUP((ROW()-1)/4, 0))</f>
        <v>VND-026</v>
      </c>
      <c r="B104" t="str">
        <f t="shared" si="7"/>
        <v>Environmental Policy</v>
      </c>
      <c r="C104" t="str">
        <f t="shared" si="8"/>
        <v>Yes</v>
      </c>
      <c r="D104" t="str">
        <f t="shared" si="9"/>
        <v>Yes</v>
      </c>
      <c r="E104" s="1">
        <v>45642</v>
      </c>
      <c r="F104" s="1">
        <v>46654</v>
      </c>
      <c r="G104">
        <f t="shared" ca="1" si="10"/>
        <v>571</v>
      </c>
      <c r="H104" t="str">
        <f t="shared" ca="1" si="11"/>
        <v>Active</v>
      </c>
      <c r="I104">
        <f t="shared" ca="1" si="12"/>
        <v>0</v>
      </c>
      <c r="J104" t="str">
        <f t="shared" si="13"/>
        <v>Environmental</v>
      </c>
    </row>
    <row r="105" spans="1:10">
      <c r="A105" t="str" cm="1">
        <f t="array" ref="A105">INDEX(Vendor_Master!$A$2:$A$401, ROUNDUP((ROW()-1)/4, 0))</f>
        <v>VND-026</v>
      </c>
      <c r="B105" t="str">
        <f t="shared" si="7"/>
        <v>Sustainability Disclosure</v>
      </c>
      <c r="C105" t="str">
        <f t="shared" si="8"/>
        <v>Yes</v>
      </c>
      <c r="D105" t="str">
        <f t="shared" si="9"/>
        <v>Yes</v>
      </c>
      <c r="E105" s="1">
        <v>45383</v>
      </c>
      <c r="F105" s="1">
        <v>46438</v>
      </c>
      <c r="G105">
        <f t="shared" ca="1" si="10"/>
        <v>355</v>
      </c>
      <c r="H105" t="str">
        <f t="shared" ca="1" si="11"/>
        <v>Active</v>
      </c>
      <c r="I105">
        <f t="shared" ca="1" si="12"/>
        <v>0</v>
      </c>
      <c r="J105" t="str">
        <f t="shared" si="13"/>
        <v>Environmental</v>
      </c>
    </row>
    <row r="106" spans="1:10">
      <c r="A106" t="str" cm="1">
        <f t="array" ref="A106">INDEX(Vendor_Master!$A$2:$A$401, ROUNDUP((ROW()-1)/4, 0))</f>
        <v>VND-027</v>
      </c>
      <c r="B106" t="str">
        <f t="shared" si="7"/>
        <v>ISO 14001</v>
      </c>
      <c r="C106" t="str">
        <f t="shared" si="8"/>
        <v>Yes</v>
      </c>
      <c r="D106" t="str">
        <f t="shared" si="9"/>
        <v>Yes</v>
      </c>
      <c r="E106" s="1">
        <v>45952</v>
      </c>
      <c r="F106" s="1">
        <v>46690</v>
      </c>
      <c r="G106">
        <f t="shared" ca="1" si="10"/>
        <v>607</v>
      </c>
      <c r="H106" t="str">
        <f t="shared" ca="1" si="11"/>
        <v>Active</v>
      </c>
      <c r="I106">
        <f t="shared" ca="1" si="12"/>
        <v>0</v>
      </c>
      <c r="J106" t="str">
        <f t="shared" si="13"/>
        <v>Environmental</v>
      </c>
    </row>
    <row r="107" spans="1:10">
      <c r="A107" t="str" cm="1">
        <f t="array" ref="A107">INDEX(Vendor_Master!$A$2:$A$401, ROUNDUP((ROW()-1)/4, 0))</f>
        <v>VND-027</v>
      </c>
      <c r="B107" t="str">
        <f t="shared" si="7"/>
        <v>Safety Certificate</v>
      </c>
      <c r="C107" t="str">
        <f t="shared" si="8"/>
        <v>Yes</v>
      </c>
      <c r="D107" t="str">
        <f t="shared" si="9"/>
        <v>Yes</v>
      </c>
      <c r="E107" s="1">
        <v>45951</v>
      </c>
      <c r="F107" s="1">
        <v>46974</v>
      </c>
      <c r="G107">
        <f t="shared" ca="1" si="10"/>
        <v>891</v>
      </c>
      <c r="H107" t="str">
        <f t="shared" ca="1" si="11"/>
        <v>Active</v>
      </c>
      <c r="I107">
        <f t="shared" ca="1" si="12"/>
        <v>0</v>
      </c>
      <c r="J107" t="str">
        <f t="shared" si="13"/>
        <v>Safety</v>
      </c>
    </row>
    <row r="108" spans="1:10">
      <c r="A108" t="str" cm="1">
        <f t="array" ref="A108">INDEX(Vendor_Master!$A$2:$A$401, ROUNDUP((ROW()-1)/4, 0))</f>
        <v>VND-027</v>
      </c>
      <c r="B108" t="str">
        <f t="shared" si="7"/>
        <v>Environmental Policy</v>
      </c>
      <c r="C108" t="str">
        <f t="shared" si="8"/>
        <v>Yes</v>
      </c>
      <c r="D108" t="str">
        <f t="shared" si="9"/>
        <v>Yes</v>
      </c>
      <c r="E108" s="1">
        <v>45512</v>
      </c>
      <c r="F108" s="1">
        <v>46226</v>
      </c>
      <c r="G108">
        <f t="shared" ca="1" si="10"/>
        <v>143</v>
      </c>
      <c r="H108" t="str">
        <f t="shared" ca="1" si="11"/>
        <v>Active</v>
      </c>
      <c r="I108">
        <f t="shared" ca="1" si="12"/>
        <v>0</v>
      </c>
      <c r="J108" t="str">
        <f t="shared" si="13"/>
        <v>Environmental</v>
      </c>
    </row>
    <row r="109" spans="1:10">
      <c r="A109" t="str" cm="1">
        <f t="array" ref="A109">INDEX(Vendor_Master!$A$2:$A$401, ROUNDUP((ROW()-1)/4, 0))</f>
        <v>VND-027</v>
      </c>
      <c r="B109" t="str">
        <f t="shared" si="7"/>
        <v>Sustainability Disclosure</v>
      </c>
      <c r="C109" t="str">
        <f t="shared" si="8"/>
        <v>Yes</v>
      </c>
      <c r="D109" t="str">
        <f t="shared" si="9"/>
        <v>Yes</v>
      </c>
      <c r="E109" s="1">
        <v>45877</v>
      </c>
      <c r="F109" s="1">
        <v>46322</v>
      </c>
      <c r="G109">
        <f t="shared" ca="1" si="10"/>
        <v>239</v>
      </c>
      <c r="H109" t="str">
        <f t="shared" ca="1" si="11"/>
        <v>Active</v>
      </c>
      <c r="I109">
        <f t="shared" ca="1" si="12"/>
        <v>0</v>
      </c>
      <c r="J109" t="str">
        <f t="shared" si="13"/>
        <v>Environmental</v>
      </c>
    </row>
    <row r="110" spans="1:10">
      <c r="A110" t="str" cm="1">
        <f t="array" ref="A110">INDEX(Vendor_Master!$A$2:$A$401, ROUNDUP((ROW()-1)/4, 0))</f>
        <v>VND-028</v>
      </c>
      <c r="B110" t="str">
        <f t="shared" si="7"/>
        <v>ISO 14001</v>
      </c>
      <c r="C110" t="str">
        <f t="shared" si="8"/>
        <v>Yes</v>
      </c>
      <c r="D110" t="str">
        <f t="shared" si="9"/>
        <v>Yes</v>
      </c>
      <c r="E110" s="1">
        <v>45998</v>
      </c>
      <c r="F110" s="1">
        <v>46432</v>
      </c>
      <c r="G110">
        <f t="shared" ca="1" si="10"/>
        <v>349</v>
      </c>
      <c r="H110" t="str">
        <f t="shared" ca="1" si="11"/>
        <v>Active</v>
      </c>
      <c r="I110">
        <f t="shared" ca="1" si="12"/>
        <v>0</v>
      </c>
      <c r="J110" t="str">
        <f t="shared" si="13"/>
        <v>Environmental</v>
      </c>
    </row>
    <row r="111" spans="1:10">
      <c r="A111" t="str" cm="1">
        <f t="array" ref="A111">INDEX(Vendor_Master!$A$2:$A$401, ROUNDUP((ROW()-1)/4, 0))</f>
        <v>VND-028</v>
      </c>
      <c r="B111" t="str">
        <f t="shared" si="7"/>
        <v>Safety Certificate</v>
      </c>
      <c r="C111" t="str">
        <f t="shared" si="8"/>
        <v>Yes</v>
      </c>
      <c r="D111" t="str">
        <f t="shared" si="9"/>
        <v>Yes</v>
      </c>
      <c r="E111" s="1">
        <v>45810</v>
      </c>
      <c r="F111" s="1">
        <v>46681</v>
      </c>
      <c r="G111">
        <f t="shared" ca="1" si="10"/>
        <v>598</v>
      </c>
      <c r="H111" t="str">
        <f t="shared" ca="1" si="11"/>
        <v>Active</v>
      </c>
      <c r="I111">
        <f t="shared" ca="1" si="12"/>
        <v>0</v>
      </c>
      <c r="J111" t="str">
        <f t="shared" si="13"/>
        <v>Safety</v>
      </c>
    </row>
    <row r="112" spans="1:10">
      <c r="A112" t="str" cm="1">
        <f t="array" ref="A112">INDEX(Vendor_Master!$A$2:$A$401, ROUNDUP((ROW()-1)/4, 0))</f>
        <v>VND-028</v>
      </c>
      <c r="B112" t="str">
        <f t="shared" si="7"/>
        <v>Environmental Policy</v>
      </c>
      <c r="C112" t="str">
        <f t="shared" si="8"/>
        <v>Yes</v>
      </c>
      <c r="D112" t="str">
        <f t="shared" si="9"/>
        <v>Yes</v>
      </c>
      <c r="E112" s="1">
        <v>45602</v>
      </c>
      <c r="F112" s="1">
        <v>46214</v>
      </c>
      <c r="G112">
        <f t="shared" ca="1" si="10"/>
        <v>131</v>
      </c>
      <c r="H112" t="str">
        <f t="shared" ca="1" si="11"/>
        <v>Active</v>
      </c>
      <c r="I112">
        <f t="shared" ca="1" si="12"/>
        <v>0</v>
      </c>
      <c r="J112" t="str">
        <f t="shared" si="13"/>
        <v>Environmental</v>
      </c>
    </row>
    <row r="113" spans="1:10">
      <c r="A113" t="str" cm="1">
        <f t="array" ref="A113">INDEX(Vendor_Master!$A$2:$A$401, ROUNDUP((ROW()-1)/4, 0))</f>
        <v>VND-028</v>
      </c>
      <c r="B113" t="str">
        <f t="shared" si="7"/>
        <v>Sustainability Disclosure</v>
      </c>
      <c r="C113" t="str">
        <f t="shared" si="8"/>
        <v>Yes</v>
      </c>
      <c r="D113" t="str">
        <f t="shared" si="9"/>
        <v>Yes</v>
      </c>
      <c r="E113" s="1">
        <v>45493</v>
      </c>
      <c r="F113" s="1">
        <v>46287</v>
      </c>
      <c r="G113">
        <f t="shared" ca="1" si="10"/>
        <v>204</v>
      </c>
      <c r="H113" t="str">
        <f t="shared" ca="1" si="11"/>
        <v>Active</v>
      </c>
      <c r="I113">
        <f t="shared" ca="1" si="12"/>
        <v>0</v>
      </c>
      <c r="J113" t="str">
        <f t="shared" si="13"/>
        <v>Environmental</v>
      </c>
    </row>
    <row r="114" spans="1:10">
      <c r="A114" t="str" cm="1">
        <f t="array" ref="A114">INDEX(Vendor_Master!$A$2:$A$401, ROUNDUP((ROW()-1)/4, 0))</f>
        <v>VND-029</v>
      </c>
      <c r="B114" t="str">
        <f t="shared" si="7"/>
        <v>ISO 14001</v>
      </c>
      <c r="C114" t="str">
        <f t="shared" si="8"/>
        <v>Yes</v>
      </c>
      <c r="D114" t="str">
        <f t="shared" si="9"/>
        <v>Yes</v>
      </c>
      <c r="E114" s="1">
        <v>45731</v>
      </c>
      <c r="F114" s="1">
        <v>46216</v>
      </c>
      <c r="G114">
        <f t="shared" ca="1" si="10"/>
        <v>133</v>
      </c>
      <c r="H114" t="str">
        <f t="shared" ca="1" si="11"/>
        <v>Active</v>
      </c>
      <c r="I114">
        <f t="shared" ca="1" si="12"/>
        <v>0</v>
      </c>
      <c r="J114" t="str">
        <f t="shared" si="13"/>
        <v>Environmental</v>
      </c>
    </row>
    <row r="115" spans="1:10">
      <c r="A115" t="str" cm="1">
        <f t="array" ref="A115">INDEX(Vendor_Master!$A$2:$A$401, ROUNDUP((ROW()-1)/4, 0))</f>
        <v>VND-029</v>
      </c>
      <c r="B115" t="str">
        <f t="shared" si="7"/>
        <v>Safety Certificate</v>
      </c>
      <c r="C115" t="str">
        <f t="shared" si="8"/>
        <v>Yes</v>
      </c>
      <c r="D115" t="str">
        <f t="shared" si="9"/>
        <v>Yes</v>
      </c>
      <c r="E115" s="1">
        <v>45858</v>
      </c>
      <c r="F115" s="1">
        <v>46251</v>
      </c>
      <c r="G115">
        <f t="shared" ca="1" si="10"/>
        <v>168</v>
      </c>
      <c r="H115" t="str">
        <f t="shared" ca="1" si="11"/>
        <v>Active</v>
      </c>
      <c r="I115">
        <f t="shared" ca="1" si="12"/>
        <v>0</v>
      </c>
      <c r="J115" t="str">
        <f t="shared" si="13"/>
        <v>Safety</v>
      </c>
    </row>
    <row r="116" spans="1:10">
      <c r="A116" t="str" cm="1">
        <f t="array" ref="A116">INDEX(Vendor_Master!$A$2:$A$401, ROUNDUP((ROW()-1)/4, 0))</f>
        <v>VND-029</v>
      </c>
      <c r="B116" t="str">
        <f t="shared" si="7"/>
        <v>Environmental Policy</v>
      </c>
      <c r="C116" t="str">
        <f t="shared" si="8"/>
        <v>Yes</v>
      </c>
      <c r="D116" t="str">
        <f t="shared" si="9"/>
        <v>Yes</v>
      </c>
      <c r="E116" s="1">
        <v>45830</v>
      </c>
      <c r="F116" s="1">
        <v>46389</v>
      </c>
      <c r="G116">
        <f t="shared" ca="1" si="10"/>
        <v>306</v>
      </c>
      <c r="H116" t="str">
        <f t="shared" ca="1" si="11"/>
        <v>Active</v>
      </c>
      <c r="I116">
        <f t="shared" ca="1" si="12"/>
        <v>0</v>
      </c>
      <c r="J116" t="str">
        <f t="shared" si="13"/>
        <v>Environmental</v>
      </c>
    </row>
    <row r="117" spans="1:10">
      <c r="A117" t="str" cm="1">
        <f t="array" ref="A117">INDEX(Vendor_Master!$A$2:$A$401, ROUNDUP((ROW()-1)/4, 0))</f>
        <v>VND-029</v>
      </c>
      <c r="B117" t="str">
        <f t="shared" si="7"/>
        <v>Sustainability Disclosure</v>
      </c>
      <c r="C117" t="str">
        <f t="shared" si="8"/>
        <v>Yes</v>
      </c>
      <c r="D117" t="str">
        <f t="shared" si="9"/>
        <v>Yes</v>
      </c>
      <c r="E117" s="1">
        <v>45891</v>
      </c>
      <c r="F117" s="1">
        <v>46858</v>
      </c>
      <c r="G117">
        <f t="shared" ca="1" si="10"/>
        <v>775</v>
      </c>
      <c r="H117" t="str">
        <f t="shared" ca="1" si="11"/>
        <v>Active</v>
      </c>
      <c r="I117">
        <f t="shared" ca="1" si="12"/>
        <v>0</v>
      </c>
      <c r="J117" t="str">
        <f t="shared" si="13"/>
        <v>Environmental</v>
      </c>
    </row>
    <row r="118" spans="1:10">
      <c r="A118" t="str" cm="1">
        <f t="array" ref="A118">INDEX(Vendor_Master!$A$2:$A$401, ROUNDUP((ROW()-1)/4, 0))</f>
        <v>VND-030</v>
      </c>
      <c r="B118" t="str">
        <f t="shared" si="7"/>
        <v>ISO 14001</v>
      </c>
      <c r="C118" t="str">
        <f t="shared" si="8"/>
        <v>Yes</v>
      </c>
      <c r="D118" t="str">
        <f t="shared" si="9"/>
        <v>Yes</v>
      </c>
      <c r="E118" s="1">
        <v>45382</v>
      </c>
      <c r="F118" s="1">
        <v>46666</v>
      </c>
      <c r="G118">
        <f t="shared" ca="1" si="10"/>
        <v>583</v>
      </c>
      <c r="H118" t="str">
        <f t="shared" ca="1" si="11"/>
        <v>Active</v>
      </c>
      <c r="I118">
        <f t="shared" ca="1" si="12"/>
        <v>0</v>
      </c>
      <c r="J118" t="str">
        <f t="shared" si="13"/>
        <v>Environmental</v>
      </c>
    </row>
    <row r="119" spans="1:10">
      <c r="A119" t="str" cm="1">
        <f t="array" ref="A119">INDEX(Vendor_Master!$A$2:$A$401, ROUNDUP((ROW()-1)/4, 0))</f>
        <v>VND-030</v>
      </c>
      <c r="B119" t="str">
        <f t="shared" si="7"/>
        <v>Safety Certificate</v>
      </c>
      <c r="C119" t="str">
        <f t="shared" si="8"/>
        <v>Yes</v>
      </c>
      <c r="D119" t="str">
        <f t="shared" si="9"/>
        <v>Yes</v>
      </c>
      <c r="E119" s="1">
        <v>45553</v>
      </c>
      <c r="F119" s="1">
        <v>46757</v>
      </c>
      <c r="G119">
        <f t="shared" ca="1" si="10"/>
        <v>674</v>
      </c>
      <c r="H119" t="str">
        <f t="shared" ca="1" si="11"/>
        <v>Active</v>
      </c>
      <c r="I119">
        <f t="shared" ca="1" si="12"/>
        <v>0</v>
      </c>
      <c r="J119" t="str">
        <f t="shared" si="13"/>
        <v>Safety</v>
      </c>
    </row>
    <row r="120" spans="1:10">
      <c r="A120" t="str" cm="1">
        <f t="array" ref="A120">INDEX(Vendor_Master!$A$2:$A$401, ROUNDUP((ROW()-1)/4, 0))</f>
        <v>VND-030</v>
      </c>
      <c r="B120" t="str">
        <f t="shared" si="7"/>
        <v>Environmental Policy</v>
      </c>
      <c r="C120" t="str">
        <f t="shared" si="8"/>
        <v>Yes</v>
      </c>
      <c r="D120" t="str">
        <f t="shared" si="9"/>
        <v>Yes</v>
      </c>
      <c r="E120" s="1">
        <v>45653</v>
      </c>
      <c r="F120" s="1">
        <v>46483</v>
      </c>
      <c r="G120">
        <f t="shared" ca="1" si="10"/>
        <v>400</v>
      </c>
      <c r="H120" t="str">
        <f t="shared" ca="1" si="11"/>
        <v>Active</v>
      </c>
      <c r="I120">
        <f t="shared" ca="1" si="12"/>
        <v>0</v>
      </c>
      <c r="J120" t="str">
        <f t="shared" si="13"/>
        <v>Environmental</v>
      </c>
    </row>
    <row r="121" spans="1:10">
      <c r="A121" t="str" cm="1">
        <f t="array" ref="A121">INDEX(Vendor_Master!$A$2:$A$401, ROUNDUP((ROW()-1)/4, 0))</f>
        <v>VND-030</v>
      </c>
      <c r="B121" t="str">
        <f t="shared" si="7"/>
        <v>Sustainability Disclosure</v>
      </c>
      <c r="C121" t="str">
        <f t="shared" si="8"/>
        <v>Yes</v>
      </c>
      <c r="D121" t="str">
        <f t="shared" si="9"/>
        <v>Yes</v>
      </c>
      <c r="E121" s="1">
        <v>45528</v>
      </c>
      <c r="F121" s="1">
        <v>46707</v>
      </c>
      <c r="G121">
        <f t="shared" ca="1" si="10"/>
        <v>624</v>
      </c>
      <c r="H121" t="str">
        <f t="shared" ca="1" si="11"/>
        <v>Active</v>
      </c>
      <c r="I121">
        <f t="shared" ca="1" si="12"/>
        <v>0</v>
      </c>
      <c r="J121" t="str">
        <f t="shared" si="13"/>
        <v>Environmental</v>
      </c>
    </row>
    <row r="122" spans="1:10">
      <c r="A122" t="str" cm="1">
        <f t="array" ref="A122">INDEX(Vendor_Master!$A$2:$A$401, ROUNDUP((ROW()-1)/4, 0))</f>
        <v>VND-031</v>
      </c>
      <c r="B122" t="str">
        <f t="shared" si="7"/>
        <v>ISO 14001</v>
      </c>
      <c r="C122" t="str">
        <f t="shared" si="8"/>
        <v>Yes</v>
      </c>
      <c r="D122" t="str">
        <f t="shared" si="9"/>
        <v>Yes</v>
      </c>
      <c r="E122" s="1">
        <v>45962</v>
      </c>
      <c r="F122" s="1">
        <v>46256</v>
      </c>
      <c r="G122">
        <f t="shared" ca="1" si="10"/>
        <v>173</v>
      </c>
      <c r="H122" t="str">
        <f t="shared" ca="1" si="11"/>
        <v>Active</v>
      </c>
      <c r="I122">
        <f t="shared" ca="1" si="12"/>
        <v>0</v>
      </c>
      <c r="J122" t="str">
        <f t="shared" si="13"/>
        <v>Environmental</v>
      </c>
    </row>
    <row r="123" spans="1:10">
      <c r="A123" t="str" cm="1">
        <f t="array" ref="A123">INDEX(Vendor_Master!$A$2:$A$401, ROUNDUP((ROW()-1)/4, 0))</f>
        <v>VND-031</v>
      </c>
      <c r="B123" t="str">
        <f t="shared" si="7"/>
        <v>Safety Certificate</v>
      </c>
      <c r="C123" t="str">
        <f t="shared" si="8"/>
        <v>Yes</v>
      </c>
      <c r="D123" t="str">
        <f t="shared" si="9"/>
        <v>Yes</v>
      </c>
      <c r="E123" s="1">
        <v>45817</v>
      </c>
      <c r="F123" s="1">
        <v>46884</v>
      </c>
      <c r="G123">
        <f t="shared" ca="1" si="10"/>
        <v>801</v>
      </c>
      <c r="H123" t="str">
        <f t="shared" ca="1" si="11"/>
        <v>Active</v>
      </c>
      <c r="I123">
        <f t="shared" ca="1" si="12"/>
        <v>0</v>
      </c>
      <c r="J123" t="str">
        <f t="shared" si="13"/>
        <v>Safety</v>
      </c>
    </row>
    <row r="124" spans="1:10">
      <c r="A124" t="str" cm="1">
        <f t="array" ref="A124">INDEX(Vendor_Master!$A$2:$A$401, ROUNDUP((ROW()-1)/4, 0))</f>
        <v>VND-031</v>
      </c>
      <c r="B124" t="str">
        <f t="shared" si="7"/>
        <v>Environmental Policy</v>
      </c>
      <c r="C124" t="str">
        <f t="shared" si="8"/>
        <v>Yes</v>
      </c>
      <c r="D124" t="str">
        <f t="shared" si="9"/>
        <v>Yes</v>
      </c>
      <c r="E124" s="1">
        <v>45585</v>
      </c>
      <c r="F124" s="1">
        <v>46305</v>
      </c>
      <c r="G124">
        <f t="shared" ca="1" si="10"/>
        <v>222</v>
      </c>
      <c r="H124" t="str">
        <f t="shared" ca="1" si="11"/>
        <v>Active</v>
      </c>
      <c r="I124">
        <f t="shared" ca="1" si="12"/>
        <v>0</v>
      </c>
      <c r="J124" t="str">
        <f t="shared" si="13"/>
        <v>Environmental</v>
      </c>
    </row>
    <row r="125" spans="1:10">
      <c r="A125" t="str" cm="1">
        <f t="array" ref="A125">INDEX(Vendor_Master!$A$2:$A$401, ROUNDUP((ROW()-1)/4, 0))</f>
        <v>VND-031</v>
      </c>
      <c r="B125" t="str">
        <f t="shared" si="7"/>
        <v>Sustainability Disclosure</v>
      </c>
      <c r="C125" t="str">
        <f t="shared" si="8"/>
        <v>Yes</v>
      </c>
      <c r="D125" t="str">
        <f t="shared" si="9"/>
        <v>Yes</v>
      </c>
      <c r="E125" s="1">
        <v>45434</v>
      </c>
      <c r="F125" s="1">
        <v>46959</v>
      </c>
      <c r="G125">
        <f t="shared" ca="1" si="10"/>
        <v>876</v>
      </c>
      <c r="H125" t="str">
        <f t="shared" ca="1" si="11"/>
        <v>Active</v>
      </c>
      <c r="I125">
        <f t="shared" ca="1" si="12"/>
        <v>0</v>
      </c>
      <c r="J125" t="str">
        <f t="shared" si="13"/>
        <v>Environmental</v>
      </c>
    </row>
    <row r="126" spans="1:10">
      <c r="A126" t="str" cm="1">
        <f t="array" ref="A126">INDEX(Vendor_Master!$A$2:$A$401, ROUNDUP((ROW()-1)/4, 0))</f>
        <v>VND-032</v>
      </c>
      <c r="B126" t="str">
        <f t="shared" si="7"/>
        <v>ISO 14001</v>
      </c>
      <c r="C126" t="str">
        <f t="shared" si="8"/>
        <v>Yes</v>
      </c>
      <c r="D126" t="str">
        <f t="shared" si="9"/>
        <v>Yes</v>
      </c>
      <c r="E126" s="1">
        <v>45723</v>
      </c>
      <c r="F126" s="1">
        <v>46888</v>
      </c>
      <c r="G126">
        <f t="shared" ca="1" si="10"/>
        <v>805</v>
      </c>
      <c r="H126" t="str">
        <f t="shared" ca="1" si="11"/>
        <v>Active</v>
      </c>
      <c r="I126">
        <f t="shared" ca="1" si="12"/>
        <v>0</v>
      </c>
      <c r="J126" t="str">
        <f t="shared" si="13"/>
        <v>Environmental</v>
      </c>
    </row>
    <row r="127" spans="1:10">
      <c r="A127" t="str" cm="1">
        <f t="array" ref="A127">INDEX(Vendor_Master!$A$2:$A$401, ROUNDUP((ROW()-1)/4, 0))</f>
        <v>VND-032</v>
      </c>
      <c r="B127" t="str">
        <f t="shared" si="7"/>
        <v>Safety Certificate</v>
      </c>
      <c r="C127" t="str">
        <f t="shared" si="8"/>
        <v>Yes</v>
      </c>
      <c r="D127" t="str">
        <f t="shared" si="9"/>
        <v>Yes</v>
      </c>
      <c r="E127" s="1">
        <v>45792</v>
      </c>
      <c r="F127" s="1">
        <v>46214</v>
      </c>
      <c r="G127">
        <f t="shared" ca="1" si="10"/>
        <v>131</v>
      </c>
      <c r="H127" t="str">
        <f t="shared" ca="1" si="11"/>
        <v>Active</v>
      </c>
      <c r="I127">
        <f t="shared" ca="1" si="12"/>
        <v>0</v>
      </c>
      <c r="J127" t="str">
        <f t="shared" si="13"/>
        <v>Safety</v>
      </c>
    </row>
    <row r="128" spans="1:10">
      <c r="A128" t="str" cm="1">
        <f t="array" ref="A128">INDEX(Vendor_Master!$A$2:$A$401, ROUNDUP((ROW()-1)/4, 0))</f>
        <v>VND-032</v>
      </c>
      <c r="B128" t="str">
        <f t="shared" si="7"/>
        <v>Environmental Policy</v>
      </c>
      <c r="C128" t="str">
        <f t="shared" si="8"/>
        <v>Yes</v>
      </c>
      <c r="D128" t="str">
        <f t="shared" si="9"/>
        <v>Yes</v>
      </c>
      <c r="E128" s="1">
        <v>45801</v>
      </c>
      <c r="F128" s="1">
        <v>46438</v>
      </c>
      <c r="G128">
        <f t="shared" ca="1" si="10"/>
        <v>355</v>
      </c>
      <c r="H128" t="str">
        <f t="shared" ca="1" si="11"/>
        <v>Active</v>
      </c>
      <c r="I128">
        <f t="shared" ca="1" si="12"/>
        <v>0</v>
      </c>
      <c r="J128" t="str">
        <f t="shared" si="13"/>
        <v>Environmental</v>
      </c>
    </row>
    <row r="129" spans="1:10">
      <c r="A129" t="str" cm="1">
        <f t="array" ref="A129">INDEX(Vendor_Master!$A$2:$A$401, ROUNDUP((ROW()-1)/4, 0))</f>
        <v>VND-032</v>
      </c>
      <c r="B129" t="str">
        <f t="shared" si="7"/>
        <v>Sustainability Disclosure</v>
      </c>
      <c r="C129" t="str">
        <f t="shared" si="8"/>
        <v>Yes</v>
      </c>
      <c r="D129" t="str">
        <f t="shared" si="9"/>
        <v>Yes</v>
      </c>
      <c r="E129" s="1">
        <v>45828</v>
      </c>
      <c r="F129" s="1">
        <v>46719</v>
      </c>
      <c r="G129">
        <f t="shared" ca="1" si="10"/>
        <v>636</v>
      </c>
      <c r="H129" t="str">
        <f t="shared" ca="1" si="11"/>
        <v>Active</v>
      </c>
      <c r="I129">
        <f t="shared" ca="1" si="12"/>
        <v>0</v>
      </c>
      <c r="J129" t="str">
        <f t="shared" si="13"/>
        <v>Environmental</v>
      </c>
    </row>
    <row r="130" spans="1:10">
      <c r="A130" t="str" cm="1">
        <f t="array" ref="A130">INDEX(Vendor_Master!$A$2:$A$401, ROUNDUP((ROW()-1)/4, 0))</f>
        <v>VND-033</v>
      </c>
      <c r="B130" t="str">
        <f t="shared" si="7"/>
        <v>ISO 14001</v>
      </c>
      <c r="C130" t="str">
        <f t="shared" si="8"/>
        <v>Yes</v>
      </c>
      <c r="D130" t="str">
        <f t="shared" si="9"/>
        <v>Yes</v>
      </c>
      <c r="E130" s="1">
        <v>45873</v>
      </c>
      <c r="F130" s="1">
        <v>46284</v>
      </c>
      <c r="G130">
        <f t="shared" ca="1" si="10"/>
        <v>201</v>
      </c>
      <c r="H130" t="str">
        <f t="shared" ca="1" si="11"/>
        <v>Active</v>
      </c>
      <c r="I130">
        <f t="shared" ca="1" si="12"/>
        <v>0</v>
      </c>
      <c r="J130" t="str">
        <f t="shared" si="13"/>
        <v>Environmental</v>
      </c>
    </row>
    <row r="131" spans="1:10">
      <c r="A131" t="str" cm="1">
        <f t="array" ref="A131">INDEX(Vendor_Master!$A$2:$A$401, ROUNDUP((ROW()-1)/4, 0))</f>
        <v>VND-033</v>
      </c>
      <c r="B131" t="str">
        <f t="shared" ref="B131:B194" si="14">CHOOSE(MOD(ROW()-2,4)+1,"ISO 14001","Safety Certificate","Environmental Policy","Sustainability Disclosure")</f>
        <v>Safety Certificate</v>
      </c>
      <c r="C131" t="str">
        <f t="shared" ref="C131:C194" si="15">"Yes"</f>
        <v>Yes</v>
      </c>
      <c r="D131" t="str">
        <f t="shared" ref="D131:D194" si="16">IF(ROW()-1&lt;=1280,"Yes","No")</f>
        <v>Yes</v>
      </c>
      <c r="E131" s="1">
        <v>45621</v>
      </c>
      <c r="F131" s="1">
        <v>46938</v>
      </c>
      <c r="G131">
        <f t="shared" ref="G131:G194" ca="1" si="17">IF($F131="","",$F131-TODAY())</f>
        <v>855</v>
      </c>
      <c r="H131" t="str">
        <f t="shared" ref="H131:H194" ca="1" si="18">IF($C131="No","Not Required",
IF($D131="No","Missing",
IF($F131&lt;TODAY(),"Expired",
IF($F131&lt;=TODAY()+30,"Expiring Soon","Active"))))</f>
        <v>Active</v>
      </c>
      <c r="I131">
        <f t="shared" ref="I131:I194" ca="1" si="19">IF(OR($H131="Missing",$H131="Expired",$H131="Expiring Soon"),1,0)</f>
        <v>0</v>
      </c>
      <c r="J131" t="str">
        <f t="shared" ref="J131:J194" si="20">IF(B131="ISO 14001","Environmental",
 IF(B131="Environmental Policy","Environmental",
 IF(B131="Sustainability Disclosure","Environmental",
 IF(B131="Safety Certificate","Safety","Regulatory"))))</f>
        <v>Safety</v>
      </c>
    </row>
    <row r="132" spans="1:10">
      <c r="A132" t="str" cm="1">
        <f t="array" ref="A132">INDEX(Vendor_Master!$A$2:$A$401, ROUNDUP((ROW()-1)/4, 0))</f>
        <v>VND-033</v>
      </c>
      <c r="B132" t="str">
        <f t="shared" si="14"/>
        <v>Environmental Policy</v>
      </c>
      <c r="C132" t="str">
        <f t="shared" si="15"/>
        <v>Yes</v>
      </c>
      <c r="D132" t="str">
        <f t="shared" si="16"/>
        <v>Yes</v>
      </c>
      <c r="E132" s="1">
        <v>45458</v>
      </c>
      <c r="F132" s="1">
        <v>46209</v>
      </c>
      <c r="G132">
        <f t="shared" ca="1" si="17"/>
        <v>126</v>
      </c>
      <c r="H132" t="str">
        <f t="shared" ca="1" si="18"/>
        <v>Active</v>
      </c>
      <c r="I132">
        <f t="shared" ca="1" si="19"/>
        <v>0</v>
      </c>
      <c r="J132" t="str">
        <f t="shared" si="20"/>
        <v>Environmental</v>
      </c>
    </row>
    <row r="133" spans="1:10">
      <c r="A133" t="str" cm="1">
        <f t="array" ref="A133">INDEX(Vendor_Master!$A$2:$A$401, ROUNDUP((ROW()-1)/4, 0))</f>
        <v>VND-033</v>
      </c>
      <c r="B133" t="str">
        <f t="shared" si="14"/>
        <v>Sustainability Disclosure</v>
      </c>
      <c r="C133" t="str">
        <f t="shared" si="15"/>
        <v>Yes</v>
      </c>
      <c r="D133" t="str">
        <f t="shared" si="16"/>
        <v>Yes</v>
      </c>
      <c r="E133" s="1">
        <v>45915</v>
      </c>
      <c r="F133" s="1">
        <v>46653</v>
      </c>
      <c r="G133">
        <f t="shared" ca="1" si="17"/>
        <v>570</v>
      </c>
      <c r="H133" t="str">
        <f t="shared" ca="1" si="18"/>
        <v>Active</v>
      </c>
      <c r="I133">
        <f t="shared" ca="1" si="19"/>
        <v>0</v>
      </c>
      <c r="J133" t="str">
        <f t="shared" si="20"/>
        <v>Environmental</v>
      </c>
    </row>
    <row r="134" spans="1:10">
      <c r="A134" t="str" cm="1">
        <f t="array" ref="A134">INDEX(Vendor_Master!$A$2:$A$401, ROUNDUP((ROW()-1)/4, 0))</f>
        <v>VND-034</v>
      </c>
      <c r="B134" t="str">
        <f t="shared" si="14"/>
        <v>ISO 14001</v>
      </c>
      <c r="C134" t="str">
        <f t="shared" si="15"/>
        <v>Yes</v>
      </c>
      <c r="D134" t="str">
        <f t="shared" si="16"/>
        <v>Yes</v>
      </c>
      <c r="E134" s="1">
        <v>45485</v>
      </c>
      <c r="F134" s="1">
        <v>46873</v>
      </c>
      <c r="G134">
        <f t="shared" ca="1" si="17"/>
        <v>790</v>
      </c>
      <c r="H134" t="str">
        <f t="shared" ca="1" si="18"/>
        <v>Active</v>
      </c>
      <c r="I134">
        <f t="shared" ca="1" si="19"/>
        <v>0</v>
      </c>
      <c r="J134" t="str">
        <f t="shared" si="20"/>
        <v>Environmental</v>
      </c>
    </row>
    <row r="135" spans="1:10">
      <c r="A135" t="str" cm="1">
        <f t="array" ref="A135">INDEX(Vendor_Master!$A$2:$A$401, ROUNDUP((ROW()-1)/4, 0))</f>
        <v>VND-034</v>
      </c>
      <c r="B135" t="str">
        <f t="shared" si="14"/>
        <v>Safety Certificate</v>
      </c>
      <c r="C135" t="str">
        <f t="shared" si="15"/>
        <v>Yes</v>
      </c>
      <c r="D135" t="str">
        <f t="shared" si="16"/>
        <v>Yes</v>
      </c>
      <c r="E135" s="1">
        <v>45745</v>
      </c>
      <c r="F135" s="1">
        <v>46816</v>
      </c>
      <c r="G135">
        <f t="shared" ca="1" si="17"/>
        <v>733</v>
      </c>
      <c r="H135" t="str">
        <f t="shared" ca="1" si="18"/>
        <v>Active</v>
      </c>
      <c r="I135">
        <f t="shared" ca="1" si="19"/>
        <v>0</v>
      </c>
      <c r="J135" t="str">
        <f t="shared" si="20"/>
        <v>Safety</v>
      </c>
    </row>
    <row r="136" spans="1:10">
      <c r="A136" t="str" cm="1">
        <f t="array" ref="A136">INDEX(Vendor_Master!$A$2:$A$401, ROUNDUP((ROW()-1)/4, 0))</f>
        <v>VND-034</v>
      </c>
      <c r="B136" t="str">
        <f t="shared" si="14"/>
        <v>Environmental Policy</v>
      </c>
      <c r="C136" t="str">
        <f t="shared" si="15"/>
        <v>Yes</v>
      </c>
      <c r="D136" t="str">
        <f t="shared" si="16"/>
        <v>Yes</v>
      </c>
      <c r="E136" s="1">
        <v>45460</v>
      </c>
      <c r="F136" s="1">
        <v>46571</v>
      </c>
      <c r="G136">
        <f t="shared" ca="1" si="17"/>
        <v>488</v>
      </c>
      <c r="H136" t="str">
        <f t="shared" ca="1" si="18"/>
        <v>Active</v>
      </c>
      <c r="I136">
        <f t="shared" ca="1" si="19"/>
        <v>0</v>
      </c>
      <c r="J136" t="str">
        <f t="shared" si="20"/>
        <v>Environmental</v>
      </c>
    </row>
    <row r="137" spans="1:10">
      <c r="A137" t="str" cm="1">
        <f t="array" ref="A137">INDEX(Vendor_Master!$A$2:$A$401, ROUNDUP((ROW()-1)/4, 0))</f>
        <v>VND-034</v>
      </c>
      <c r="B137" t="str">
        <f t="shared" si="14"/>
        <v>Sustainability Disclosure</v>
      </c>
      <c r="C137" t="str">
        <f t="shared" si="15"/>
        <v>Yes</v>
      </c>
      <c r="D137" t="str">
        <f t="shared" si="16"/>
        <v>Yes</v>
      </c>
      <c r="E137" s="1">
        <v>45506</v>
      </c>
      <c r="F137" s="1">
        <v>46621</v>
      </c>
      <c r="G137">
        <f t="shared" ca="1" si="17"/>
        <v>538</v>
      </c>
      <c r="H137" t="str">
        <f t="shared" ca="1" si="18"/>
        <v>Active</v>
      </c>
      <c r="I137">
        <f t="shared" ca="1" si="19"/>
        <v>0</v>
      </c>
      <c r="J137" t="str">
        <f t="shared" si="20"/>
        <v>Environmental</v>
      </c>
    </row>
    <row r="138" spans="1:10">
      <c r="A138" t="str" cm="1">
        <f t="array" ref="A138">INDEX(Vendor_Master!$A$2:$A$401, ROUNDUP((ROW()-1)/4, 0))</f>
        <v>VND-035</v>
      </c>
      <c r="B138" t="str">
        <f t="shared" si="14"/>
        <v>ISO 14001</v>
      </c>
      <c r="C138" t="str">
        <f t="shared" si="15"/>
        <v>Yes</v>
      </c>
      <c r="D138" t="str">
        <f t="shared" si="16"/>
        <v>Yes</v>
      </c>
      <c r="E138" s="1">
        <v>45935</v>
      </c>
      <c r="F138" s="1">
        <v>46749</v>
      </c>
      <c r="G138">
        <f t="shared" ca="1" si="17"/>
        <v>666</v>
      </c>
      <c r="H138" t="str">
        <f t="shared" ca="1" si="18"/>
        <v>Active</v>
      </c>
      <c r="I138">
        <f t="shared" ca="1" si="19"/>
        <v>0</v>
      </c>
      <c r="J138" t="str">
        <f t="shared" si="20"/>
        <v>Environmental</v>
      </c>
    </row>
    <row r="139" spans="1:10">
      <c r="A139" t="str" cm="1">
        <f t="array" ref="A139">INDEX(Vendor_Master!$A$2:$A$401, ROUNDUP((ROW()-1)/4, 0))</f>
        <v>VND-035</v>
      </c>
      <c r="B139" t="str">
        <f t="shared" si="14"/>
        <v>Safety Certificate</v>
      </c>
      <c r="C139" t="str">
        <f t="shared" si="15"/>
        <v>Yes</v>
      </c>
      <c r="D139" t="str">
        <f t="shared" si="16"/>
        <v>Yes</v>
      </c>
      <c r="E139" s="1">
        <v>46028</v>
      </c>
      <c r="F139" s="1">
        <v>46307</v>
      </c>
      <c r="G139">
        <f t="shared" ca="1" si="17"/>
        <v>224</v>
      </c>
      <c r="H139" t="str">
        <f t="shared" ca="1" si="18"/>
        <v>Active</v>
      </c>
      <c r="I139">
        <f t="shared" ca="1" si="19"/>
        <v>0</v>
      </c>
      <c r="J139" t="str">
        <f t="shared" si="20"/>
        <v>Safety</v>
      </c>
    </row>
    <row r="140" spans="1:10">
      <c r="A140" t="str" cm="1">
        <f t="array" ref="A140">INDEX(Vendor_Master!$A$2:$A$401, ROUNDUP((ROW()-1)/4, 0))</f>
        <v>VND-035</v>
      </c>
      <c r="B140" t="str">
        <f t="shared" si="14"/>
        <v>Environmental Policy</v>
      </c>
      <c r="C140" t="str">
        <f t="shared" si="15"/>
        <v>Yes</v>
      </c>
      <c r="D140" t="str">
        <f t="shared" si="16"/>
        <v>Yes</v>
      </c>
      <c r="E140" s="1">
        <v>45543</v>
      </c>
      <c r="F140" s="1">
        <v>46537</v>
      </c>
      <c r="G140">
        <f t="shared" ca="1" si="17"/>
        <v>454</v>
      </c>
      <c r="H140" t="str">
        <f t="shared" ca="1" si="18"/>
        <v>Active</v>
      </c>
      <c r="I140">
        <f t="shared" ca="1" si="19"/>
        <v>0</v>
      </c>
      <c r="J140" t="str">
        <f t="shared" si="20"/>
        <v>Environmental</v>
      </c>
    </row>
    <row r="141" spans="1:10">
      <c r="A141" t="str" cm="1">
        <f t="array" ref="A141">INDEX(Vendor_Master!$A$2:$A$401, ROUNDUP((ROW()-1)/4, 0))</f>
        <v>VND-035</v>
      </c>
      <c r="B141" t="str">
        <f t="shared" si="14"/>
        <v>Sustainability Disclosure</v>
      </c>
      <c r="C141" t="str">
        <f t="shared" si="15"/>
        <v>Yes</v>
      </c>
      <c r="D141" t="str">
        <f t="shared" si="16"/>
        <v>Yes</v>
      </c>
      <c r="E141" s="1">
        <v>45513</v>
      </c>
      <c r="F141" s="1">
        <v>46460</v>
      </c>
      <c r="G141">
        <f t="shared" ca="1" si="17"/>
        <v>377</v>
      </c>
      <c r="H141" t="str">
        <f t="shared" ca="1" si="18"/>
        <v>Active</v>
      </c>
      <c r="I141">
        <f t="shared" ca="1" si="19"/>
        <v>0</v>
      </c>
      <c r="J141" t="str">
        <f t="shared" si="20"/>
        <v>Environmental</v>
      </c>
    </row>
    <row r="142" spans="1:10">
      <c r="A142" t="str" cm="1">
        <f t="array" ref="A142">INDEX(Vendor_Master!$A$2:$A$401, ROUNDUP((ROW()-1)/4, 0))</f>
        <v>VND-036</v>
      </c>
      <c r="B142" t="str">
        <f t="shared" si="14"/>
        <v>ISO 14001</v>
      </c>
      <c r="C142" t="str">
        <f t="shared" si="15"/>
        <v>Yes</v>
      </c>
      <c r="D142" t="str">
        <f t="shared" si="16"/>
        <v>Yes</v>
      </c>
      <c r="E142" s="1">
        <v>45425</v>
      </c>
      <c r="F142" s="1">
        <v>46323</v>
      </c>
      <c r="G142">
        <f t="shared" ca="1" si="17"/>
        <v>240</v>
      </c>
      <c r="H142" t="str">
        <f t="shared" ca="1" si="18"/>
        <v>Active</v>
      </c>
      <c r="I142">
        <f t="shared" ca="1" si="19"/>
        <v>0</v>
      </c>
      <c r="J142" t="str">
        <f t="shared" si="20"/>
        <v>Environmental</v>
      </c>
    </row>
    <row r="143" spans="1:10">
      <c r="A143" t="str" cm="1">
        <f t="array" ref="A143">INDEX(Vendor_Master!$A$2:$A$401, ROUNDUP((ROW()-1)/4, 0))</f>
        <v>VND-036</v>
      </c>
      <c r="B143" t="str">
        <f t="shared" si="14"/>
        <v>Safety Certificate</v>
      </c>
      <c r="C143" t="str">
        <f t="shared" si="15"/>
        <v>Yes</v>
      </c>
      <c r="D143" t="str">
        <f t="shared" si="16"/>
        <v>Yes</v>
      </c>
      <c r="E143" s="1">
        <v>46019</v>
      </c>
      <c r="F143" s="1">
        <v>46924</v>
      </c>
      <c r="G143">
        <f t="shared" ca="1" si="17"/>
        <v>841</v>
      </c>
      <c r="H143" t="str">
        <f t="shared" ca="1" si="18"/>
        <v>Active</v>
      </c>
      <c r="I143">
        <f t="shared" ca="1" si="19"/>
        <v>0</v>
      </c>
      <c r="J143" t="str">
        <f t="shared" si="20"/>
        <v>Safety</v>
      </c>
    </row>
    <row r="144" spans="1:10">
      <c r="A144" t="str" cm="1">
        <f t="array" ref="A144">INDEX(Vendor_Master!$A$2:$A$401, ROUNDUP((ROW()-1)/4, 0))</f>
        <v>VND-036</v>
      </c>
      <c r="B144" t="str">
        <f t="shared" si="14"/>
        <v>Environmental Policy</v>
      </c>
      <c r="C144" t="str">
        <f t="shared" si="15"/>
        <v>Yes</v>
      </c>
      <c r="D144" t="str">
        <f t="shared" si="16"/>
        <v>Yes</v>
      </c>
      <c r="E144" s="1">
        <v>45947</v>
      </c>
      <c r="F144" s="1">
        <v>46412</v>
      </c>
      <c r="G144">
        <f t="shared" ca="1" si="17"/>
        <v>329</v>
      </c>
      <c r="H144" t="str">
        <f t="shared" ca="1" si="18"/>
        <v>Active</v>
      </c>
      <c r="I144">
        <f t="shared" ca="1" si="19"/>
        <v>0</v>
      </c>
      <c r="J144" t="str">
        <f t="shared" si="20"/>
        <v>Environmental</v>
      </c>
    </row>
    <row r="145" spans="1:10">
      <c r="A145" t="str" cm="1">
        <f t="array" ref="A145">INDEX(Vendor_Master!$A$2:$A$401, ROUNDUP((ROW()-1)/4, 0))</f>
        <v>VND-036</v>
      </c>
      <c r="B145" t="str">
        <f t="shared" si="14"/>
        <v>Sustainability Disclosure</v>
      </c>
      <c r="C145" t="str">
        <f t="shared" si="15"/>
        <v>Yes</v>
      </c>
      <c r="D145" t="str">
        <f t="shared" si="16"/>
        <v>Yes</v>
      </c>
      <c r="E145" s="1">
        <v>45598</v>
      </c>
      <c r="F145" s="1">
        <v>46719</v>
      </c>
      <c r="G145">
        <f t="shared" ca="1" si="17"/>
        <v>636</v>
      </c>
      <c r="H145" t="str">
        <f t="shared" ca="1" si="18"/>
        <v>Active</v>
      </c>
      <c r="I145">
        <f t="shared" ca="1" si="19"/>
        <v>0</v>
      </c>
      <c r="J145" t="str">
        <f t="shared" si="20"/>
        <v>Environmental</v>
      </c>
    </row>
    <row r="146" spans="1:10">
      <c r="A146" t="str" cm="1">
        <f t="array" ref="A146">INDEX(Vendor_Master!$A$2:$A$401, ROUNDUP((ROW()-1)/4, 0))</f>
        <v>VND-037</v>
      </c>
      <c r="B146" t="str">
        <f t="shared" si="14"/>
        <v>ISO 14001</v>
      </c>
      <c r="C146" t="str">
        <f t="shared" si="15"/>
        <v>Yes</v>
      </c>
      <c r="D146" t="str">
        <f t="shared" si="16"/>
        <v>Yes</v>
      </c>
      <c r="E146" s="1">
        <v>46029</v>
      </c>
      <c r="F146" s="1">
        <v>46947</v>
      </c>
      <c r="G146">
        <f t="shared" ca="1" si="17"/>
        <v>864</v>
      </c>
      <c r="H146" t="str">
        <f t="shared" ca="1" si="18"/>
        <v>Active</v>
      </c>
      <c r="I146">
        <f t="shared" ca="1" si="19"/>
        <v>0</v>
      </c>
      <c r="J146" t="str">
        <f t="shared" si="20"/>
        <v>Environmental</v>
      </c>
    </row>
    <row r="147" spans="1:10">
      <c r="A147" t="str" cm="1">
        <f t="array" ref="A147">INDEX(Vendor_Master!$A$2:$A$401, ROUNDUP((ROW()-1)/4, 0))</f>
        <v>VND-037</v>
      </c>
      <c r="B147" t="str">
        <f t="shared" si="14"/>
        <v>Safety Certificate</v>
      </c>
      <c r="C147" t="str">
        <f t="shared" si="15"/>
        <v>Yes</v>
      </c>
      <c r="D147" t="str">
        <f t="shared" si="16"/>
        <v>Yes</v>
      </c>
      <c r="E147" s="1">
        <v>45906</v>
      </c>
      <c r="F147" s="1">
        <v>46252</v>
      </c>
      <c r="G147">
        <f t="shared" ca="1" si="17"/>
        <v>169</v>
      </c>
      <c r="H147" t="str">
        <f t="shared" ca="1" si="18"/>
        <v>Active</v>
      </c>
      <c r="I147">
        <f t="shared" ca="1" si="19"/>
        <v>0</v>
      </c>
      <c r="J147" t="str">
        <f t="shared" si="20"/>
        <v>Safety</v>
      </c>
    </row>
    <row r="148" spans="1:10">
      <c r="A148" t="str" cm="1">
        <f t="array" ref="A148">INDEX(Vendor_Master!$A$2:$A$401, ROUNDUP((ROW()-1)/4, 0))</f>
        <v>VND-037</v>
      </c>
      <c r="B148" t="str">
        <f t="shared" si="14"/>
        <v>Environmental Policy</v>
      </c>
      <c r="C148" t="str">
        <f t="shared" si="15"/>
        <v>Yes</v>
      </c>
      <c r="D148" t="str">
        <f t="shared" si="16"/>
        <v>Yes</v>
      </c>
      <c r="E148" s="1">
        <v>45637</v>
      </c>
      <c r="F148" s="1">
        <v>46462</v>
      </c>
      <c r="G148">
        <f t="shared" ca="1" si="17"/>
        <v>379</v>
      </c>
      <c r="H148" t="str">
        <f t="shared" ca="1" si="18"/>
        <v>Active</v>
      </c>
      <c r="I148">
        <f t="shared" ca="1" si="19"/>
        <v>0</v>
      </c>
      <c r="J148" t="str">
        <f t="shared" si="20"/>
        <v>Environmental</v>
      </c>
    </row>
    <row r="149" spans="1:10">
      <c r="A149" t="str" cm="1">
        <f t="array" ref="A149">INDEX(Vendor_Master!$A$2:$A$401, ROUNDUP((ROW()-1)/4, 0))</f>
        <v>VND-037</v>
      </c>
      <c r="B149" t="str">
        <f t="shared" si="14"/>
        <v>Sustainability Disclosure</v>
      </c>
      <c r="C149" t="str">
        <f t="shared" si="15"/>
        <v>Yes</v>
      </c>
      <c r="D149" t="str">
        <f t="shared" si="16"/>
        <v>Yes</v>
      </c>
      <c r="E149" s="1">
        <v>45626</v>
      </c>
      <c r="F149" s="1">
        <v>46470</v>
      </c>
      <c r="G149">
        <f t="shared" ca="1" si="17"/>
        <v>387</v>
      </c>
      <c r="H149" t="str">
        <f t="shared" ca="1" si="18"/>
        <v>Active</v>
      </c>
      <c r="I149">
        <f t="shared" ca="1" si="19"/>
        <v>0</v>
      </c>
      <c r="J149" t="str">
        <f t="shared" si="20"/>
        <v>Environmental</v>
      </c>
    </row>
    <row r="150" spans="1:10">
      <c r="A150" t="str" cm="1">
        <f t="array" ref="A150">INDEX(Vendor_Master!$A$2:$A$401, ROUNDUP((ROW()-1)/4, 0))</f>
        <v>VND-038</v>
      </c>
      <c r="B150" t="str">
        <f t="shared" si="14"/>
        <v>ISO 14001</v>
      </c>
      <c r="C150" t="str">
        <f t="shared" si="15"/>
        <v>Yes</v>
      </c>
      <c r="D150" t="str">
        <f t="shared" si="16"/>
        <v>Yes</v>
      </c>
      <c r="E150" s="1">
        <v>45496</v>
      </c>
      <c r="F150" s="1">
        <v>46829</v>
      </c>
      <c r="G150">
        <f t="shared" ca="1" si="17"/>
        <v>746</v>
      </c>
      <c r="H150" t="str">
        <f t="shared" ca="1" si="18"/>
        <v>Active</v>
      </c>
      <c r="I150">
        <f t="shared" ca="1" si="19"/>
        <v>0</v>
      </c>
      <c r="J150" t="str">
        <f t="shared" si="20"/>
        <v>Environmental</v>
      </c>
    </row>
    <row r="151" spans="1:10">
      <c r="A151" t="str" cm="1">
        <f t="array" ref="A151">INDEX(Vendor_Master!$A$2:$A$401, ROUNDUP((ROW()-1)/4, 0))</f>
        <v>VND-038</v>
      </c>
      <c r="B151" t="str">
        <f t="shared" si="14"/>
        <v>Safety Certificate</v>
      </c>
      <c r="C151" t="str">
        <f t="shared" si="15"/>
        <v>Yes</v>
      </c>
      <c r="D151" t="str">
        <f t="shared" si="16"/>
        <v>Yes</v>
      </c>
      <c r="E151" s="1">
        <v>46017</v>
      </c>
      <c r="F151" s="1">
        <v>46738</v>
      </c>
      <c r="G151">
        <f t="shared" ca="1" si="17"/>
        <v>655</v>
      </c>
      <c r="H151" t="str">
        <f t="shared" ca="1" si="18"/>
        <v>Active</v>
      </c>
      <c r="I151">
        <f t="shared" ca="1" si="19"/>
        <v>0</v>
      </c>
      <c r="J151" t="str">
        <f t="shared" si="20"/>
        <v>Safety</v>
      </c>
    </row>
    <row r="152" spans="1:10">
      <c r="A152" t="str" cm="1">
        <f t="array" ref="A152">INDEX(Vendor_Master!$A$2:$A$401, ROUNDUP((ROW()-1)/4, 0))</f>
        <v>VND-038</v>
      </c>
      <c r="B152" t="str">
        <f t="shared" si="14"/>
        <v>Environmental Policy</v>
      </c>
      <c r="C152" t="str">
        <f t="shared" si="15"/>
        <v>Yes</v>
      </c>
      <c r="D152" t="str">
        <f t="shared" si="16"/>
        <v>Yes</v>
      </c>
      <c r="E152" s="1">
        <v>45749</v>
      </c>
      <c r="F152" s="1">
        <v>46381</v>
      </c>
      <c r="G152">
        <f t="shared" ca="1" si="17"/>
        <v>298</v>
      </c>
      <c r="H152" t="str">
        <f t="shared" ca="1" si="18"/>
        <v>Active</v>
      </c>
      <c r="I152">
        <f t="shared" ca="1" si="19"/>
        <v>0</v>
      </c>
      <c r="J152" t="str">
        <f t="shared" si="20"/>
        <v>Environmental</v>
      </c>
    </row>
    <row r="153" spans="1:10">
      <c r="A153" t="str" cm="1">
        <f t="array" ref="A153">INDEX(Vendor_Master!$A$2:$A$401, ROUNDUP((ROW()-1)/4, 0))</f>
        <v>VND-038</v>
      </c>
      <c r="B153" t="str">
        <f t="shared" si="14"/>
        <v>Sustainability Disclosure</v>
      </c>
      <c r="C153" t="str">
        <f t="shared" si="15"/>
        <v>Yes</v>
      </c>
      <c r="D153" t="str">
        <f t="shared" si="16"/>
        <v>Yes</v>
      </c>
      <c r="E153" s="1">
        <v>45969</v>
      </c>
      <c r="F153" s="1">
        <v>46771</v>
      </c>
      <c r="G153">
        <f t="shared" ca="1" si="17"/>
        <v>688</v>
      </c>
      <c r="H153" t="str">
        <f t="shared" ca="1" si="18"/>
        <v>Active</v>
      </c>
      <c r="I153">
        <f t="shared" ca="1" si="19"/>
        <v>0</v>
      </c>
      <c r="J153" t="str">
        <f t="shared" si="20"/>
        <v>Environmental</v>
      </c>
    </row>
    <row r="154" spans="1:10">
      <c r="A154" t="str" cm="1">
        <f t="array" ref="A154">INDEX(Vendor_Master!$A$2:$A$401, ROUNDUP((ROW()-1)/4, 0))</f>
        <v>VND-039</v>
      </c>
      <c r="B154" t="str">
        <f t="shared" si="14"/>
        <v>ISO 14001</v>
      </c>
      <c r="C154" t="str">
        <f t="shared" si="15"/>
        <v>Yes</v>
      </c>
      <c r="D154" t="str">
        <f t="shared" si="16"/>
        <v>Yes</v>
      </c>
      <c r="E154" s="1">
        <v>45557</v>
      </c>
      <c r="F154" s="1">
        <v>46533</v>
      </c>
      <c r="G154">
        <f t="shared" ca="1" si="17"/>
        <v>450</v>
      </c>
      <c r="H154" t="str">
        <f t="shared" ca="1" si="18"/>
        <v>Active</v>
      </c>
      <c r="I154">
        <f t="shared" ca="1" si="19"/>
        <v>0</v>
      </c>
      <c r="J154" t="str">
        <f t="shared" si="20"/>
        <v>Environmental</v>
      </c>
    </row>
    <row r="155" spans="1:10">
      <c r="A155" t="str" cm="1">
        <f t="array" ref="A155">INDEX(Vendor_Master!$A$2:$A$401, ROUNDUP((ROW()-1)/4, 0))</f>
        <v>VND-039</v>
      </c>
      <c r="B155" t="str">
        <f t="shared" si="14"/>
        <v>Safety Certificate</v>
      </c>
      <c r="C155" t="str">
        <f t="shared" si="15"/>
        <v>Yes</v>
      </c>
      <c r="D155" t="str">
        <f t="shared" si="16"/>
        <v>Yes</v>
      </c>
      <c r="E155" s="1">
        <v>45454</v>
      </c>
      <c r="F155" s="1">
        <v>46623</v>
      </c>
      <c r="G155">
        <f t="shared" ca="1" si="17"/>
        <v>540</v>
      </c>
      <c r="H155" t="str">
        <f t="shared" ca="1" si="18"/>
        <v>Active</v>
      </c>
      <c r="I155">
        <f t="shared" ca="1" si="19"/>
        <v>0</v>
      </c>
      <c r="J155" t="str">
        <f t="shared" si="20"/>
        <v>Safety</v>
      </c>
    </row>
    <row r="156" spans="1:10">
      <c r="A156" t="str" cm="1">
        <f t="array" ref="A156">INDEX(Vendor_Master!$A$2:$A$401, ROUNDUP((ROW()-1)/4, 0))</f>
        <v>VND-039</v>
      </c>
      <c r="B156" t="str">
        <f t="shared" si="14"/>
        <v>Environmental Policy</v>
      </c>
      <c r="C156" t="str">
        <f t="shared" si="15"/>
        <v>Yes</v>
      </c>
      <c r="D156" t="str">
        <f t="shared" si="16"/>
        <v>Yes</v>
      </c>
      <c r="E156" s="1">
        <v>45655</v>
      </c>
      <c r="F156" s="1">
        <v>46751</v>
      </c>
      <c r="G156">
        <f t="shared" ca="1" si="17"/>
        <v>668</v>
      </c>
      <c r="H156" t="str">
        <f t="shared" ca="1" si="18"/>
        <v>Active</v>
      </c>
      <c r="I156">
        <f t="shared" ca="1" si="19"/>
        <v>0</v>
      </c>
      <c r="J156" t="str">
        <f t="shared" si="20"/>
        <v>Environmental</v>
      </c>
    </row>
    <row r="157" spans="1:10">
      <c r="A157" t="str" cm="1">
        <f t="array" ref="A157">INDEX(Vendor_Master!$A$2:$A$401, ROUNDUP((ROW()-1)/4, 0))</f>
        <v>VND-039</v>
      </c>
      <c r="B157" t="str">
        <f t="shared" si="14"/>
        <v>Sustainability Disclosure</v>
      </c>
      <c r="C157" t="str">
        <f t="shared" si="15"/>
        <v>Yes</v>
      </c>
      <c r="D157" t="str">
        <f t="shared" si="16"/>
        <v>Yes</v>
      </c>
      <c r="E157" s="1">
        <v>46026</v>
      </c>
      <c r="F157" s="1">
        <v>46972</v>
      </c>
      <c r="G157">
        <f t="shared" ca="1" si="17"/>
        <v>889</v>
      </c>
      <c r="H157" t="str">
        <f t="shared" ca="1" si="18"/>
        <v>Active</v>
      </c>
      <c r="I157">
        <f t="shared" ca="1" si="19"/>
        <v>0</v>
      </c>
      <c r="J157" t="str">
        <f t="shared" si="20"/>
        <v>Environmental</v>
      </c>
    </row>
    <row r="158" spans="1:10">
      <c r="A158" t="str" cm="1">
        <f t="array" ref="A158">INDEX(Vendor_Master!$A$2:$A$401, ROUNDUP((ROW()-1)/4, 0))</f>
        <v>VND-040</v>
      </c>
      <c r="B158" t="str">
        <f t="shared" si="14"/>
        <v>ISO 14001</v>
      </c>
      <c r="C158" t="str">
        <f t="shared" si="15"/>
        <v>Yes</v>
      </c>
      <c r="D158" t="str">
        <f t="shared" si="16"/>
        <v>Yes</v>
      </c>
      <c r="E158" s="1">
        <v>45790</v>
      </c>
      <c r="F158" s="1">
        <v>46737</v>
      </c>
      <c r="G158">
        <f t="shared" ca="1" si="17"/>
        <v>654</v>
      </c>
      <c r="H158" t="str">
        <f t="shared" ca="1" si="18"/>
        <v>Active</v>
      </c>
      <c r="I158">
        <f t="shared" ca="1" si="19"/>
        <v>0</v>
      </c>
      <c r="J158" t="str">
        <f t="shared" si="20"/>
        <v>Environmental</v>
      </c>
    </row>
    <row r="159" spans="1:10">
      <c r="A159" t="str" cm="1">
        <f t="array" ref="A159">INDEX(Vendor_Master!$A$2:$A$401, ROUNDUP((ROW()-1)/4, 0))</f>
        <v>VND-040</v>
      </c>
      <c r="B159" t="str">
        <f t="shared" si="14"/>
        <v>Safety Certificate</v>
      </c>
      <c r="C159" t="str">
        <f t="shared" si="15"/>
        <v>Yes</v>
      </c>
      <c r="D159" t="str">
        <f t="shared" si="16"/>
        <v>Yes</v>
      </c>
      <c r="E159" s="1">
        <v>45502</v>
      </c>
      <c r="F159" s="1">
        <v>46917</v>
      </c>
      <c r="G159">
        <f t="shared" ca="1" si="17"/>
        <v>834</v>
      </c>
      <c r="H159" t="str">
        <f t="shared" ca="1" si="18"/>
        <v>Active</v>
      </c>
      <c r="I159">
        <f t="shared" ca="1" si="19"/>
        <v>0</v>
      </c>
      <c r="J159" t="str">
        <f t="shared" si="20"/>
        <v>Safety</v>
      </c>
    </row>
    <row r="160" spans="1:10">
      <c r="A160" t="str" cm="1">
        <f t="array" ref="A160">INDEX(Vendor_Master!$A$2:$A$401, ROUNDUP((ROW()-1)/4, 0))</f>
        <v>VND-040</v>
      </c>
      <c r="B160" t="str">
        <f t="shared" si="14"/>
        <v>Environmental Policy</v>
      </c>
      <c r="C160" t="str">
        <f t="shared" si="15"/>
        <v>Yes</v>
      </c>
      <c r="D160" t="str">
        <f t="shared" si="16"/>
        <v>Yes</v>
      </c>
      <c r="E160" s="1">
        <v>46071</v>
      </c>
      <c r="F160" s="1">
        <v>46812</v>
      </c>
      <c r="G160">
        <f t="shared" ca="1" si="17"/>
        <v>729</v>
      </c>
      <c r="H160" t="str">
        <f t="shared" ca="1" si="18"/>
        <v>Active</v>
      </c>
      <c r="I160">
        <f t="shared" ca="1" si="19"/>
        <v>0</v>
      </c>
      <c r="J160" t="str">
        <f t="shared" si="20"/>
        <v>Environmental</v>
      </c>
    </row>
    <row r="161" spans="1:10">
      <c r="A161" t="str" cm="1">
        <f t="array" ref="A161">INDEX(Vendor_Master!$A$2:$A$401, ROUNDUP((ROW()-1)/4, 0))</f>
        <v>VND-040</v>
      </c>
      <c r="B161" t="str">
        <f t="shared" si="14"/>
        <v>Sustainability Disclosure</v>
      </c>
      <c r="C161" t="str">
        <f t="shared" si="15"/>
        <v>Yes</v>
      </c>
      <c r="D161" t="str">
        <f t="shared" si="16"/>
        <v>Yes</v>
      </c>
      <c r="E161" s="1">
        <v>45861</v>
      </c>
      <c r="F161" s="1">
        <v>46905</v>
      </c>
      <c r="G161">
        <f t="shared" ca="1" si="17"/>
        <v>822</v>
      </c>
      <c r="H161" t="str">
        <f t="shared" ca="1" si="18"/>
        <v>Active</v>
      </c>
      <c r="I161">
        <f t="shared" ca="1" si="19"/>
        <v>0</v>
      </c>
      <c r="J161" t="str">
        <f t="shared" si="20"/>
        <v>Environmental</v>
      </c>
    </row>
    <row r="162" spans="1:10">
      <c r="A162" t="str" cm="1">
        <f t="array" ref="A162">INDEX(Vendor_Master!$A$2:$A$401, ROUNDUP((ROW()-1)/4, 0))</f>
        <v>VND-041</v>
      </c>
      <c r="B162" t="str">
        <f t="shared" si="14"/>
        <v>ISO 14001</v>
      </c>
      <c r="C162" t="str">
        <f t="shared" si="15"/>
        <v>Yes</v>
      </c>
      <c r="D162" t="str">
        <f t="shared" si="16"/>
        <v>Yes</v>
      </c>
      <c r="E162" s="1">
        <v>45643</v>
      </c>
      <c r="F162" s="1">
        <v>46782</v>
      </c>
      <c r="G162">
        <f t="shared" ca="1" si="17"/>
        <v>699</v>
      </c>
      <c r="H162" t="str">
        <f t="shared" ca="1" si="18"/>
        <v>Active</v>
      </c>
      <c r="I162">
        <f t="shared" ca="1" si="19"/>
        <v>0</v>
      </c>
      <c r="J162" t="str">
        <f t="shared" si="20"/>
        <v>Environmental</v>
      </c>
    </row>
    <row r="163" spans="1:10">
      <c r="A163" t="str" cm="1">
        <f t="array" ref="A163">INDEX(Vendor_Master!$A$2:$A$401, ROUNDUP((ROW()-1)/4, 0))</f>
        <v>VND-041</v>
      </c>
      <c r="B163" t="str">
        <f t="shared" si="14"/>
        <v>Safety Certificate</v>
      </c>
      <c r="C163" t="str">
        <f t="shared" si="15"/>
        <v>Yes</v>
      </c>
      <c r="D163" t="str">
        <f t="shared" si="16"/>
        <v>Yes</v>
      </c>
      <c r="E163" s="1">
        <v>45402</v>
      </c>
      <c r="F163" s="1">
        <v>46593</v>
      </c>
      <c r="G163">
        <f t="shared" ca="1" si="17"/>
        <v>510</v>
      </c>
      <c r="H163" t="str">
        <f t="shared" ca="1" si="18"/>
        <v>Active</v>
      </c>
      <c r="I163">
        <f t="shared" ca="1" si="19"/>
        <v>0</v>
      </c>
      <c r="J163" t="str">
        <f t="shared" si="20"/>
        <v>Safety</v>
      </c>
    </row>
    <row r="164" spans="1:10">
      <c r="A164" t="str" cm="1">
        <f t="array" ref="A164">INDEX(Vendor_Master!$A$2:$A$401, ROUNDUP((ROW()-1)/4, 0))</f>
        <v>VND-041</v>
      </c>
      <c r="B164" t="str">
        <f t="shared" si="14"/>
        <v>Environmental Policy</v>
      </c>
      <c r="C164" t="str">
        <f t="shared" si="15"/>
        <v>Yes</v>
      </c>
      <c r="D164" t="str">
        <f t="shared" si="16"/>
        <v>Yes</v>
      </c>
      <c r="E164" s="1">
        <v>45550</v>
      </c>
      <c r="F164" s="1">
        <v>46392</v>
      </c>
      <c r="G164">
        <f t="shared" ca="1" si="17"/>
        <v>309</v>
      </c>
      <c r="H164" t="str">
        <f t="shared" ca="1" si="18"/>
        <v>Active</v>
      </c>
      <c r="I164">
        <f t="shared" ca="1" si="19"/>
        <v>0</v>
      </c>
      <c r="J164" t="str">
        <f t="shared" si="20"/>
        <v>Environmental</v>
      </c>
    </row>
    <row r="165" spans="1:10">
      <c r="A165" t="str" cm="1">
        <f t="array" ref="A165">INDEX(Vendor_Master!$A$2:$A$401, ROUNDUP((ROW()-1)/4, 0))</f>
        <v>VND-041</v>
      </c>
      <c r="B165" t="str">
        <f t="shared" si="14"/>
        <v>Sustainability Disclosure</v>
      </c>
      <c r="C165" t="str">
        <f t="shared" si="15"/>
        <v>Yes</v>
      </c>
      <c r="D165" t="str">
        <f t="shared" si="16"/>
        <v>Yes</v>
      </c>
      <c r="E165" s="1">
        <v>45834</v>
      </c>
      <c r="F165" s="1">
        <v>46630</v>
      </c>
      <c r="G165">
        <f t="shared" ca="1" si="17"/>
        <v>547</v>
      </c>
      <c r="H165" t="str">
        <f t="shared" ca="1" si="18"/>
        <v>Active</v>
      </c>
      <c r="I165">
        <f t="shared" ca="1" si="19"/>
        <v>0</v>
      </c>
      <c r="J165" t="str">
        <f t="shared" si="20"/>
        <v>Environmental</v>
      </c>
    </row>
    <row r="166" spans="1:10">
      <c r="A166" t="str" cm="1">
        <f t="array" ref="A166">INDEX(Vendor_Master!$A$2:$A$401, ROUNDUP((ROW()-1)/4, 0))</f>
        <v>VND-042</v>
      </c>
      <c r="B166" t="str">
        <f t="shared" si="14"/>
        <v>ISO 14001</v>
      </c>
      <c r="C166" t="str">
        <f t="shared" si="15"/>
        <v>Yes</v>
      </c>
      <c r="D166" t="str">
        <f t="shared" si="16"/>
        <v>Yes</v>
      </c>
      <c r="E166" s="1">
        <v>45463</v>
      </c>
      <c r="F166" s="1">
        <v>46448</v>
      </c>
      <c r="G166">
        <f t="shared" ca="1" si="17"/>
        <v>365</v>
      </c>
      <c r="H166" t="str">
        <f t="shared" ca="1" si="18"/>
        <v>Active</v>
      </c>
      <c r="I166">
        <f t="shared" ca="1" si="19"/>
        <v>0</v>
      </c>
      <c r="J166" t="str">
        <f t="shared" si="20"/>
        <v>Environmental</v>
      </c>
    </row>
    <row r="167" spans="1:10">
      <c r="A167" t="str" cm="1">
        <f t="array" ref="A167">INDEX(Vendor_Master!$A$2:$A$401, ROUNDUP((ROW()-1)/4, 0))</f>
        <v>VND-042</v>
      </c>
      <c r="B167" t="str">
        <f t="shared" si="14"/>
        <v>Safety Certificate</v>
      </c>
      <c r="C167" t="str">
        <f t="shared" si="15"/>
        <v>Yes</v>
      </c>
      <c r="D167" t="str">
        <f t="shared" si="16"/>
        <v>Yes</v>
      </c>
      <c r="E167" s="1">
        <v>45769</v>
      </c>
      <c r="F167" s="1">
        <v>46539</v>
      </c>
      <c r="G167">
        <f t="shared" ca="1" si="17"/>
        <v>456</v>
      </c>
      <c r="H167" t="str">
        <f t="shared" ca="1" si="18"/>
        <v>Active</v>
      </c>
      <c r="I167">
        <f t="shared" ca="1" si="19"/>
        <v>0</v>
      </c>
      <c r="J167" t="str">
        <f t="shared" si="20"/>
        <v>Safety</v>
      </c>
    </row>
    <row r="168" spans="1:10">
      <c r="A168" t="str" cm="1">
        <f t="array" ref="A168">INDEX(Vendor_Master!$A$2:$A$401, ROUNDUP((ROW()-1)/4, 0))</f>
        <v>VND-042</v>
      </c>
      <c r="B168" t="str">
        <f t="shared" si="14"/>
        <v>Environmental Policy</v>
      </c>
      <c r="C168" t="str">
        <f t="shared" si="15"/>
        <v>Yes</v>
      </c>
      <c r="D168" t="str">
        <f t="shared" si="16"/>
        <v>Yes</v>
      </c>
      <c r="E168" s="1">
        <v>46031</v>
      </c>
      <c r="F168" s="1">
        <v>46663</v>
      </c>
      <c r="G168">
        <f t="shared" ca="1" si="17"/>
        <v>580</v>
      </c>
      <c r="H168" t="str">
        <f t="shared" ca="1" si="18"/>
        <v>Active</v>
      </c>
      <c r="I168">
        <f t="shared" ca="1" si="19"/>
        <v>0</v>
      </c>
      <c r="J168" t="str">
        <f t="shared" si="20"/>
        <v>Environmental</v>
      </c>
    </row>
    <row r="169" spans="1:10">
      <c r="A169" t="str" cm="1">
        <f t="array" ref="A169">INDEX(Vendor_Master!$A$2:$A$401, ROUNDUP((ROW()-1)/4, 0))</f>
        <v>VND-042</v>
      </c>
      <c r="B169" t="str">
        <f t="shared" si="14"/>
        <v>Sustainability Disclosure</v>
      </c>
      <c r="C169" t="str">
        <f t="shared" si="15"/>
        <v>Yes</v>
      </c>
      <c r="D169" t="str">
        <f t="shared" si="16"/>
        <v>Yes</v>
      </c>
      <c r="E169" s="1">
        <v>45757</v>
      </c>
      <c r="F169" s="1">
        <v>46353</v>
      </c>
      <c r="G169">
        <f t="shared" ca="1" si="17"/>
        <v>270</v>
      </c>
      <c r="H169" t="str">
        <f t="shared" ca="1" si="18"/>
        <v>Active</v>
      </c>
      <c r="I169">
        <f t="shared" ca="1" si="19"/>
        <v>0</v>
      </c>
      <c r="J169" t="str">
        <f t="shared" si="20"/>
        <v>Environmental</v>
      </c>
    </row>
    <row r="170" spans="1:10">
      <c r="A170" t="str" cm="1">
        <f t="array" ref="A170">INDEX(Vendor_Master!$A$2:$A$401, ROUNDUP((ROW()-1)/4, 0))</f>
        <v>VND-043</v>
      </c>
      <c r="B170" t="str">
        <f t="shared" si="14"/>
        <v>ISO 14001</v>
      </c>
      <c r="C170" t="str">
        <f t="shared" si="15"/>
        <v>Yes</v>
      </c>
      <c r="D170" t="str">
        <f t="shared" si="16"/>
        <v>Yes</v>
      </c>
      <c r="E170" s="1">
        <v>45877</v>
      </c>
      <c r="F170" s="1">
        <v>46601</v>
      </c>
      <c r="G170">
        <f t="shared" ca="1" si="17"/>
        <v>518</v>
      </c>
      <c r="H170" t="str">
        <f t="shared" ca="1" si="18"/>
        <v>Active</v>
      </c>
      <c r="I170">
        <f t="shared" ca="1" si="19"/>
        <v>0</v>
      </c>
      <c r="J170" t="str">
        <f t="shared" si="20"/>
        <v>Environmental</v>
      </c>
    </row>
    <row r="171" spans="1:10">
      <c r="A171" t="str" cm="1">
        <f t="array" ref="A171">INDEX(Vendor_Master!$A$2:$A$401, ROUNDUP((ROW()-1)/4, 0))</f>
        <v>VND-043</v>
      </c>
      <c r="B171" t="str">
        <f t="shared" si="14"/>
        <v>Safety Certificate</v>
      </c>
      <c r="C171" t="str">
        <f t="shared" si="15"/>
        <v>Yes</v>
      </c>
      <c r="D171" t="str">
        <f t="shared" si="16"/>
        <v>Yes</v>
      </c>
      <c r="E171" s="1">
        <v>45614</v>
      </c>
      <c r="F171" s="1">
        <v>46882</v>
      </c>
      <c r="G171">
        <f t="shared" ca="1" si="17"/>
        <v>799</v>
      </c>
      <c r="H171" t="str">
        <f t="shared" ca="1" si="18"/>
        <v>Active</v>
      </c>
      <c r="I171">
        <f t="shared" ca="1" si="19"/>
        <v>0</v>
      </c>
      <c r="J171" t="str">
        <f t="shared" si="20"/>
        <v>Safety</v>
      </c>
    </row>
    <row r="172" spans="1:10">
      <c r="A172" t="str" cm="1">
        <f t="array" ref="A172">INDEX(Vendor_Master!$A$2:$A$401, ROUNDUP((ROW()-1)/4, 0))</f>
        <v>VND-043</v>
      </c>
      <c r="B172" t="str">
        <f t="shared" si="14"/>
        <v>Environmental Policy</v>
      </c>
      <c r="C172" t="str">
        <f t="shared" si="15"/>
        <v>Yes</v>
      </c>
      <c r="D172" t="str">
        <f t="shared" si="16"/>
        <v>Yes</v>
      </c>
      <c r="E172" s="1">
        <v>45561</v>
      </c>
      <c r="F172" s="1">
        <v>46399</v>
      </c>
      <c r="G172">
        <f t="shared" ca="1" si="17"/>
        <v>316</v>
      </c>
      <c r="H172" t="str">
        <f t="shared" ca="1" si="18"/>
        <v>Active</v>
      </c>
      <c r="I172">
        <f t="shared" ca="1" si="19"/>
        <v>0</v>
      </c>
      <c r="J172" t="str">
        <f t="shared" si="20"/>
        <v>Environmental</v>
      </c>
    </row>
    <row r="173" spans="1:10">
      <c r="A173" t="str" cm="1">
        <f t="array" ref="A173">INDEX(Vendor_Master!$A$2:$A$401, ROUNDUP((ROW()-1)/4, 0))</f>
        <v>VND-043</v>
      </c>
      <c r="B173" t="str">
        <f t="shared" si="14"/>
        <v>Sustainability Disclosure</v>
      </c>
      <c r="C173" t="str">
        <f t="shared" si="15"/>
        <v>Yes</v>
      </c>
      <c r="D173" t="str">
        <f t="shared" si="16"/>
        <v>Yes</v>
      </c>
      <c r="E173" s="1">
        <v>45596</v>
      </c>
      <c r="F173" s="1">
        <v>46345</v>
      </c>
      <c r="G173">
        <f t="shared" ca="1" si="17"/>
        <v>262</v>
      </c>
      <c r="H173" t="str">
        <f t="shared" ca="1" si="18"/>
        <v>Active</v>
      </c>
      <c r="I173">
        <f t="shared" ca="1" si="19"/>
        <v>0</v>
      </c>
      <c r="J173" t="str">
        <f t="shared" si="20"/>
        <v>Environmental</v>
      </c>
    </row>
    <row r="174" spans="1:10">
      <c r="A174" t="str" cm="1">
        <f t="array" ref="A174">INDEX(Vendor_Master!$A$2:$A$401, ROUNDUP((ROW()-1)/4, 0))</f>
        <v>VND-044</v>
      </c>
      <c r="B174" t="str">
        <f t="shared" si="14"/>
        <v>ISO 14001</v>
      </c>
      <c r="C174" t="str">
        <f t="shared" si="15"/>
        <v>Yes</v>
      </c>
      <c r="D174" t="str">
        <f t="shared" si="16"/>
        <v>Yes</v>
      </c>
      <c r="E174" s="1">
        <v>46042</v>
      </c>
      <c r="F174" s="1">
        <v>46373</v>
      </c>
      <c r="G174">
        <f t="shared" ca="1" si="17"/>
        <v>290</v>
      </c>
      <c r="H174" t="str">
        <f t="shared" ca="1" si="18"/>
        <v>Active</v>
      </c>
      <c r="I174">
        <f t="shared" ca="1" si="19"/>
        <v>0</v>
      </c>
      <c r="J174" t="str">
        <f t="shared" si="20"/>
        <v>Environmental</v>
      </c>
    </row>
    <row r="175" spans="1:10">
      <c r="A175" t="str" cm="1">
        <f t="array" ref="A175">INDEX(Vendor_Master!$A$2:$A$401, ROUNDUP((ROW()-1)/4, 0))</f>
        <v>VND-044</v>
      </c>
      <c r="B175" t="str">
        <f t="shared" si="14"/>
        <v>Safety Certificate</v>
      </c>
      <c r="C175" t="str">
        <f t="shared" si="15"/>
        <v>Yes</v>
      </c>
      <c r="D175" t="str">
        <f t="shared" si="16"/>
        <v>Yes</v>
      </c>
      <c r="E175" s="1">
        <v>45553</v>
      </c>
      <c r="F175" s="1">
        <v>46790</v>
      </c>
      <c r="G175">
        <f t="shared" ca="1" si="17"/>
        <v>707</v>
      </c>
      <c r="H175" t="str">
        <f t="shared" ca="1" si="18"/>
        <v>Active</v>
      </c>
      <c r="I175">
        <f t="shared" ca="1" si="19"/>
        <v>0</v>
      </c>
      <c r="J175" t="str">
        <f t="shared" si="20"/>
        <v>Safety</v>
      </c>
    </row>
    <row r="176" spans="1:10">
      <c r="A176" t="str" cm="1">
        <f t="array" ref="A176">INDEX(Vendor_Master!$A$2:$A$401, ROUNDUP((ROW()-1)/4, 0))</f>
        <v>VND-044</v>
      </c>
      <c r="B176" t="str">
        <f t="shared" si="14"/>
        <v>Environmental Policy</v>
      </c>
      <c r="C176" t="str">
        <f t="shared" si="15"/>
        <v>Yes</v>
      </c>
      <c r="D176" t="str">
        <f t="shared" si="16"/>
        <v>Yes</v>
      </c>
      <c r="E176" s="1">
        <v>45910</v>
      </c>
      <c r="F176" s="1">
        <v>46220</v>
      </c>
      <c r="G176">
        <f t="shared" ca="1" si="17"/>
        <v>137</v>
      </c>
      <c r="H176" t="str">
        <f t="shared" ca="1" si="18"/>
        <v>Active</v>
      </c>
      <c r="I176">
        <f t="shared" ca="1" si="19"/>
        <v>0</v>
      </c>
      <c r="J176" t="str">
        <f t="shared" si="20"/>
        <v>Environmental</v>
      </c>
    </row>
    <row r="177" spans="1:10">
      <c r="A177" t="str" cm="1">
        <f t="array" ref="A177">INDEX(Vendor_Master!$A$2:$A$401, ROUNDUP((ROW()-1)/4, 0))</f>
        <v>VND-044</v>
      </c>
      <c r="B177" t="str">
        <f t="shared" si="14"/>
        <v>Sustainability Disclosure</v>
      </c>
      <c r="C177" t="str">
        <f t="shared" si="15"/>
        <v>Yes</v>
      </c>
      <c r="D177" t="str">
        <f t="shared" si="16"/>
        <v>Yes</v>
      </c>
      <c r="E177" s="1">
        <v>45908</v>
      </c>
      <c r="F177" s="1">
        <v>46283</v>
      </c>
      <c r="G177">
        <f t="shared" ca="1" si="17"/>
        <v>200</v>
      </c>
      <c r="H177" t="str">
        <f t="shared" ca="1" si="18"/>
        <v>Active</v>
      </c>
      <c r="I177">
        <f t="shared" ca="1" si="19"/>
        <v>0</v>
      </c>
      <c r="J177" t="str">
        <f t="shared" si="20"/>
        <v>Environmental</v>
      </c>
    </row>
    <row r="178" spans="1:10">
      <c r="A178" t="str" cm="1">
        <f t="array" ref="A178">INDEX(Vendor_Master!$A$2:$A$401, ROUNDUP((ROW()-1)/4, 0))</f>
        <v>VND-045</v>
      </c>
      <c r="B178" t="str">
        <f t="shared" si="14"/>
        <v>ISO 14001</v>
      </c>
      <c r="C178" t="str">
        <f t="shared" si="15"/>
        <v>Yes</v>
      </c>
      <c r="D178" t="str">
        <f t="shared" si="16"/>
        <v>Yes</v>
      </c>
      <c r="E178" s="1">
        <v>45825</v>
      </c>
      <c r="F178" s="1">
        <v>46494</v>
      </c>
      <c r="G178">
        <f t="shared" ca="1" si="17"/>
        <v>411</v>
      </c>
      <c r="H178" t="str">
        <f t="shared" ca="1" si="18"/>
        <v>Active</v>
      </c>
      <c r="I178">
        <f t="shared" ca="1" si="19"/>
        <v>0</v>
      </c>
      <c r="J178" t="str">
        <f t="shared" si="20"/>
        <v>Environmental</v>
      </c>
    </row>
    <row r="179" spans="1:10">
      <c r="A179" t="str" cm="1">
        <f t="array" ref="A179">INDEX(Vendor_Master!$A$2:$A$401, ROUNDUP((ROW()-1)/4, 0))</f>
        <v>VND-045</v>
      </c>
      <c r="B179" t="str">
        <f t="shared" si="14"/>
        <v>Safety Certificate</v>
      </c>
      <c r="C179" t="str">
        <f t="shared" si="15"/>
        <v>Yes</v>
      </c>
      <c r="D179" t="str">
        <f t="shared" si="16"/>
        <v>Yes</v>
      </c>
      <c r="E179" s="1">
        <v>45564</v>
      </c>
      <c r="F179" s="1">
        <v>46640</v>
      </c>
      <c r="G179">
        <f t="shared" ca="1" si="17"/>
        <v>557</v>
      </c>
      <c r="H179" t="str">
        <f t="shared" ca="1" si="18"/>
        <v>Active</v>
      </c>
      <c r="I179">
        <f t="shared" ca="1" si="19"/>
        <v>0</v>
      </c>
      <c r="J179" t="str">
        <f t="shared" si="20"/>
        <v>Safety</v>
      </c>
    </row>
    <row r="180" spans="1:10">
      <c r="A180" t="str" cm="1">
        <f t="array" ref="A180">INDEX(Vendor_Master!$A$2:$A$401, ROUNDUP((ROW()-1)/4, 0))</f>
        <v>VND-045</v>
      </c>
      <c r="B180" t="str">
        <f t="shared" si="14"/>
        <v>Environmental Policy</v>
      </c>
      <c r="C180" t="str">
        <f t="shared" si="15"/>
        <v>Yes</v>
      </c>
      <c r="D180" t="str">
        <f t="shared" si="16"/>
        <v>Yes</v>
      </c>
      <c r="E180" s="1">
        <v>45917</v>
      </c>
      <c r="F180" s="1">
        <v>46857</v>
      </c>
      <c r="G180">
        <f t="shared" ca="1" si="17"/>
        <v>774</v>
      </c>
      <c r="H180" t="str">
        <f t="shared" ca="1" si="18"/>
        <v>Active</v>
      </c>
      <c r="I180">
        <f t="shared" ca="1" si="19"/>
        <v>0</v>
      </c>
      <c r="J180" t="str">
        <f t="shared" si="20"/>
        <v>Environmental</v>
      </c>
    </row>
    <row r="181" spans="1:10">
      <c r="A181" t="str" cm="1">
        <f t="array" ref="A181">INDEX(Vendor_Master!$A$2:$A$401, ROUNDUP((ROW()-1)/4, 0))</f>
        <v>VND-045</v>
      </c>
      <c r="B181" t="str">
        <f t="shared" si="14"/>
        <v>Sustainability Disclosure</v>
      </c>
      <c r="C181" t="str">
        <f t="shared" si="15"/>
        <v>Yes</v>
      </c>
      <c r="D181" t="str">
        <f t="shared" si="16"/>
        <v>Yes</v>
      </c>
      <c r="E181" s="1">
        <v>46015</v>
      </c>
      <c r="F181" s="1">
        <v>46894</v>
      </c>
      <c r="G181">
        <f t="shared" ca="1" si="17"/>
        <v>811</v>
      </c>
      <c r="H181" t="str">
        <f t="shared" ca="1" si="18"/>
        <v>Active</v>
      </c>
      <c r="I181">
        <f t="shared" ca="1" si="19"/>
        <v>0</v>
      </c>
      <c r="J181" t="str">
        <f t="shared" si="20"/>
        <v>Environmental</v>
      </c>
    </row>
    <row r="182" spans="1:10">
      <c r="A182" t="str" cm="1">
        <f t="array" ref="A182">INDEX(Vendor_Master!$A$2:$A$401, ROUNDUP((ROW()-1)/4, 0))</f>
        <v>VND-046</v>
      </c>
      <c r="B182" t="str">
        <f t="shared" si="14"/>
        <v>ISO 14001</v>
      </c>
      <c r="C182" t="str">
        <f t="shared" si="15"/>
        <v>Yes</v>
      </c>
      <c r="D182" t="str">
        <f t="shared" si="16"/>
        <v>Yes</v>
      </c>
      <c r="E182" s="1">
        <v>45871</v>
      </c>
      <c r="F182" s="1">
        <v>46448</v>
      </c>
      <c r="G182">
        <f t="shared" ca="1" si="17"/>
        <v>365</v>
      </c>
      <c r="H182" t="str">
        <f t="shared" ca="1" si="18"/>
        <v>Active</v>
      </c>
      <c r="I182">
        <f t="shared" ca="1" si="19"/>
        <v>0</v>
      </c>
      <c r="J182" t="str">
        <f t="shared" si="20"/>
        <v>Environmental</v>
      </c>
    </row>
    <row r="183" spans="1:10">
      <c r="A183" t="str" cm="1">
        <f t="array" ref="A183">INDEX(Vendor_Master!$A$2:$A$401, ROUNDUP((ROW()-1)/4, 0))</f>
        <v>VND-046</v>
      </c>
      <c r="B183" t="str">
        <f t="shared" si="14"/>
        <v>Safety Certificate</v>
      </c>
      <c r="C183" t="str">
        <f t="shared" si="15"/>
        <v>Yes</v>
      </c>
      <c r="D183" t="str">
        <f t="shared" si="16"/>
        <v>Yes</v>
      </c>
      <c r="E183" s="1">
        <v>45565</v>
      </c>
      <c r="F183" s="1">
        <v>46499</v>
      </c>
      <c r="G183">
        <f t="shared" ca="1" si="17"/>
        <v>416</v>
      </c>
      <c r="H183" t="str">
        <f t="shared" ca="1" si="18"/>
        <v>Active</v>
      </c>
      <c r="I183">
        <f t="shared" ca="1" si="19"/>
        <v>0</v>
      </c>
      <c r="J183" t="str">
        <f t="shared" si="20"/>
        <v>Safety</v>
      </c>
    </row>
    <row r="184" spans="1:10">
      <c r="A184" t="str" cm="1">
        <f t="array" ref="A184">INDEX(Vendor_Master!$A$2:$A$401, ROUNDUP((ROW()-1)/4, 0))</f>
        <v>VND-046</v>
      </c>
      <c r="B184" t="str">
        <f t="shared" si="14"/>
        <v>Environmental Policy</v>
      </c>
      <c r="C184" t="str">
        <f t="shared" si="15"/>
        <v>Yes</v>
      </c>
      <c r="D184" t="str">
        <f t="shared" si="16"/>
        <v>Yes</v>
      </c>
      <c r="E184" s="1">
        <v>45781</v>
      </c>
      <c r="F184" s="1">
        <v>46369</v>
      </c>
      <c r="G184">
        <f t="shared" ca="1" si="17"/>
        <v>286</v>
      </c>
      <c r="H184" t="str">
        <f t="shared" ca="1" si="18"/>
        <v>Active</v>
      </c>
      <c r="I184">
        <f t="shared" ca="1" si="19"/>
        <v>0</v>
      </c>
      <c r="J184" t="str">
        <f t="shared" si="20"/>
        <v>Environmental</v>
      </c>
    </row>
    <row r="185" spans="1:10">
      <c r="A185" t="str" cm="1">
        <f t="array" ref="A185">INDEX(Vendor_Master!$A$2:$A$401, ROUNDUP((ROW()-1)/4, 0))</f>
        <v>VND-046</v>
      </c>
      <c r="B185" t="str">
        <f t="shared" si="14"/>
        <v>Sustainability Disclosure</v>
      </c>
      <c r="C185" t="str">
        <f t="shared" si="15"/>
        <v>Yes</v>
      </c>
      <c r="D185" t="str">
        <f t="shared" si="16"/>
        <v>Yes</v>
      </c>
      <c r="E185" s="1">
        <v>45998</v>
      </c>
      <c r="F185" s="1">
        <v>46324</v>
      </c>
      <c r="G185">
        <f t="shared" ca="1" si="17"/>
        <v>241</v>
      </c>
      <c r="H185" t="str">
        <f t="shared" ca="1" si="18"/>
        <v>Active</v>
      </c>
      <c r="I185">
        <f t="shared" ca="1" si="19"/>
        <v>0</v>
      </c>
      <c r="J185" t="str">
        <f t="shared" si="20"/>
        <v>Environmental</v>
      </c>
    </row>
    <row r="186" spans="1:10">
      <c r="A186" t="str" cm="1">
        <f t="array" ref="A186">INDEX(Vendor_Master!$A$2:$A$401, ROUNDUP((ROW()-1)/4, 0))</f>
        <v>VND-047</v>
      </c>
      <c r="B186" t="str">
        <f t="shared" si="14"/>
        <v>ISO 14001</v>
      </c>
      <c r="C186" t="str">
        <f t="shared" si="15"/>
        <v>Yes</v>
      </c>
      <c r="D186" t="str">
        <f t="shared" si="16"/>
        <v>Yes</v>
      </c>
      <c r="E186" s="1">
        <v>45592</v>
      </c>
      <c r="F186" s="1">
        <v>46624</v>
      </c>
      <c r="G186">
        <f t="shared" ca="1" si="17"/>
        <v>541</v>
      </c>
      <c r="H186" t="str">
        <f t="shared" ca="1" si="18"/>
        <v>Active</v>
      </c>
      <c r="I186">
        <f t="shared" ca="1" si="19"/>
        <v>0</v>
      </c>
      <c r="J186" t="str">
        <f t="shared" si="20"/>
        <v>Environmental</v>
      </c>
    </row>
    <row r="187" spans="1:10">
      <c r="A187" t="str" cm="1">
        <f t="array" ref="A187">INDEX(Vendor_Master!$A$2:$A$401, ROUNDUP((ROW()-1)/4, 0))</f>
        <v>VND-047</v>
      </c>
      <c r="B187" t="str">
        <f t="shared" si="14"/>
        <v>Safety Certificate</v>
      </c>
      <c r="C187" t="str">
        <f t="shared" si="15"/>
        <v>Yes</v>
      </c>
      <c r="D187" t="str">
        <f t="shared" si="16"/>
        <v>Yes</v>
      </c>
      <c r="E187" s="1">
        <v>45672</v>
      </c>
      <c r="F187" s="1">
        <v>46480</v>
      </c>
      <c r="G187">
        <f t="shared" ca="1" si="17"/>
        <v>397</v>
      </c>
      <c r="H187" t="str">
        <f t="shared" ca="1" si="18"/>
        <v>Active</v>
      </c>
      <c r="I187">
        <f t="shared" ca="1" si="19"/>
        <v>0</v>
      </c>
      <c r="J187" t="str">
        <f t="shared" si="20"/>
        <v>Safety</v>
      </c>
    </row>
    <row r="188" spans="1:10">
      <c r="A188" t="str" cm="1">
        <f t="array" ref="A188">INDEX(Vendor_Master!$A$2:$A$401, ROUNDUP((ROW()-1)/4, 0))</f>
        <v>VND-047</v>
      </c>
      <c r="B188" t="str">
        <f t="shared" si="14"/>
        <v>Environmental Policy</v>
      </c>
      <c r="C188" t="str">
        <f t="shared" si="15"/>
        <v>Yes</v>
      </c>
      <c r="D188" t="str">
        <f t="shared" si="16"/>
        <v>Yes</v>
      </c>
      <c r="E188" s="1">
        <v>45384</v>
      </c>
      <c r="F188" s="1">
        <v>46305</v>
      </c>
      <c r="G188">
        <f t="shared" ca="1" si="17"/>
        <v>222</v>
      </c>
      <c r="H188" t="str">
        <f t="shared" ca="1" si="18"/>
        <v>Active</v>
      </c>
      <c r="I188">
        <f t="shared" ca="1" si="19"/>
        <v>0</v>
      </c>
      <c r="J188" t="str">
        <f t="shared" si="20"/>
        <v>Environmental</v>
      </c>
    </row>
    <row r="189" spans="1:10">
      <c r="A189" t="str" cm="1">
        <f t="array" ref="A189">INDEX(Vendor_Master!$A$2:$A$401, ROUNDUP((ROW()-1)/4, 0))</f>
        <v>VND-047</v>
      </c>
      <c r="B189" t="str">
        <f t="shared" si="14"/>
        <v>Sustainability Disclosure</v>
      </c>
      <c r="C189" t="str">
        <f t="shared" si="15"/>
        <v>Yes</v>
      </c>
      <c r="D189" t="str">
        <f t="shared" si="16"/>
        <v>Yes</v>
      </c>
      <c r="E189" s="1">
        <v>45709</v>
      </c>
      <c r="F189" s="1">
        <v>46444</v>
      </c>
      <c r="G189">
        <f t="shared" ca="1" si="17"/>
        <v>361</v>
      </c>
      <c r="H189" t="str">
        <f t="shared" ca="1" si="18"/>
        <v>Active</v>
      </c>
      <c r="I189">
        <f t="shared" ca="1" si="19"/>
        <v>0</v>
      </c>
      <c r="J189" t="str">
        <f t="shared" si="20"/>
        <v>Environmental</v>
      </c>
    </row>
    <row r="190" spans="1:10">
      <c r="A190" t="str" cm="1">
        <f t="array" ref="A190">INDEX(Vendor_Master!$A$2:$A$401, ROUNDUP((ROW()-1)/4, 0))</f>
        <v>VND-048</v>
      </c>
      <c r="B190" t="str">
        <f t="shared" si="14"/>
        <v>ISO 14001</v>
      </c>
      <c r="C190" t="str">
        <f t="shared" si="15"/>
        <v>Yes</v>
      </c>
      <c r="D190" t="str">
        <f t="shared" si="16"/>
        <v>Yes</v>
      </c>
      <c r="E190" s="1">
        <v>45791</v>
      </c>
      <c r="F190" s="1">
        <v>46494</v>
      </c>
      <c r="G190">
        <f t="shared" ca="1" si="17"/>
        <v>411</v>
      </c>
      <c r="H190" t="str">
        <f t="shared" ca="1" si="18"/>
        <v>Active</v>
      </c>
      <c r="I190">
        <f t="shared" ca="1" si="19"/>
        <v>0</v>
      </c>
      <c r="J190" t="str">
        <f t="shared" si="20"/>
        <v>Environmental</v>
      </c>
    </row>
    <row r="191" spans="1:10">
      <c r="A191" t="str" cm="1">
        <f t="array" ref="A191">INDEX(Vendor_Master!$A$2:$A$401, ROUNDUP((ROW()-1)/4, 0))</f>
        <v>VND-048</v>
      </c>
      <c r="B191" t="str">
        <f t="shared" si="14"/>
        <v>Safety Certificate</v>
      </c>
      <c r="C191" t="str">
        <f t="shared" si="15"/>
        <v>Yes</v>
      </c>
      <c r="D191" t="str">
        <f t="shared" si="16"/>
        <v>Yes</v>
      </c>
      <c r="E191" s="1">
        <v>45395</v>
      </c>
      <c r="F191" s="1">
        <v>46934</v>
      </c>
      <c r="G191">
        <f t="shared" ca="1" si="17"/>
        <v>851</v>
      </c>
      <c r="H191" t="str">
        <f t="shared" ca="1" si="18"/>
        <v>Active</v>
      </c>
      <c r="I191">
        <f t="shared" ca="1" si="19"/>
        <v>0</v>
      </c>
      <c r="J191" t="str">
        <f t="shared" si="20"/>
        <v>Safety</v>
      </c>
    </row>
    <row r="192" spans="1:10">
      <c r="A192" t="str" cm="1">
        <f t="array" ref="A192">INDEX(Vendor_Master!$A$2:$A$401, ROUNDUP((ROW()-1)/4, 0))</f>
        <v>VND-048</v>
      </c>
      <c r="B192" t="str">
        <f t="shared" si="14"/>
        <v>Environmental Policy</v>
      </c>
      <c r="C192" t="str">
        <f t="shared" si="15"/>
        <v>Yes</v>
      </c>
      <c r="D192" t="str">
        <f t="shared" si="16"/>
        <v>Yes</v>
      </c>
      <c r="E192" s="1">
        <v>45898</v>
      </c>
      <c r="F192" s="1">
        <v>46878</v>
      </c>
      <c r="G192">
        <f t="shared" ca="1" si="17"/>
        <v>795</v>
      </c>
      <c r="H192" t="str">
        <f t="shared" ca="1" si="18"/>
        <v>Active</v>
      </c>
      <c r="I192">
        <f t="shared" ca="1" si="19"/>
        <v>0</v>
      </c>
      <c r="J192" t="str">
        <f t="shared" si="20"/>
        <v>Environmental</v>
      </c>
    </row>
    <row r="193" spans="1:10">
      <c r="A193" t="str" cm="1">
        <f t="array" ref="A193">INDEX(Vendor_Master!$A$2:$A$401, ROUNDUP((ROW()-1)/4, 0))</f>
        <v>VND-048</v>
      </c>
      <c r="B193" t="str">
        <f t="shared" si="14"/>
        <v>Sustainability Disclosure</v>
      </c>
      <c r="C193" t="str">
        <f t="shared" si="15"/>
        <v>Yes</v>
      </c>
      <c r="D193" t="str">
        <f t="shared" si="16"/>
        <v>Yes</v>
      </c>
      <c r="E193" s="1">
        <v>45918</v>
      </c>
      <c r="F193" s="1">
        <v>46227</v>
      </c>
      <c r="G193">
        <f t="shared" ca="1" si="17"/>
        <v>144</v>
      </c>
      <c r="H193" t="str">
        <f t="shared" ca="1" si="18"/>
        <v>Active</v>
      </c>
      <c r="I193">
        <f t="shared" ca="1" si="19"/>
        <v>0</v>
      </c>
      <c r="J193" t="str">
        <f t="shared" si="20"/>
        <v>Environmental</v>
      </c>
    </row>
    <row r="194" spans="1:10">
      <c r="A194" t="str" cm="1">
        <f t="array" ref="A194">INDEX(Vendor_Master!$A$2:$A$401, ROUNDUP((ROW()-1)/4, 0))</f>
        <v>VND-049</v>
      </c>
      <c r="B194" t="str">
        <f t="shared" si="14"/>
        <v>ISO 14001</v>
      </c>
      <c r="C194" t="str">
        <f t="shared" si="15"/>
        <v>Yes</v>
      </c>
      <c r="D194" t="str">
        <f t="shared" si="16"/>
        <v>Yes</v>
      </c>
      <c r="E194" s="1">
        <v>45698</v>
      </c>
      <c r="F194" s="1">
        <v>46925</v>
      </c>
      <c r="G194">
        <f t="shared" ca="1" si="17"/>
        <v>842</v>
      </c>
      <c r="H194" t="str">
        <f t="shared" ca="1" si="18"/>
        <v>Active</v>
      </c>
      <c r="I194">
        <f t="shared" ca="1" si="19"/>
        <v>0</v>
      </c>
      <c r="J194" t="str">
        <f t="shared" si="20"/>
        <v>Environmental</v>
      </c>
    </row>
    <row r="195" spans="1:10">
      <c r="A195" t="str" cm="1">
        <f t="array" ref="A195">INDEX(Vendor_Master!$A$2:$A$401, ROUNDUP((ROW()-1)/4, 0))</f>
        <v>VND-049</v>
      </c>
      <c r="B195" t="str">
        <f t="shared" ref="B195:B258" si="21">CHOOSE(MOD(ROW()-2,4)+1,"ISO 14001","Safety Certificate","Environmental Policy","Sustainability Disclosure")</f>
        <v>Safety Certificate</v>
      </c>
      <c r="C195" t="str">
        <f t="shared" ref="C195:C258" si="22">"Yes"</f>
        <v>Yes</v>
      </c>
      <c r="D195" t="str">
        <f t="shared" ref="D195:D258" si="23">IF(ROW()-1&lt;=1280,"Yes","No")</f>
        <v>Yes</v>
      </c>
      <c r="E195" s="1">
        <v>45819</v>
      </c>
      <c r="F195" s="1">
        <v>46332</v>
      </c>
      <c r="G195">
        <f t="shared" ref="G195:G258" ca="1" si="24">IF($F195="","",$F195-TODAY())</f>
        <v>249</v>
      </c>
      <c r="H195" t="str">
        <f t="shared" ref="H195:H258" ca="1" si="25">IF($C195="No","Not Required",
IF($D195="No","Missing",
IF($F195&lt;TODAY(),"Expired",
IF($F195&lt;=TODAY()+30,"Expiring Soon","Active"))))</f>
        <v>Active</v>
      </c>
      <c r="I195">
        <f t="shared" ref="I195:I258" ca="1" si="26">IF(OR($H195="Missing",$H195="Expired",$H195="Expiring Soon"),1,0)</f>
        <v>0</v>
      </c>
      <c r="J195" t="str">
        <f t="shared" ref="J195:J258" si="27">IF(B195="ISO 14001","Environmental",
 IF(B195="Environmental Policy","Environmental",
 IF(B195="Sustainability Disclosure","Environmental",
 IF(B195="Safety Certificate","Safety","Regulatory"))))</f>
        <v>Safety</v>
      </c>
    </row>
    <row r="196" spans="1:10">
      <c r="A196" t="str" cm="1">
        <f t="array" ref="A196">INDEX(Vendor_Master!$A$2:$A$401, ROUNDUP((ROW()-1)/4, 0))</f>
        <v>VND-049</v>
      </c>
      <c r="B196" t="str">
        <f t="shared" si="21"/>
        <v>Environmental Policy</v>
      </c>
      <c r="C196" t="str">
        <f t="shared" si="22"/>
        <v>Yes</v>
      </c>
      <c r="D196" t="str">
        <f t="shared" si="23"/>
        <v>Yes</v>
      </c>
      <c r="E196" s="1">
        <v>45827</v>
      </c>
      <c r="F196" s="1">
        <v>46511</v>
      </c>
      <c r="G196">
        <f t="shared" ca="1" si="24"/>
        <v>428</v>
      </c>
      <c r="H196" t="str">
        <f t="shared" ca="1" si="25"/>
        <v>Active</v>
      </c>
      <c r="I196">
        <f t="shared" ca="1" si="26"/>
        <v>0</v>
      </c>
      <c r="J196" t="str">
        <f t="shared" si="27"/>
        <v>Environmental</v>
      </c>
    </row>
    <row r="197" spans="1:10">
      <c r="A197" t="str" cm="1">
        <f t="array" ref="A197">INDEX(Vendor_Master!$A$2:$A$401, ROUNDUP((ROW()-1)/4, 0))</f>
        <v>VND-049</v>
      </c>
      <c r="B197" t="str">
        <f t="shared" si="21"/>
        <v>Sustainability Disclosure</v>
      </c>
      <c r="C197" t="str">
        <f t="shared" si="22"/>
        <v>Yes</v>
      </c>
      <c r="D197" t="str">
        <f t="shared" si="23"/>
        <v>Yes</v>
      </c>
      <c r="E197" s="1">
        <v>45625</v>
      </c>
      <c r="F197" s="1">
        <v>46528</v>
      </c>
      <c r="G197">
        <f t="shared" ca="1" si="24"/>
        <v>445</v>
      </c>
      <c r="H197" t="str">
        <f t="shared" ca="1" si="25"/>
        <v>Active</v>
      </c>
      <c r="I197">
        <f t="shared" ca="1" si="26"/>
        <v>0</v>
      </c>
      <c r="J197" t="str">
        <f t="shared" si="27"/>
        <v>Environmental</v>
      </c>
    </row>
    <row r="198" spans="1:10">
      <c r="A198" t="str" cm="1">
        <f t="array" ref="A198">INDEX(Vendor_Master!$A$2:$A$401, ROUNDUP((ROW()-1)/4, 0))</f>
        <v>VND-050</v>
      </c>
      <c r="B198" t="str">
        <f t="shared" si="21"/>
        <v>ISO 14001</v>
      </c>
      <c r="C198" t="str">
        <f t="shared" si="22"/>
        <v>Yes</v>
      </c>
      <c r="D198" t="str">
        <f t="shared" si="23"/>
        <v>Yes</v>
      </c>
      <c r="E198" s="1">
        <v>45813</v>
      </c>
      <c r="F198" s="1">
        <v>46538</v>
      </c>
      <c r="G198">
        <f t="shared" ca="1" si="24"/>
        <v>455</v>
      </c>
      <c r="H198" t="str">
        <f t="shared" ca="1" si="25"/>
        <v>Active</v>
      </c>
      <c r="I198">
        <f t="shared" ca="1" si="26"/>
        <v>0</v>
      </c>
      <c r="J198" t="str">
        <f t="shared" si="27"/>
        <v>Environmental</v>
      </c>
    </row>
    <row r="199" spans="1:10">
      <c r="A199" t="str" cm="1">
        <f t="array" ref="A199">INDEX(Vendor_Master!$A$2:$A$401, ROUNDUP((ROW()-1)/4, 0))</f>
        <v>VND-050</v>
      </c>
      <c r="B199" t="str">
        <f t="shared" si="21"/>
        <v>Safety Certificate</v>
      </c>
      <c r="C199" t="str">
        <f t="shared" si="22"/>
        <v>Yes</v>
      </c>
      <c r="D199" t="str">
        <f t="shared" si="23"/>
        <v>Yes</v>
      </c>
      <c r="E199" s="1">
        <v>45870</v>
      </c>
      <c r="F199" s="1">
        <v>46425</v>
      </c>
      <c r="G199">
        <f t="shared" ca="1" si="24"/>
        <v>342</v>
      </c>
      <c r="H199" t="str">
        <f t="shared" ca="1" si="25"/>
        <v>Active</v>
      </c>
      <c r="I199">
        <f t="shared" ca="1" si="26"/>
        <v>0</v>
      </c>
      <c r="J199" t="str">
        <f t="shared" si="27"/>
        <v>Safety</v>
      </c>
    </row>
    <row r="200" spans="1:10">
      <c r="A200" t="str" cm="1">
        <f t="array" ref="A200">INDEX(Vendor_Master!$A$2:$A$401, ROUNDUP((ROW()-1)/4, 0))</f>
        <v>VND-050</v>
      </c>
      <c r="B200" t="str">
        <f t="shared" si="21"/>
        <v>Environmental Policy</v>
      </c>
      <c r="C200" t="str">
        <f t="shared" si="22"/>
        <v>Yes</v>
      </c>
      <c r="D200" t="str">
        <f t="shared" si="23"/>
        <v>Yes</v>
      </c>
      <c r="E200" s="1">
        <v>45456</v>
      </c>
      <c r="F200" s="1">
        <v>46646</v>
      </c>
      <c r="G200">
        <f t="shared" ca="1" si="24"/>
        <v>563</v>
      </c>
      <c r="H200" t="str">
        <f t="shared" ca="1" si="25"/>
        <v>Active</v>
      </c>
      <c r="I200">
        <f t="shared" ca="1" si="26"/>
        <v>0</v>
      </c>
      <c r="J200" t="str">
        <f t="shared" si="27"/>
        <v>Environmental</v>
      </c>
    </row>
    <row r="201" spans="1:10">
      <c r="A201" t="str" cm="1">
        <f t="array" ref="A201">INDEX(Vendor_Master!$A$2:$A$401, ROUNDUP((ROW()-1)/4, 0))</f>
        <v>VND-050</v>
      </c>
      <c r="B201" t="str">
        <f t="shared" si="21"/>
        <v>Sustainability Disclosure</v>
      </c>
      <c r="C201" t="str">
        <f t="shared" si="22"/>
        <v>Yes</v>
      </c>
      <c r="D201" t="str">
        <f t="shared" si="23"/>
        <v>Yes</v>
      </c>
      <c r="E201" s="1">
        <v>45807</v>
      </c>
      <c r="F201" s="1">
        <v>46435</v>
      </c>
      <c r="G201">
        <f t="shared" ca="1" si="24"/>
        <v>352</v>
      </c>
      <c r="H201" t="str">
        <f t="shared" ca="1" si="25"/>
        <v>Active</v>
      </c>
      <c r="I201">
        <f t="shared" ca="1" si="26"/>
        <v>0</v>
      </c>
      <c r="J201" t="str">
        <f t="shared" si="27"/>
        <v>Environmental</v>
      </c>
    </row>
    <row r="202" spans="1:10">
      <c r="A202" t="str" cm="1">
        <f t="array" ref="A202">INDEX(Vendor_Master!$A$2:$A$401, ROUNDUP((ROW()-1)/4, 0))</f>
        <v>VND-051</v>
      </c>
      <c r="B202" t="str">
        <f t="shared" si="21"/>
        <v>ISO 14001</v>
      </c>
      <c r="C202" t="str">
        <f t="shared" si="22"/>
        <v>Yes</v>
      </c>
      <c r="D202" t="str">
        <f t="shared" si="23"/>
        <v>Yes</v>
      </c>
      <c r="E202" s="1">
        <v>45869</v>
      </c>
      <c r="F202" s="1">
        <v>46677</v>
      </c>
      <c r="G202">
        <f t="shared" ca="1" si="24"/>
        <v>594</v>
      </c>
      <c r="H202" t="str">
        <f t="shared" ca="1" si="25"/>
        <v>Active</v>
      </c>
      <c r="I202">
        <f t="shared" ca="1" si="26"/>
        <v>0</v>
      </c>
      <c r="J202" t="str">
        <f t="shared" si="27"/>
        <v>Environmental</v>
      </c>
    </row>
    <row r="203" spans="1:10">
      <c r="A203" t="str" cm="1">
        <f t="array" ref="A203">INDEX(Vendor_Master!$A$2:$A$401, ROUNDUP((ROW()-1)/4, 0))</f>
        <v>VND-051</v>
      </c>
      <c r="B203" t="str">
        <f t="shared" si="21"/>
        <v>Safety Certificate</v>
      </c>
      <c r="C203" t="str">
        <f t="shared" si="22"/>
        <v>Yes</v>
      </c>
      <c r="D203" t="str">
        <f t="shared" si="23"/>
        <v>Yes</v>
      </c>
      <c r="E203" s="1">
        <v>45712</v>
      </c>
      <c r="F203" s="1">
        <v>46269</v>
      </c>
      <c r="G203">
        <f t="shared" ca="1" si="24"/>
        <v>186</v>
      </c>
      <c r="H203" t="str">
        <f t="shared" ca="1" si="25"/>
        <v>Active</v>
      </c>
      <c r="I203">
        <f t="shared" ca="1" si="26"/>
        <v>0</v>
      </c>
      <c r="J203" t="str">
        <f t="shared" si="27"/>
        <v>Safety</v>
      </c>
    </row>
    <row r="204" spans="1:10">
      <c r="A204" t="str" cm="1">
        <f t="array" ref="A204">INDEX(Vendor_Master!$A$2:$A$401, ROUNDUP((ROW()-1)/4, 0))</f>
        <v>VND-051</v>
      </c>
      <c r="B204" t="str">
        <f t="shared" si="21"/>
        <v>Environmental Policy</v>
      </c>
      <c r="C204" t="str">
        <f t="shared" si="22"/>
        <v>Yes</v>
      </c>
      <c r="D204" t="str">
        <f t="shared" si="23"/>
        <v>Yes</v>
      </c>
      <c r="E204" s="1">
        <v>46065</v>
      </c>
      <c r="F204" s="1">
        <v>46724</v>
      </c>
      <c r="G204">
        <f t="shared" ca="1" si="24"/>
        <v>641</v>
      </c>
      <c r="H204" t="str">
        <f t="shared" ca="1" si="25"/>
        <v>Active</v>
      </c>
      <c r="I204">
        <f t="shared" ca="1" si="26"/>
        <v>0</v>
      </c>
      <c r="J204" t="str">
        <f t="shared" si="27"/>
        <v>Environmental</v>
      </c>
    </row>
    <row r="205" spans="1:10">
      <c r="A205" t="str" cm="1">
        <f t="array" ref="A205">INDEX(Vendor_Master!$A$2:$A$401, ROUNDUP((ROW()-1)/4, 0))</f>
        <v>VND-051</v>
      </c>
      <c r="B205" t="str">
        <f t="shared" si="21"/>
        <v>Sustainability Disclosure</v>
      </c>
      <c r="C205" t="str">
        <f t="shared" si="22"/>
        <v>Yes</v>
      </c>
      <c r="D205" t="str">
        <f t="shared" si="23"/>
        <v>Yes</v>
      </c>
      <c r="E205" s="1">
        <v>45688</v>
      </c>
      <c r="F205" s="1">
        <v>46359</v>
      </c>
      <c r="G205">
        <f t="shared" ca="1" si="24"/>
        <v>276</v>
      </c>
      <c r="H205" t="str">
        <f t="shared" ca="1" si="25"/>
        <v>Active</v>
      </c>
      <c r="I205">
        <f t="shared" ca="1" si="26"/>
        <v>0</v>
      </c>
      <c r="J205" t="str">
        <f t="shared" si="27"/>
        <v>Environmental</v>
      </c>
    </row>
    <row r="206" spans="1:10">
      <c r="A206" t="str" cm="1">
        <f t="array" ref="A206">INDEX(Vendor_Master!$A$2:$A$401, ROUNDUP((ROW()-1)/4, 0))</f>
        <v>VND-052</v>
      </c>
      <c r="B206" t="str">
        <f t="shared" si="21"/>
        <v>ISO 14001</v>
      </c>
      <c r="C206" t="str">
        <f t="shared" si="22"/>
        <v>Yes</v>
      </c>
      <c r="D206" t="str">
        <f t="shared" si="23"/>
        <v>Yes</v>
      </c>
      <c r="E206" s="1">
        <v>45591</v>
      </c>
      <c r="F206" s="1">
        <v>46297</v>
      </c>
      <c r="G206">
        <f t="shared" ca="1" si="24"/>
        <v>214</v>
      </c>
      <c r="H206" t="str">
        <f t="shared" ca="1" si="25"/>
        <v>Active</v>
      </c>
      <c r="I206">
        <f t="shared" ca="1" si="26"/>
        <v>0</v>
      </c>
      <c r="J206" t="str">
        <f t="shared" si="27"/>
        <v>Environmental</v>
      </c>
    </row>
    <row r="207" spans="1:10">
      <c r="A207" t="str" cm="1">
        <f t="array" ref="A207">INDEX(Vendor_Master!$A$2:$A$401, ROUNDUP((ROW()-1)/4, 0))</f>
        <v>VND-052</v>
      </c>
      <c r="B207" t="str">
        <f t="shared" si="21"/>
        <v>Safety Certificate</v>
      </c>
      <c r="C207" t="str">
        <f t="shared" si="22"/>
        <v>Yes</v>
      </c>
      <c r="D207" t="str">
        <f t="shared" si="23"/>
        <v>Yes</v>
      </c>
      <c r="E207" s="1">
        <v>45443</v>
      </c>
      <c r="F207" s="1">
        <v>46222</v>
      </c>
      <c r="G207">
        <f t="shared" ca="1" si="24"/>
        <v>139</v>
      </c>
      <c r="H207" t="str">
        <f t="shared" ca="1" si="25"/>
        <v>Active</v>
      </c>
      <c r="I207">
        <f t="shared" ca="1" si="26"/>
        <v>0</v>
      </c>
      <c r="J207" t="str">
        <f t="shared" si="27"/>
        <v>Safety</v>
      </c>
    </row>
    <row r="208" spans="1:10">
      <c r="A208" t="str" cm="1">
        <f t="array" ref="A208">INDEX(Vendor_Master!$A$2:$A$401, ROUNDUP((ROW()-1)/4, 0))</f>
        <v>VND-052</v>
      </c>
      <c r="B208" t="str">
        <f t="shared" si="21"/>
        <v>Environmental Policy</v>
      </c>
      <c r="C208" t="str">
        <f t="shared" si="22"/>
        <v>Yes</v>
      </c>
      <c r="D208" t="str">
        <f t="shared" si="23"/>
        <v>Yes</v>
      </c>
      <c r="E208" s="1">
        <v>45845</v>
      </c>
      <c r="F208" s="1">
        <v>46902</v>
      </c>
      <c r="G208">
        <f t="shared" ca="1" si="24"/>
        <v>819</v>
      </c>
      <c r="H208" t="str">
        <f t="shared" ca="1" si="25"/>
        <v>Active</v>
      </c>
      <c r="I208">
        <f t="shared" ca="1" si="26"/>
        <v>0</v>
      </c>
      <c r="J208" t="str">
        <f t="shared" si="27"/>
        <v>Environmental</v>
      </c>
    </row>
    <row r="209" spans="1:10">
      <c r="A209" t="str" cm="1">
        <f t="array" ref="A209">INDEX(Vendor_Master!$A$2:$A$401, ROUNDUP((ROW()-1)/4, 0))</f>
        <v>VND-052</v>
      </c>
      <c r="B209" t="str">
        <f t="shared" si="21"/>
        <v>Sustainability Disclosure</v>
      </c>
      <c r="C209" t="str">
        <f t="shared" si="22"/>
        <v>Yes</v>
      </c>
      <c r="D209" t="str">
        <f t="shared" si="23"/>
        <v>Yes</v>
      </c>
      <c r="E209" s="1">
        <v>45530</v>
      </c>
      <c r="F209" s="1">
        <v>46376</v>
      </c>
      <c r="G209">
        <f t="shared" ca="1" si="24"/>
        <v>293</v>
      </c>
      <c r="H209" t="str">
        <f t="shared" ca="1" si="25"/>
        <v>Active</v>
      </c>
      <c r="I209">
        <f t="shared" ca="1" si="26"/>
        <v>0</v>
      </c>
      <c r="J209" t="str">
        <f t="shared" si="27"/>
        <v>Environmental</v>
      </c>
    </row>
    <row r="210" spans="1:10">
      <c r="A210" t="str" cm="1">
        <f t="array" ref="A210">INDEX(Vendor_Master!$A$2:$A$401, ROUNDUP((ROW()-1)/4, 0))</f>
        <v>VND-053</v>
      </c>
      <c r="B210" t="str">
        <f t="shared" si="21"/>
        <v>ISO 14001</v>
      </c>
      <c r="C210" t="str">
        <f t="shared" si="22"/>
        <v>Yes</v>
      </c>
      <c r="D210" t="str">
        <f t="shared" si="23"/>
        <v>Yes</v>
      </c>
      <c r="E210" s="1">
        <v>45735</v>
      </c>
      <c r="F210" s="1">
        <v>46284</v>
      </c>
      <c r="G210">
        <f t="shared" ca="1" si="24"/>
        <v>201</v>
      </c>
      <c r="H210" t="str">
        <f t="shared" ca="1" si="25"/>
        <v>Active</v>
      </c>
      <c r="I210">
        <f t="shared" ca="1" si="26"/>
        <v>0</v>
      </c>
      <c r="J210" t="str">
        <f t="shared" si="27"/>
        <v>Environmental</v>
      </c>
    </row>
    <row r="211" spans="1:10">
      <c r="A211" t="str" cm="1">
        <f t="array" ref="A211">INDEX(Vendor_Master!$A$2:$A$401, ROUNDUP((ROW()-1)/4, 0))</f>
        <v>VND-053</v>
      </c>
      <c r="B211" t="str">
        <f t="shared" si="21"/>
        <v>Safety Certificate</v>
      </c>
      <c r="C211" t="str">
        <f t="shared" si="22"/>
        <v>Yes</v>
      </c>
      <c r="D211" t="str">
        <f t="shared" si="23"/>
        <v>Yes</v>
      </c>
      <c r="E211" s="1">
        <v>45564</v>
      </c>
      <c r="F211" s="1">
        <v>46763</v>
      </c>
      <c r="G211">
        <f t="shared" ca="1" si="24"/>
        <v>680</v>
      </c>
      <c r="H211" t="str">
        <f t="shared" ca="1" si="25"/>
        <v>Active</v>
      </c>
      <c r="I211">
        <f t="shared" ca="1" si="26"/>
        <v>0</v>
      </c>
      <c r="J211" t="str">
        <f t="shared" si="27"/>
        <v>Safety</v>
      </c>
    </row>
    <row r="212" spans="1:10">
      <c r="A212" t="str" cm="1">
        <f t="array" ref="A212">INDEX(Vendor_Master!$A$2:$A$401, ROUNDUP((ROW()-1)/4, 0))</f>
        <v>VND-053</v>
      </c>
      <c r="B212" t="str">
        <f t="shared" si="21"/>
        <v>Environmental Policy</v>
      </c>
      <c r="C212" t="str">
        <f t="shared" si="22"/>
        <v>Yes</v>
      </c>
      <c r="D212" t="str">
        <f t="shared" si="23"/>
        <v>Yes</v>
      </c>
      <c r="E212" s="1">
        <v>45429</v>
      </c>
      <c r="F212" s="1">
        <v>46378</v>
      </c>
      <c r="G212">
        <f t="shared" ca="1" si="24"/>
        <v>295</v>
      </c>
      <c r="H212" t="str">
        <f t="shared" ca="1" si="25"/>
        <v>Active</v>
      </c>
      <c r="I212">
        <f t="shared" ca="1" si="26"/>
        <v>0</v>
      </c>
      <c r="J212" t="str">
        <f t="shared" si="27"/>
        <v>Environmental</v>
      </c>
    </row>
    <row r="213" spans="1:10">
      <c r="A213" t="str" cm="1">
        <f t="array" ref="A213">INDEX(Vendor_Master!$A$2:$A$401, ROUNDUP((ROW()-1)/4, 0))</f>
        <v>VND-053</v>
      </c>
      <c r="B213" t="str">
        <f t="shared" si="21"/>
        <v>Sustainability Disclosure</v>
      </c>
      <c r="C213" t="str">
        <f t="shared" si="22"/>
        <v>Yes</v>
      </c>
      <c r="D213" t="str">
        <f t="shared" si="23"/>
        <v>Yes</v>
      </c>
      <c r="E213" s="1">
        <v>46054</v>
      </c>
      <c r="F213" s="1">
        <v>46451</v>
      </c>
      <c r="G213">
        <f t="shared" ca="1" si="24"/>
        <v>368</v>
      </c>
      <c r="H213" t="str">
        <f t="shared" ca="1" si="25"/>
        <v>Active</v>
      </c>
      <c r="I213">
        <f t="shared" ca="1" si="26"/>
        <v>0</v>
      </c>
      <c r="J213" t="str">
        <f t="shared" si="27"/>
        <v>Environmental</v>
      </c>
    </row>
    <row r="214" spans="1:10">
      <c r="A214" t="str" cm="1">
        <f t="array" ref="A214">INDEX(Vendor_Master!$A$2:$A$401, ROUNDUP((ROW()-1)/4, 0))</f>
        <v>VND-054</v>
      </c>
      <c r="B214" t="str">
        <f t="shared" si="21"/>
        <v>ISO 14001</v>
      </c>
      <c r="C214" t="str">
        <f t="shared" si="22"/>
        <v>Yes</v>
      </c>
      <c r="D214" t="str">
        <f t="shared" si="23"/>
        <v>Yes</v>
      </c>
      <c r="E214" s="1">
        <v>45616</v>
      </c>
      <c r="F214" s="1">
        <v>46851</v>
      </c>
      <c r="G214">
        <f t="shared" ca="1" si="24"/>
        <v>768</v>
      </c>
      <c r="H214" t="str">
        <f t="shared" ca="1" si="25"/>
        <v>Active</v>
      </c>
      <c r="I214">
        <f t="shared" ca="1" si="26"/>
        <v>0</v>
      </c>
      <c r="J214" t="str">
        <f t="shared" si="27"/>
        <v>Environmental</v>
      </c>
    </row>
    <row r="215" spans="1:10">
      <c r="A215" t="str" cm="1">
        <f t="array" ref="A215">INDEX(Vendor_Master!$A$2:$A$401, ROUNDUP((ROW()-1)/4, 0))</f>
        <v>VND-054</v>
      </c>
      <c r="B215" t="str">
        <f t="shared" si="21"/>
        <v>Safety Certificate</v>
      </c>
      <c r="C215" t="str">
        <f t="shared" si="22"/>
        <v>Yes</v>
      </c>
      <c r="D215" t="str">
        <f t="shared" si="23"/>
        <v>Yes</v>
      </c>
      <c r="E215" s="1">
        <v>45841</v>
      </c>
      <c r="F215" s="1">
        <v>46956</v>
      </c>
      <c r="G215">
        <f t="shared" ca="1" si="24"/>
        <v>873</v>
      </c>
      <c r="H215" t="str">
        <f t="shared" ca="1" si="25"/>
        <v>Active</v>
      </c>
      <c r="I215">
        <f t="shared" ca="1" si="26"/>
        <v>0</v>
      </c>
      <c r="J215" t="str">
        <f t="shared" si="27"/>
        <v>Safety</v>
      </c>
    </row>
    <row r="216" spans="1:10">
      <c r="A216" t="str" cm="1">
        <f t="array" ref="A216">INDEX(Vendor_Master!$A$2:$A$401, ROUNDUP((ROW()-1)/4, 0))</f>
        <v>VND-054</v>
      </c>
      <c r="B216" t="str">
        <f t="shared" si="21"/>
        <v>Environmental Policy</v>
      </c>
      <c r="C216" t="str">
        <f t="shared" si="22"/>
        <v>Yes</v>
      </c>
      <c r="D216" t="str">
        <f t="shared" si="23"/>
        <v>Yes</v>
      </c>
      <c r="E216" s="1">
        <v>45821</v>
      </c>
      <c r="F216" s="1">
        <v>46274</v>
      </c>
      <c r="G216">
        <f t="shared" ca="1" si="24"/>
        <v>191</v>
      </c>
      <c r="H216" t="str">
        <f t="shared" ca="1" si="25"/>
        <v>Active</v>
      </c>
      <c r="I216">
        <f t="shared" ca="1" si="26"/>
        <v>0</v>
      </c>
      <c r="J216" t="str">
        <f t="shared" si="27"/>
        <v>Environmental</v>
      </c>
    </row>
    <row r="217" spans="1:10">
      <c r="A217" t="str" cm="1">
        <f t="array" ref="A217">INDEX(Vendor_Master!$A$2:$A$401, ROUNDUP((ROW()-1)/4, 0))</f>
        <v>VND-054</v>
      </c>
      <c r="B217" t="str">
        <f t="shared" si="21"/>
        <v>Sustainability Disclosure</v>
      </c>
      <c r="C217" t="str">
        <f t="shared" si="22"/>
        <v>Yes</v>
      </c>
      <c r="D217" t="str">
        <f t="shared" si="23"/>
        <v>Yes</v>
      </c>
      <c r="E217" s="1">
        <v>45563</v>
      </c>
      <c r="F217" s="1">
        <v>46550</v>
      </c>
      <c r="G217">
        <f t="shared" ca="1" si="24"/>
        <v>467</v>
      </c>
      <c r="H217" t="str">
        <f t="shared" ca="1" si="25"/>
        <v>Active</v>
      </c>
      <c r="I217">
        <f t="shared" ca="1" si="26"/>
        <v>0</v>
      </c>
      <c r="J217" t="str">
        <f t="shared" si="27"/>
        <v>Environmental</v>
      </c>
    </row>
    <row r="218" spans="1:10">
      <c r="A218" t="str" cm="1">
        <f t="array" ref="A218">INDEX(Vendor_Master!$A$2:$A$401, ROUNDUP((ROW()-1)/4, 0))</f>
        <v>VND-055</v>
      </c>
      <c r="B218" t="str">
        <f t="shared" si="21"/>
        <v>ISO 14001</v>
      </c>
      <c r="C218" t="str">
        <f t="shared" si="22"/>
        <v>Yes</v>
      </c>
      <c r="D218" t="str">
        <f t="shared" si="23"/>
        <v>Yes</v>
      </c>
      <c r="E218" s="1">
        <v>45828</v>
      </c>
      <c r="F218" s="1">
        <v>46276</v>
      </c>
      <c r="G218">
        <f t="shared" ca="1" si="24"/>
        <v>193</v>
      </c>
      <c r="H218" t="str">
        <f t="shared" ca="1" si="25"/>
        <v>Active</v>
      </c>
      <c r="I218">
        <f t="shared" ca="1" si="26"/>
        <v>0</v>
      </c>
      <c r="J218" t="str">
        <f t="shared" si="27"/>
        <v>Environmental</v>
      </c>
    </row>
    <row r="219" spans="1:10">
      <c r="A219" t="str" cm="1">
        <f t="array" ref="A219">INDEX(Vendor_Master!$A$2:$A$401, ROUNDUP((ROW()-1)/4, 0))</f>
        <v>VND-055</v>
      </c>
      <c r="B219" t="str">
        <f t="shared" si="21"/>
        <v>Safety Certificate</v>
      </c>
      <c r="C219" t="str">
        <f t="shared" si="22"/>
        <v>Yes</v>
      </c>
      <c r="D219" t="str">
        <f t="shared" si="23"/>
        <v>Yes</v>
      </c>
      <c r="E219" s="1">
        <v>45778</v>
      </c>
      <c r="F219" s="1">
        <v>46902</v>
      </c>
      <c r="G219">
        <f t="shared" ca="1" si="24"/>
        <v>819</v>
      </c>
      <c r="H219" t="str">
        <f t="shared" ca="1" si="25"/>
        <v>Active</v>
      </c>
      <c r="I219">
        <f t="shared" ca="1" si="26"/>
        <v>0</v>
      </c>
      <c r="J219" t="str">
        <f t="shared" si="27"/>
        <v>Safety</v>
      </c>
    </row>
    <row r="220" spans="1:10">
      <c r="A220" t="str" cm="1">
        <f t="array" ref="A220">INDEX(Vendor_Master!$A$2:$A$401, ROUNDUP((ROW()-1)/4, 0))</f>
        <v>VND-055</v>
      </c>
      <c r="B220" t="str">
        <f t="shared" si="21"/>
        <v>Environmental Policy</v>
      </c>
      <c r="C220" t="str">
        <f t="shared" si="22"/>
        <v>Yes</v>
      </c>
      <c r="D220" t="str">
        <f t="shared" si="23"/>
        <v>Yes</v>
      </c>
      <c r="E220" s="1">
        <v>45598</v>
      </c>
      <c r="F220" s="1">
        <v>46713</v>
      </c>
      <c r="G220">
        <f t="shared" ca="1" si="24"/>
        <v>630</v>
      </c>
      <c r="H220" t="str">
        <f t="shared" ca="1" si="25"/>
        <v>Active</v>
      </c>
      <c r="I220">
        <f t="shared" ca="1" si="26"/>
        <v>0</v>
      </c>
      <c r="J220" t="str">
        <f t="shared" si="27"/>
        <v>Environmental</v>
      </c>
    </row>
    <row r="221" spans="1:10">
      <c r="A221" t="str" cm="1">
        <f t="array" ref="A221">INDEX(Vendor_Master!$A$2:$A$401, ROUNDUP((ROW()-1)/4, 0))</f>
        <v>VND-055</v>
      </c>
      <c r="B221" t="str">
        <f t="shared" si="21"/>
        <v>Sustainability Disclosure</v>
      </c>
      <c r="C221" t="str">
        <f t="shared" si="22"/>
        <v>Yes</v>
      </c>
      <c r="D221" t="str">
        <f t="shared" si="23"/>
        <v>Yes</v>
      </c>
      <c r="E221" s="1">
        <v>45580</v>
      </c>
      <c r="F221" s="1">
        <v>46790</v>
      </c>
      <c r="G221">
        <f t="shared" ca="1" si="24"/>
        <v>707</v>
      </c>
      <c r="H221" t="str">
        <f t="shared" ca="1" si="25"/>
        <v>Active</v>
      </c>
      <c r="I221">
        <f t="shared" ca="1" si="26"/>
        <v>0</v>
      </c>
      <c r="J221" t="str">
        <f t="shared" si="27"/>
        <v>Environmental</v>
      </c>
    </row>
    <row r="222" spans="1:10">
      <c r="A222" t="str" cm="1">
        <f t="array" ref="A222">INDEX(Vendor_Master!$A$2:$A$401, ROUNDUP((ROW()-1)/4, 0))</f>
        <v>VND-056</v>
      </c>
      <c r="B222" t="str">
        <f t="shared" si="21"/>
        <v>ISO 14001</v>
      </c>
      <c r="C222" t="str">
        <f t="shared" si="22"/>
        <v>Yes</v>
      </c>
      <c r="D222" t="str">
        <f t="shared" si="23"/>
        <v>Yes</v>
      </c>
      <c r="E222" s="1">
        <v>45489</v>
      </c>
      <c r="F222" s="1">
        <v>46223</v>
      </c>
      <c r="G222">
        <f t="shared" ca="1" si="24"/>
        <v>140</v>
      </c>
      <c r="H222" t="str">
        <f t="shared" ca="1" si="25"/>
        <v>Active</v>
      </c>
      <c r="I222">
        <f t="shared" ca="1" si="26"/>
        <v>0</v>
      </c>
      <c r="J222" t="str">
        <f t="shared" si="27"/>
        <v>Environmental</v>
      </c>
    </row>
    <row r="223" spans="1:10">
      <c r="A223" t="str" cm="1">
        <f t="array" ref="A223">INDEX(Vendor_Master!$A$2:$A$401, ROUNDUP((ROW()-1)/4, 0))</f>
        <v>VND-056</v>
      </c>
      <c r="B223" t="str">
        <f t="shared" si="21"/>
        <v>Safety Certificate</v>
      </c>
      <c r="C223" t="str">
        <f t="shared" si="22"/>
        <v>Yes</v>
      </c>
      <c r="D223" t="str">
        <f t="shared" si="23"/>
        <v>Yes</v>
      </c>
      <c r="E223" s="1">
        <v>45972</v>
      </c>
      <c r="F223" s="1">
        <v>46322</v>
      </c>
      <c r="G223">
        <f t="shared" ca="1" si="24"/>
        <v>239</v>
      </c>
      <c r="H223" t="str">
        <f t="shared" ca="1" si="25"/>
        <v>Active</v>
      </c>
      <c r="I223">
        <f t="shared" ca="1" si="26"/>
        <v>0</v>
      </c>
      <c r="J223" t="str">
        <f t="shared" si="27"/>
        <v>Safety</v>
      </c>
    </row>
    <row r="224" spans="1:10">
      <c r="A224" t="str" cm="1">
        <f t="array" ref="A224">INDEX(Vendor_Master!$A$2:$A$401, ROUNDUP((ROW()-1)/4, 0))</f>
        <v>VND-056</v>
      </c>
      <c r="B224" t="str">
        <f t="shared" si="21"/>
        <v>Environmental Policy</v>
      </c>
      <c r="C224" t="str">
        <f t="shared" si="22"/>
        <v>Yes</v>
      </c>
      <c r="D224" t="str">
        <f t="shared" si="23"/>
        <v>Yes</v>
      </c>
      <c r="E224" s="1">
        <v>45759</v>
      </c>
      <c r="F224" s="1">
        <v>46909</v>
      </c>
      <c r="G224">
        <f t="shared" ca="1" si="24"/>
        <v>826</v>
      </c>
      <c r="H224" t="str">
        <f t="shared" ca="1" si="25"/>
        <v>Active</v>
      </c>
      <c r="I224">
        <f t="shared" ca="1" si="26"/>
        <v>0</v>
      </c>
      <c r="J224" t="str">
        <f t="shared" si="27"/>
        <v>Environmental</v>
      </c>
    </row>
    <row r="225" spans="1:10">
      <c r="A225" t="str" cm="1">
        <f t="array" ref="A225">INDEX(Vendor_Master!$A$2:$A$401, ROUNDUP((ROW()-1)/4, 0))</f>
        <v>VND-056</v>
      </c>
      <c r="B225" t="str">
        <f t="shared" si="21"/>
        <v>Sustainability Disclosure</v>
      </c>
      <c r="C225" t="str">
        <f t="shared" si="22"/>
        <v>Yes</v>
      </c>
      <c r="D225" t="str">
        <f t="shared" si="23"/>
        <v>Yes</v>
      </c>
      <c r="E225" s="1">
        <v>45903</v>
      </c>
      <c r="F225" s="1">
        <v>46258</v>
      </c>
      <c r="G225">
        <f t="shared" ca="1" si="24"/>
        <v>175</v>
      </c>
      <c r="H225" t="str">
        <f t="shared" ca="1" si="25"/>
        <v>Active</v>
      </c>
      <c r="I225">
        <f t="shared" ca="1" si="26"/>
        <v>0</v>
      </c>
      <c r="J225" t="str">
        <f t="shared" si="27"/>
        <v>Environmental</v>
      </c>
    </row>
    <row r="226" spans="1:10">
      <c r="A226" t="str" cm="1">
        <f t="array" ref="A226">INDEX(Vendor_Master!$A$2:$A$401, ROUNDUP((ROW()-1)/4, 0))</f>
        <v>VND-057</v>
      </c>
      <c r="B226" t="str">
        <f t="shared" si="21"/>
        <v>ISO 14001</v>
      </c>
      <c r="C226" t="str">
        <f t="shared" si="22"/>
        <v>Yes</v>
      </c>
      <c r="D226" t="str">
        <f t="shared" si="23"/>
        <v>Yes</v>
      </c>
      <c r="E226" s="1">
        <v>45983</v>
      </c>
      <c r="F226" s="1">
        <v>46357</v>
      </c>
      <c r="G226">
        <f t="shared" ca="1" si="24"/>
        <v>274</v>
      </c>
      <c r="H226" t="str">
        <f t="shared" ca="1" si="25"/>
        <v>Active</v>
      </c>
      <c r="I226">
        <f t="shared" ca="1" si="26"/>
        <v>0</v>
      </c>
      <c r="J226" t="str">
        <f t="shared" si="27"/>
        <v>Environmental</v>
      </c>
    </row>
    <row r="227" spans="1:10">
      <c r="A227" t="str" cm="1">
        <f t="array" ref="A227">INDEX(Vendor_Master!$A$2:$A$401, ROUNDUP((ROW()-1)/4, 0))</f>
        <v>VND-057</v>
      </c>
      <c r="B227" t="str">
        <f t="shared" si="21"/>
        <v>Safety Certificate</v>
      </c>
      <c r="C227" t="str">
        <f t="shared" si="22"/>
        <v>Yes</v>
      </c>
      <c r="D227" t="str">
        <f t="shared" si="23"/>
        <v>Yes</v>
      </c>
      <c r="E227" s="1">
        <v>45971</v>
      </c>
      <c r="F227" s="1">
        <v>46529</v>
      </c>
      <c r="G227">
        <f t="shared" ca="1" si="24"/>
        <v>446</v>
      </c>
      <c r="H227" t="str">
        <f t="shared" ca="1" si="25"/>
        <v>Active</v>
      </c>
      <c r="I227">
        <f t="shared" ca="1" si="26"/>
        <v>0</v>
      </c>
      <c r="J227" t="str">
        <f t="shared" si="27"/>
        <v>Safety</v>
      </c>
    </row>
    <row r="228" spans="1:10">
      <c r="A228" t="str" cm="1">
        <f t="array" ref="A228">INDEX(Vendor_Master!$A$2:$A$401, ROUNDUP((ROW()-1)/4, 0))</f>
        <v>VND-057</v>
      </c>
      <c r="B228" t="str">
        <f t="shared" si="21"/>
        <v>Environmental Policy</v>
      </c>
      <c r="C228" t="str">
        <f t="shared" si="22"/>
        <v>Yes</v>
      </c>
      <c r="D228" t="str">
        <f t="shared" si="23"/>
        <v>Yes</v>
      </c>
      <c r="E228" s="1">
        <v>45871</v>
      </c>
      <c r="F228" s="1">
        <v>46745</v>
      </c>
      <c r="G228">
        <f t="shared" ca="1" si="24"/>
        <v>662</v>
      </c>
      <c r="H228" t="str">
        <f t="shared" ca="1" si="25"/>
        <v>Active</v>
      </c>
      <c r="I228">
        <f t="shared" ca="1" si="26"/>
        <v>0</v>
      </c>
      <c r="J228" t="str">
        <f t="shared" si="27"/>
        <v>Environmental</v>
      </c>
    </row>
    <row r="229" spans="1:10">
      <c r="A229" t="str" cm="1">
        <f t="array" ref="A229">INDEX(Vendor_Master!$A$2:$A$401, ROUNDUP((ROW()-1)/4, 0))</f>
        <v>VND-057</v>
      </c>
      <c r="B229" t="str">
        <f t="shared" si="21"/>
        <v>Sustainability Disclosure</v>
      </c>
      <c r="C229" t="str">
        <f t="shared" si="22"/>
        <v>Yes</v>
      </c>
      <c r="D229" t="str">
        <f t="shared" si="23"/>
        <v>Yes</v>
      </c>
      <c r="E229" s="1">
        <v>45992</v>
      </c>
      <c r="F229" s="1">
        <v>46727</v>
      </c>
      <c r="G229">
        <f t="shared" ca="1" si="24"/>
        <v>644</v>
      </c>
      <c r="H229" t="str">
        <f t="shared" ca="1" si="25"/>
        <v>Active</v>
      </c>
      <c r="I229">
        <f t="shared" ca="1" si="26"/>
        <v>0</v>
      </c>
      <c r="J229" t="str">
        <f t="shared" si="27"/>
        <v>Environmental</v>
      </c>
    </row>
    <row r="230" spans="1:10">
      <c r="A230" t="str" cm="1">
        <f t="array" ref="A230">INDEX(Vendor_Master!$A$2:$A$401, ROUNDUP((ROW()-1)/4, 0))</f>
        <v>VND-058</v>
      </c>
      <c r="B230" t="str">
        <f t="shared" si="21"/>
        <v>ISO 14001</v>
      </c>
      <c r="C230" t="str">
        <f t="shared" si="22"/>
        <v>Yes</v>
      </c>
      <c r="D230" t="str">
        <f t="shared" si="23"/>
        <v>Yes</v>
      </c>
      <c r="E230" s="1">
        <v>45812</v>
      </c>
      <c r="F230" s="1">
        <v>46944</v>
      </c>
      <c r="G230">
        <f t="shared" ca="1" si="24"/>
        <v>861</v>
      </c>
      <c r="H230" t="str">
        <f t="shared" ca="1" si="25"/>
        <v>Active</v>
      </c>
      <c r="I230">
        <f t="shared" ca="1" si="26"/>
        <v>0</v>
      </c>
      <c r="J230" t="str">
        <f t="shared" si="27"/>
        <v>Environmental</v>
      </c>
    </row>
    <row r="231" spans="1:10">
      <c r="A231" t="str" cm="1">
        <f t="array" ref="A231">INDEX(Vendor_Master!$A$2:$A$401, ROUNDUP((ROW()-1)/4, 0))</f>
        <v>VND-058</v>
      </c>
      <c r="B231" t="str">
        <f t="shared" si="21"/>
        <v>Safety Certificate</v>
      </c>
      <c r="C231" t="str">
        <f t="shared" si="22"/>
        <v>Yes</v>
      </c>
      <c r="D231" t="str">
        <f t="shared" si="23"/>
        <v>Yes</v>
      </c>
      <c r="E231" s="1">
        <v>45957</v>
      </c>
      <c r="F231" s="1">
        <v>46342</v>
      </c>
      <c r="G231">
        <f t="shared" ca="1" si="24"/>
        <v>259</v>
      </c>
      <c r="H231" t="str">
        <f t="shared" ca="1" si="25"/>
        <v>Active</v>
      </c>
      <c r="I231">
        <f t="shared" ca="1" si="26"/>
        <v>0</v>
      </c>
      <c r="J231" t="str">
        <f t="shared" si="27"/>
        <v>Safety</v>
      </c>
    </row>
    <row r="232" spans="1:10">
      <c r="A232" t="str" cm="1">
        <f t="array" ref="A232">INDEX(Vendor_Master!$A$2:$A$401, ROUNDUP((ROW()-1)/4, 0))</f>
        <v>VND-058</v>
      </c>
      <c r="B232" t="str">
        <f t="shared" si="21"/>
        <v>Environmental Policy</v>
      </c>
      <c r="C232" t="str">
        <f t="shared" si="22"/>
        <v>Yes</v>
      </c>
      <c r="D232" t="str">
        <f t="shared" si="23"/>
        <v>Yes</v>
      </c>
      <c r="E232" s="1">
        <v>46067</v>
      </c>
      <c r="F232" s="1">
        <v>46799</v>
      </c>
      <c r="G232">
        <f t="shared" ca="1" si="24"/>
        <v>716</v>
      </c>
      <c r="H232" t="str">
        <f t="shared" ca="1" si="25"/>
        <v>Active</v>
      </c>
      <c r="I232">
        <f t="shared" ca="1" si="26"/>
        <v>0</v>
      </c>
      <c r="J232" t="str">
        <f t="shared" si="27"/>
        <v>Environmental</v>
      </c>
    </row>
    <row r="233" spans="1:10">
      <c r="A233" t="str" cm="1">
        <f t="array" ref="A233">INDEX(Vendor_Master!$A$2:$A$401, ROUNDUP((ROW()-1)/4, 0))</f>
        <v>VND-058</v>
      </c>
      <c r="B233" t="str">
        <f t="shared" si="21"/>
        <v>Sustainability Disclosure</v>
      </c>
      <c r="C233" t="str">
        <f t="shared" si="22"/>
        <v>Yes</v>
      </c>
      <c r="D233" t="str">
        <f t="shared" si="23"/>
        <v>Yes</v>
      </c>
      <c r="E233" s="1">
        <v>45720</v>
      </c>
      <c r="F233" s="1">
        <v>46343</v>
      </c>
      <c r="G233">
        <f t="shared" ca="1" si="24"/>
        <v>260</v>
      </c>
      <c r="H233" t="str">
        <f t="shared" ca="1" si="25"/>
        <v>Active</v>
      </c>
      <c r="I233">
        <f t="shared" ca="1" si="26"/>
        <v>0</v>
      </c>
      <c r="J233" t="str">
        <f t="shared" si="27"/>
        <v>Environmental</v>
      </c>
    </row>
    <row r="234" spans="1:10">
      <c r="A234" t="str" cm="1">
        <f t="array" ref="A234">INDEX(Vendor_Master!$A$2:$A$401, ROUNDUP((ROW()-1)/4, 0))</f>
        <v>VND-059</v>
      </c>
      <c r="B234" t="str">
        <f t="shared" si="21"/>
        <v>ISO 14001</v>
      </c>
      <c r="C234" t="str">
        <f t="shared" si="22"/>
        <v>Yes</v>
      </c>
      <c r="D234" t="str">
        <f t="shared" si="23"/>
        <v>Yes</v>
      </c>
      <c r="E234" s="1">
        <v>45392</v>
      </c>
      <c r="F234" s="1">
        <v>46458</v>
      </c>
      <c r="G234">
        <f t="shared" ca="1" si="24"/>
        <v>375</v>
      </c>
      <c r="H234" t="str">
        <f t="shared" ca="1" si="25"/>
        <v>Active</v>
      </c>
      <c r="I234">
        <f t="shared" ca="1" si="26"/>
        <v>0</v>
      </c>
      <c r="J234" t="str">
        <f t="shared" si="27"/>
        <v>Environmental</v>
      </c>
    </row>
    <row r="235" spans="1:10">
      <c r="A235" t="str" cm="1">
        <f t="array" ref="A235">INDEX(Vendor_Master!$A$2:$A$401, ROUNDUP((ROW()-1)/4, 0))</f>
        <v>VND-059</v>
      </c>
      <c r="B235" t="str">
        <f t="shared" si="21"/>
        <v>Safety Certificate</v>
      </c>
      <c r="C235" t="str">
        <f t="shared" si="22"/>
        <v>Yes</v>
      </c>
      <c r="D235" t="str">
        <f t="shared" si="23"/>
        <v>Yes</v>
      </c>
      <c r="E235" s="1">
        <v>45382</v>
      </c>
      <c r="F235" s="1">
        <v>46747</v>
      </c>
      <c r="G235">
        <f t="shared" ca="1" si="24"/>
        <v>664</v>
      </c>
      <c r="H235" t="str">
        <f t="shared" ca="1" si="25"/>
        <v>Active</v>
      </c>
      <c r="I235">
        <f t="shared" ca="1" si="26"/>
        <v>0</v>
      </c>
      <c r="J235" t="str">
        <f t="shared" si="27"/>
        <v>Safety</v>
      </c>
    </row>
    <row r="236" spans="1:10">
      <c r="A236" t="str" cm="1">
        <f t="array" ref="A236">INDEX(Vendor_Master!$A$2:$A$401, ROUNDUP((ROW()-1)/4, 0))</f>
        <v>VND-059</v>
      </c>
      <c r="B236" t="str">
        <f t="shared" si="21"/>
        <v>Environmental Policy</v>
      </c>
      <c r="C236" t="str">
        <f t="shared" si="22"/>
        <v>Yes</v>
      </c>
      <c r="D236" t="str">
        <f t="shared" si="23"/>
        <v>Yes</v>
      </c>
      <c r="E236" s="1">
        <v>45988</v>
      </c>
      <c r="F236" s="1">
        <v>46542</v>
      </c>
      <c r="G236">
        <f t="shared" ca="1" si="24"/>
        <v>459</v>
      </c>
      <c r="H236" t="str">
        <f t="shared" ca="1" si="25"/>
        <v>Active</v>
      </c>
      <c r="I236">
        <f t="shared" ca="1" si="26"/>
        <v>0</v>
      </c>
      <c r="J236" t="str">
        <f t="shared" si="27"/>
        <v>Environmental</v>
      </c>
    </row>
    <row r="237" spans="1:10">
      <c r="A237" t="str" cm="1">
        <f t="array" ref="A237">INDEX(Vendor_Master!$A$2:$A$401, ROUNDUP((ROW()-1)/4, 0))</f>
        <v>VND-059</v>
      </c>
      <c r="B237" t="str">
        <f t="shared" si="21"/>
        <v>Sustainability Disclosure</v>
      </c>
      <c r="C237" t="str">
        <f t="shared" si="22"/>
        <v>Yes</v>
      </c>
      <c r="D237" t="str">
        <f t="shared" si="23"/>
        <v>Yes</v>
      </c>
      <c r="E237" s="1">
        <v>45384</v>
      </c>
      <c r="F237" s="1">
        <v>46333</v>
      </c>
      <c r="G237">
        <f t="shared" ca="1" si="24"/>
        <v>250</v>
      </c>
      <c r="H237" t="str">
        <f t="shared" ca="1" si="25"/>
        <v>Active</v>
      </c>
      <c r="I237">
        <f t="shared" ca="1" si="26"/>
        <v>0</v>
      </c>
      <c r="J237" t="str">
        <f t="shared" si="27"/>
        <v>Environmental</v>
      </c>
    </row>
    <row r="238" spans="1:10">
      <c r="A238" t="str" cm="1">
        <f t="array" ref="A238">INDEX(Vendor_Master!$A$2:$A$401, ROUNDUP((ROW()-1)/4, 0))</f>
        <v>VND-060</v>
      </c>
      <c r="B238" t="str">
        <f t="shared" si="21"/>
        <v>ISO 14001</v>
      </c>
      <c r="C238" t="str">
        <f t="shared" si="22"/>
        <v>Yes</v>
      </c>
      <c r="D238" t="str">
        <f t="shared" si="23"/>
        <v>Yes</v>
      </c>
      <c r="E238" s="1">
        <v>45578</v>
      </c>
      <c r="F238" s="1">
        <v>46355</v>
      </c>
      <c r="G238">
        <f t="shared" ca="1" si="24"/>
        <v>272</v>
      </c>
      <c r="H238" t="str">
        <f t="shared" ca="1" si="25"/>
        <v>Active</v>
      </c>
      <c r="I238">
        <f t="shared" ca="1" si="26"/>
        <v>0</v>
      </c>
      <c r="J238" t="str">
        <f t="shared" si="27"/>
        <v>Environmental</v>
      </c>
    </row>
    <row r="239" spans="1:10">
      <c r="A239" t="str" cm="1">
        <f t="array" ref="A239">INDEX(Vendor_Master!$A$2:$A$401, ROUNDUP((ROW()-1)/4, 0))</f>
        <v>VND-060</v>
      </c>
      <c r="B239" t="str">
        <f t="shared" si="21"/>
        <v>Safety Certificate</v>
      </c>
      <c r="C239" t="str">
        <f t="shared" si="22"/>
        <v>Yes</v>
      </c>
      <c r="D239" t="str">
        <f t="shared" si="23"/>
        <v>Yes</v>
      </c>
      <c r="E239" s="1">
        <v>45547</v>
      </c>
      <c r="F239" s="1">
        <v>46280</v>
      </c>
      <c r="G239">
        <f t="shared" ca="1" si="24"/>
        <v>197</v>
      </c>
      <c r="H239" t="str">
        <f t="shared" ca="1" si="25"/>
        <v>Active</v>
      </c>
      <c r="I239">
        <f t="shared" ca="1" si="26"/>
        <v>0</v>
      </c>
      <c r="J239" t="str">
        <f t="shared" si="27"/>
        <v>Safety</v>
      </c>
    </row>
    <row r="240" spans="1:10">
      <c r="A240" t="str" cm="1">
        <f t="array" ref="A240">INDEX(Vendor_Master!$A$2:$A$401, ROUNDUP((ROW()-1)/4, 0))</f>
        <v>VND-060</v>
      </c>
      <c r="B240" t="str">
        <f t="shared" si="21"/>
        <v>Environmental Policy</v>
      </c>
      <c r="C240" t="str">
        <f t="shared" si="22"/>
        <v>Yes</v>
      </c>
      <c r="D240" t="str">
        <f t="shared" si="23"/>
        <v>Yes</v>
      </c>
      <c r="E240" s="1">
        <v>45383</v>
      </c>
      <c r="F240" s="1">
        <v>46803</v>
      </c>
      <c r="G240">
        <f t="shared" ca="1" si="24"/>
        <v>720</v>
      </c>
      <c r="H240" t="str">
        <f t="shared" ca="1" si="25"/>
        <v>Active</v>
      </c>
      <c r="I240">
        <f t="shared" ca="1" si="26"/>
        <v>0</v>
      </c>
      <c r="J240" t="str">
        <f t="shared" si="27"/>
        <v>Environmental</v>
      </c>
    </row>
    <row r="241" spans="1:10">
      <c r="A241" t="str" cm="1">
        <f t="array" ref="A241">INDEX(Vendor_Master!$A$2:$A$401, ROUNDUP((ROW()-1)/4, 0))</f>
        <v>VND-060</v>
      </c>
      <c r="B241" t="str">
        <f t="shared" si="21"/>
        <v>Sustainability Disclosure</v>
      </c>
      <c r="C241" t="str">
        <f t="shared" si="22"/>
        <v>Yes</v>
      </c>
      <c r="D241" t="str">
        <f t="shared" si="23"/>
        <v>Yes</v>
      </c>
      <c r="E241" s="1">
        <v>46003</v>
      </c>
      <c r="F241" s="1">
        <v>46703</v>
      </c>
      <c r="G241">
        <f t="shared" ca="1" si="24"/>
        <v>620</v>
      </c>
      <c r="H241" t="str">
        <f t="shared" ca="1" si="25"/>
        <v>Active</v>
      </c>
      <c r="I241">
        <f t="shared" ca="1" si="26"/>
        <v>0</v>
      </c>
      <c r="J241" t="str">
        <f t="shared" si="27"/>
        <v>Environmental</v>
      </c>
    </row>
    <row r="242" spans="1:10">
      <c r="A242" t="str" cm="1">
        <f t="array" ref="A242">INDEX(Vendor_Master!$A$2:$A$401, ROUNDUP((ROW()-1)/4, 0))</f>
        <v>VND-061</v>
      </c>
      <c r="B242" t="str">
        <f t="shared" si="21"/>
        <v>ISO 14001</v>
      </c>
      <c r="C242" t="str">
        <f t="shared" si="22"/>
        <v>Yes</v>
      </c>
      <c r="D242" t="str">
        <f t="shared" si="23"/>
        <v>Yes</v>
      </c>
      <c r="E242" s="1">
        <v>46053</v>
      </c>
      <c r="F242" s="1">
        <v>46979</v>
      </c>
      <c r="G242">
        <f t="shared" ca="1" si="24"/>
        <v>896</v>
      </c>
      <c r="H242" t="str">
        <f t="shared" ca="1" si="25"/>
        <v>Active</v>
      </c>
      <c r="I242">
        <f t="shared" ca="1" si="26"/>
        <v>0</v>
      </c>
      <c r="J242" t="str">
        <f t="shared" si="27"/>
        <v>Environmental</v>
      </c>
    </row>
    <row r="243" spans="1:10">
      <c r="A243" t="str" cm="1">
        <f t="array" ref="A243">INDEX(Vendor_Master!$A$2:$A$401, ROUNDUP((ROW()-1)/4, 0))</f>
        <v>VND-061</v>
      </c>
      <c r="B243" t="str">
        <f t="shared" si="21"/>
        <v>Safety Certificate</v>
      </c>
      <c r="C243" t="str">
        <f t="shared" si="22"/>
        <v>Yes</v>
      </c>
      <c r="D243" t="str">
        <f t="shared" si="23"/>
        <v>Yes</v>
      </c>
      <c r="E243" s="1">
        <v>45655</v>
      </c>
      <c r="F243" s="1">
        <v>46351</v>
      </c>
      <c r="G243">
        <f t="shared" ca="1" si="24"/>
        <v>268</v>
      </c>
      <c r="H243" t="str">
        <f t="shared" ca="1" si="25"/>
        <v>Active</v>
      </c>
      <c r="I243">
        <f t="shared" ca="1" si="26"/>
        <v>0</v>
      </c>
      <c r="J243" t="str">
        <f t="shared" si="27"/>
        <v>Safety</v>
      </c>
    </row>
    <row r="244" spans="1:10">
      <c r="A244" t="str" cm="1">
        <f t="array" ref="A244">INDEX(Vendor_Master!$A$2:$A$401, ROUNDUP((ROW()-1)/4, 0))</f>
        <v>VND-061</v>
      </c>
      <c r="B244" t="str">
        <f t="shared" si="21"/>
        <v>Environmental Policy</v>
      </c>
      <c r="C244" t="str">
        <f t="shared" si="22"/>
        <v>Yes</v>
      </c>
      <c r="D244" t="str">
        <f t="shared" si="23"/>
        <v>Yes</v>
      </c>
      <c r="E244" s="1">
        <v>45708</v>
      </c>
      <c r="F244" s="1">
        <v>46701</v>
      </c>
      <c r="G244">
        <f t="shared" ca="1" si="24"/>
        <v>618</v>
      </c>
      <c r="H244" t="str">
        <f t="shared" ca="1" si="25"/>
        <v>Active</v>
      </c>
      <c r="I244">
        <f t="shared" ca="1" si="26"/>
        <v>0</v>
      </c>
      <c r="J244" t="str">
        <f t="shared" si="27"/>
        <v>Environmental</v>
      </c>
    </row>
    <row r="245" spans="1:10">
      <c r="A245" t="str" cm="1">
        <f t="array" ref="A245">INDEX(Vendor_Master!$A$2:$A$401, ROUNDUP((ROW()-1)/4, 0))</f>
        <v>VND-061</v>
      </c>
      <c r="B245" t="str">
        <f t="shared" si="21"/>
        <v>Sustainability Disclosure</v>
      </c>
      <c r="C245" t="str">
        <f t="shared" si="22"/>
        <v>Yes</v>
      </c>
      <c r="D245" t="str">
        <f t="shared" si="23"/>
        <v>Yes</v>
      </c>
      <c r="E245" s="1">
        <v>45479</v>
      </c>
      <c r="F245" s="1">
        <v>46595</v>
      </c>
      <c r="G245">
        <f t="shared" ca="1" si="24"/>
        <v>512</v>
      </c>
      <c r="H245" t="str">
        <f t="shared" ca="1" si="25"/>
        <v>Active</v>
      </c>
      <c r="I245">
        <f t="shared" ca="1" si="26"/>
        <v>0</v>
      </c>
      <c r="J245" t="str">
        <f t="shared" si="27"/>
        <v>Environmental</v>
      </c>
    </row>
    <row r="246" spans="1:10">
      <c r="A246" t="str" cm="1">
        <f t="array" ref="A246">INDEX(Vendor_Master!$A$2:$A$401, ROUNDUP((ROW()-1)/4, 0))</f>
        <v>VND-062</v>
      </c>
      <c r="B246" t="str">
        <f t="shared" si="21"/>
        <v>ISO 14001</v>
      </c>
      <c r="C246" t="str">
        <f t="shared" si="22"/>
        <v>Yes</v>
      </c>
      <c r="D246" t="str">
        <f t="shared" si="23"/>
        <v>Yes</v>
      </c>
      <c r="E246" s="1">
        <v>45774</v>
      </c>
      <c r="F246" s="1">
        <v>46724</v>
      </c>
      <c r="G246">
        <f t="shared" ca="1" si="24"/>
        <v>641</v>
      </c>
      <c r="H246" t="str">
        <f t="shared" ca="1" si="25"/>
        <v>Active</v>
      </c>
      <c r="I246">
        <f t="shared" ca="1" si="26"/>
        <v>0</v>
      </c>
      <c r="J246" t="str">
        <f t="shared" si="27"/>
        <v>Environmental</v>
      </c>
    </row>
    <row r="247" spans="1:10">
      <c r="A247" t="str" cm="1">
        <f t="array" ref="A247">INDEX(Vendor_Master!$A$2:$A$401, ROUNDUP((ROW()-1)/4, 0))</f>
        <v>VND-062</v>
      </c>
      <c r="B247" t="str">
        <f t="shared" si="21"/>
        <v>Safety Certificate</v>
      </c>
      <c r="C247" t="str">
        <f t="shared" si="22"/>
        <v>Yes</v>
      </c>
      <c r="D247" t="str">
        <f t="shared" si="23"/>
        <v>Yes</v>
      </c>
      <c r="E247" s="1">
        <v>46028</v>
      </c>
      <c r="F247" s="1">
        <v>46611</v>
      </c>
      <c r="G247">
        <f t="shared" ca="1" si="24"/>
        <v>528</v>
      </c>
      <c r="H247" t="str">
        <f t="shared" ca="1" si="25"/>
        <v>Active</v>
      </c>
      <c r="I247">
        <f t="shared" ca="1" si="26"/>
        <v>0</v>
      </c>
      <c r="J247" t="str">
        <f t="shared" si="27"/>
        <v>Safety</v>
      </c>
    </row>
    <row r="248" spans="1:10">
      <c r="A248" t="str" cm="1">
        <f t="array" ref="A248">INDEX(Vendor_Master!$A$2:$A$401, ROUNDUP((ROW()-1)/4, 0))</f>
        <v>VND-062</v>
      </c>
      <c r="B248" t="str">
        <f t="shared" si="21"/>
        <v>Environmental Policy</v>
      </c>
      <c r="C248" t="str">
        <f t="shared" si="22"/>
        <v>Yes</v>
      </c>
      <c r="D248" t="str">
        <f t="shared" si="23"/>
        <v>Yes</v>
      </c>
      <c r="E248" s="1">
        <v>45900</v>
      </c>
      <c r="F248" s="1">
        <v>46514</v>
      </c>
      <c r="G248">
        <f t="shared" ca="1" si="24"/>
        <v>431</v>
      </c>
      <c r="H248" t="str">
        <f t="shared" ca="1" si="25"/>
        <v>Active</v>
      </c>
      <c r="I248">
        <f t="shared" ca="1" si="26"/>
        <v>0</v>
      </c>
      <c r="J248" t="str">
        <f t="shared" si="27"/>
        <v>Environmental</v>
      </c>
    </row>
    <row r="249" spans="1:10">
      <c r="A249" t="str" cm="1">
        <f t="array" ref="A249">INDEX(Vendor_Master!$A$2:$A$401, ROUNDUP((ROW()-1)/4, 0))</f>
        <v>VND-062</v>
      </c>
      <c r="B249" t="str">
        <f t="shared" si="21"/>
        <v>Sustainability Disclosure</v>
      </c>
      <c r="C249" t="str">
        <f t="shared" si="22"/>
        <v>Yes</v>
      </c>
      <c r="D249" t="str">
        <f t="shared" si="23"/>
        <v>Yes</v>
      </c>
      <c r="E249" s="1">
        <v>45610</v>
      </c>
      <c r="F249" s="1">
        <v>46388</v>
      </c>
      <c r="G249">
        <f t="shared" ca="1" si="24"/>
        <v>305</v>
      </c>
      <c r="H249" t="str">
        <f t="shared" ca="1" si="25"/>
        <v>Active</v>
      </c>
      <c r="I249">
        <f t="shared" ca="1" si="26"/>
        <v>0</v>
      </c>
      <c r="J249" t="str">
        <f t="shared" si="27"/>
        <v>Environmental</v>
      </c>
    </row>
    <row r="250" spans="1:10">
      <c r="A250" t="str" cm="1">
        <f t="array" ref="A250">INDEX(Vendor_Master!$A$2:$A$401, ROUNDUP((ROW()-1)/4, 0))</f>
        <v>VND-063</v>
      </c>
      <c r="B250" t="str">
        <f t="shared" si="21"/>
        <v>ISO 14001</v>
      </c>
      <c r="C250" t="str">
        <f t="shared" si="22"/>
        <v>Yes</v>
      </c>
      <c r="D250" t="str">
        <f t="shared" si="23"/>
        <v>Yes</v>
      </c>
      <c r="E250" s="1">
        <v>45829</v>
      </c>
      <c r="F250" s="1">
        <v>46479</v>
      </c>
      <c r="G250">
        <f t="shared" ca="1" si="24"/>
        <v>396</v>
      </c>
      <c r="H250" t="str">
        <f t="shared" ca="1" si="25"/>
        <v>Active</v>
      </c>
      <c r="I250">
        <f t="shared" ca="1" si="26"/>
        <v>0</v>
      </c>
      <c r="J250" t="str">
        <f t="shared" si="27"/>
        <v>Environmental</v>
      </c>
    </row>
    <row r="251" spans="1:10">
      <c r="A251" t="str" cm="1">
        <f t="array" ref="A251">INDEX(Vendor_Master!$A$2:$A$401, ROUNDUP((ROW()-1)/4, 0))</f>
        <v>VND-063</v>
      </c>
      <c r="B251" t="str">
        <f t="shared" si="21"/>
        <v>Safety Certificate</v>
      </c>
      <c r="C251" t="str">
        <f t="shared" si="22"/>
        <v>Yes</v>
      </c>
      <c r="D251" t="str">
        <f t="shared" si="23"/>
        <v>Yes</v>
      </c>
      <c r="E251" s="1">
        <v>45824</v>
      </c>
      <c r="F251" s="1">
        <v>46356</v>
      </c>
      <c r="G251">
        <f t="shared" ca="1" si="24"/>
        <v>273</v>
      </c>
      <c r="H251" t="str">
        <f t="shared" ca="1" si="25"/>
        <v>Active</v>
      </c>
      <c r="I251">
        <f t="shared" ca="1" si="26"/>
        <v>0</v>
      </c>
      <c r="J251" t="str">
        <f t="shared" si="27"/>
        <v>Safety</v>
      </c>
    </row>
    <row r="252" spans="1:10">
      <c r="A252" t="str" cm="1">
        <f t="array" ref="A252">INDEX(Vendor_Master!$A$2:$A$401, ROUNDUP((ROW()-1)/4, 0))</f>
        <v>VND-063</v>
      </c>
      <c r="B252" t="str">
        <f t="shared" si="21"/>
        <v>Environmental Policy</v>
      </c>
      <c r="C252" t="str">
        <f t="shared" si="22"/>
        <v>Yes</v>
      </c>
      <c r="D252" t="str">
        <f t="shared" si="23"/>
        <v>Yes</v>
      </c>
      <c r="E252" s="1">
        <v>45879</v>
      </c>
      <c r="F252" s="1">
        <v>46677</v>
      </c>
      <c r="G252">
        <f t="shared" ca="1" si="24"/>
        <v>594</v>
      </c>
      <c r="H252" t="str">
        <f t="shared" ca="1" si="25"/>
        <v>Active</v>
      </c>
      <c r="I252">
        <f t="shared" ca="1" si="26"/>
        <v>0</v>
      </c>
      <c r="J252" t="str">
        <f t="shared" si="27"/>
        <v>Environmental</v>
      </c>
    </row>
    <row r="253" spans="1:10">
      <c r="A253" t="str" cm="1">
        <f t="array" ref="A253">INDEX(Vendor_Master!$A$2:$A$401, ROUNDUP((ROW()-1)/4, 0))</f>
        <v>VND-063</v>
      </c>
      <c r="B253" t="str">
        <f t="shared" si="21"/>
        <v>Sustainability Disclosure</v>
      </c>
      <c r="C253" t="str">
        <f t="shared" si="22"/>
        <v>Yes</v>
      </c>
      <c r="D253" t="str">
        <f t="shared" si="23"/>
        <v>Yes</v>
      </c>
      <c r="E253" s="1">
        <v>45521</v>
      </c>
      <c r="F253" s="1">
        <v>46770</v>
      </c>
      <c r="G253">
        <f t="shared" ca="1" si="24"/>
        <v>687</v>
      </c>
      <c r="H253" t="str">
        <f t="shared" ca="1" si="25"/>
        <v>Active</v>
      </c>
      <c r="I253">
        <f t="shared" ca="1" si="26"/>
        <v>0</v>
      </c>
      <c r="J253" t="str">
        <f t="shared" si="27"/>
        <v>Environmental</v>
      </c>
    </row>
    <row r="254" spans="1:10">
      <c r="A254" t="str" cm="1">
        <f t="array" ref="A254">INDEX(Vendor_Master!$A$2:$A$401, ROUNDUP((ROW()-1)/4, 0))</f>
        <v>VND-064</v>
      </c>
      <c r="B254" t="str">
        <f t="shared" si="21"/>
        <v>ISO 14001</v>
      </c>
      <c r="C254" t="str">
        <f t="shared" si="22"/>
        <v>Yes</v>
      </c>
      <c r="D254" t="str">
        <f t="shared" si="23"/>
        <v>Yes</v>
      </c>
      <c r="E254" s="1">
        <v>45679</v>
      </c>
      <c r="F254" s="1">
        <v>46837</v>
      </c>
      <c r="G254">
        <f t="shared" ca="1" si="24"/>
        <v>754</v>
      </c>
      <c r="H254" t="str">
        <f t="shared" ca="1" si="25"/>
        <v>Active</v>
      </c>
      <c r="I254">
        <f t="shared" ca="1" si="26"/>
        <v>0</v>
      </c>
      <c r="J254" t="str">
        <f t="shared" si="27"/>
        <v>Environmental</v>
      </c>
    </row>
    <row r="255" spans="1:10">
      <c r="A255" t="str" cm="1">
        <f t="array" ref="A255">INDEX(Vendor_Master!$A$2:$A$401, ROUNDUP((ROW()-1)/4, 0))</f>
        <v>VND-064</v>
      </c>
      <c r="B255" t="str">
        <f t="shared" si="21"/>
        <v>Safety Certificate</v>
      </c>
      <c r="C255" t="str">
        <f t="shared" si="22"/>
        <v>Yes</v>
      </c>
      <c r="D255" t="str">
        <f t="shared" si="23"/>
        <v>Yes</v>
      </c>
      <c r="E255" s="1">
        <v>45882</v>
      </c>
      <c r="F255" s="1">
        <v>46622</v>
      </c>
      <c r="G255">
        <f t="shared" ca="1" si="24"/>
        <v>539</v>
      </c>
      <c r="H255" t="str">
        <f t="shared" ca="1" si="25"/>
        <v>Active</v>
      </c>
      <c r="I255">
        <f t="shared" ca="1" si="26"/>
        <v>0</v>
      </c>
      <c r="J255" t="str">
        <f t="shared" si="27"/>
        <v>Safety</v>
      </c>
    </row>
    <row r="256" spans="1:10">
      <c r="A256" t="str" cm="1">
        <f t="array" ref="A256">INDEX(Vendor_Master!$A$2:$A$401, ROUNDUP((ROW()-1)/4, 0))</f>
        <v>VND-064</v>
      </c>
      <c r="B256" t="str">
        <f t="shared" si="21"/>
        <v>Environmental Policy</v>
      </c>
      <c r="C256" t="str">
        <f t="shared" si="22"/>
        <v>Yes</v>
      </c>
      <c r="D256" t="str">
        <f t="shared" si="23"/>
        <v>Yes</v>
      </c>
      <c r="E256" s="1">
        <v>45518</v>
      </c>
      <c r="F256" s="1">
        <v>46536</v>
      </c>
      <c r="G256">
        <f t="shared" ca="1" si="24"/>
        <v>453</v>
      </c>
      <c r="H256" t="str">
        <f t="shared" ca="1" si="25"/>
        <v>Active</v>
      </c>
      <c r="I256">
        <f t="shared" ca="1" si="26"/>
        <v>0</v>
      </c>
      <c r="J256" t="str">
        <f t="shared" si="27"/>
        <v>Environmental</v>
      </c>
    </row>
    <row r="257" spans="1:10">
      <c r="A257" t="str" cm="1">
        <f t="array" ref="A257">INDEX(Vendor_Master!$A$2:$A$401, ROUNDUP((ROW()-1)/4, 0))</f>
        <v>VND-064</v>
      </c>
      <c r="B257" t="str">
        <f t="shared" si="21"/>
        <v>Sustainability Disclosure</v>
      </c>
      <c r="C257" t="str">
        <f t="shared" si="22"/>
        <v>Yes</v>
      </c>
      <c r="D257" t="str">
        <f t="shared" si="23"/>
        <v>Yes</v>
      </c>
      <c r="E257" s="1">
        <v>45629</v>
      </c>
      <c r="F257" s="1">
        <v>46201</v>
      </c>
      <c r="G257">
        <f t="shared" ca="1" si="24"/>
        <v>118</v>
      </c>
      <c r="H257" t="str">
        <f t="shared" ca="1" si="25"/>
        <v>Active</v>
      </c>
      <c r="I257">
        <f t="shared" ca="1" si="26"/>
        <v>0</v>
      </c>
      <c r="J257" t="str">
        <f t="shared" si="27"/>
        <v>Environmental</v>
      </c>
    </row>
    <row r="258" spans="1:10">
      <c r="A258" t="str" cm="1">
        <f t="array" ref="A258">INDEX(Vendor_Master!$A$2:$A$401, ROUNDUP((ROW()-1)/4, 0))</f>
        <v>VND-065</v>
      </c>
      <c r="B258" t="str">
        <f t="shared" si="21"/>
        <v>ISO 14001</v>
      </c>
      <c r="C258" t="str">
        <f t="shared" si="22"/>
        <v>Yes</v>
      </c>
      <c r="D258" t="str">
        <f t="shared" si="23"/>
        <v>Yes</v>
      </c>
      <c r="E258" s="1">
        <v>45399</v>
      </c>
      <c r="F258" s="1">
        <v>46802</v>
      </c>
      <c r="G258">
        <f t="shared" ca="1" si="24"/>
        <v>719</v>
      </c>
      <c r="H258" t="str">
        <f t="shared" ca="1" si="25"/>
        <v>Active</v>
      </c>
      <c r="I258">
        <f t="shared" ca="1" si="26"/>
        <v>0</v>
      </c>
      <c r="J258" t="str">
        <f t="shared" si="27"/>
        <v>Environmental</v>
      </c>
    </row>
    <row r="259" spans="1:10">
      <c r="A259" t="str" cm="1">
        <f t="array" ref="A259">INDEX(Vendor_Master!$A$2:$A$401, ROUNDUP((ROW()-1)/4, 0))</f>
        <v>VND-065</v>
      </c>
      <c r="B259" t="str">
        <f t="shared" ref="B259:B322" si="28">CHOOSE(MOD(ROW()-2,4)+1,"ISO 14001","Safety Certificate","Environmental Policy","Sustainability Disclosure")</f>
        <v>Safety Certificate</v>
      </c>
      <c r="C259" t="str">
        <f t="shared" ref="C259:C322" si="29">"Yes"</f>
        <v>Yes</v>
      </c>
      <c r="D259" t="str">
        <f t="shared" ref="D259:D322" si="30">IF(ROW()-1&lt;=1280,"Yes","No")</f>
        <v>Yes</v>
      </c>
      <c r="E259" s="1">
        <v>45528</v>
      </c>
      <c r="F259" s="1">
        <v>46892</v>
      </c>
      <c r="G259">
        <f t="shared" ref="G259:G322" ca="1" si="31">IF($F259="","",$F259-TODAY())</f>
        <v>809</v>
      </c>
      <c r="H259" t="str">
        <f t="shared" ref="H259:H322" ca="1" si="32">IF($C259="No","Not Required",
IF($D259="No","Missing",
IF($F259&lt;TODAY(),"Expired",
IF($F259&lt;=TODAY()+30,"Expiring Soon","Active"))))</f>
        <v>Active</v>
      </c>
      <c r="I259">
        <f t="shared" ref="I259:I322" ca="1" si="33">IF(OR($H259="Missing",$H259="Expired",$H259="Expiring Soon"),1,0)</f>
        <v>0</v>
      </c>
      <c r="J259" t="str">
        <f t="shared" ref="J259:J322" si="34">IF(B259="ISO 14001","Environmental",
 IF(B259="Environmental Policy","Environmental",
 IF(B259="Sustainability Disclosure","Environmental",
 IF(B259="Safety Certificate","Safety","Regulatory"))))</f>
        <v>Safety</v>
      </c>
    </row>
    <row r="260" spans="1:10">
      <c r="A260" t="str" cm="1">
        <f t="array" ref="A260">INDEX(Vendor_Master!$A$2:$A$401, ROUNDUP((ROW()-1)/4, 0))</f>
        <v>VND-065</v>
      </c>
      <c r="B260" t="str">
        <f t="shared" si="28"/>
        <v>Environmental Policy</v>
      </c>
      <c r="C260" t="str">
        <f t="shared" si="29"/>
        <v>Yes</v>
      </c>
      <c r="D260" t="str">
        <f t="shared" si="30"/>
        <v>Yes</v>
      </c>
      <c r="E260" s="1">
        <v>45470</v>
      </c>
      <c r="F260" s="1">
        <v>46884</v>
      </c>
      <c r="G260">
        <f t="shared" ca="1" si="31"/>
        <v>801</v>
      </c>
      <c r="H260" t="str">
        <f t="shared" ca="1" si="32"/>
        <v>Active</v>
      </c>
      <c r="I260">
        <f t="shared" ca="1" si="33"/>
        <v>0</v>
      </c>
      <c r="J260" t="str">
        <f t="shared" si="34"/>
        <v>Environmental</v>
      </c>
    </row>
    <row r="261" spans="1:10">
      <c r="A261" t="str" cm="1">
        <f t="array" ref="A261">INDEX(Vendor_Master!$A$2:$A$401, ROUNDUP((ROW()-1)/4, 0))</f>
        <v>VND-065</v>
      </c>
      <c r="B261" t="str">
        <f t="shared" si="28"/>
        <v>Sustainability Disclosure</v>
      </c>
      <c r="C261" t="str">
        <f t="shared" si="29"/>
        <v>Yes</v>
      </c>
      <c r="D261" t="str">
        <f t="shared" si="30"/>
        <v>Yes</v>
      </c>
      <c r="E261" s="1">
        <v>45400</v>
      </c>
      <c r="F261" s="1">
        <v>46595</v>
      </c>
      <c r="G261">
        <f t="shared" ca="1" si="31"/>
        <v>512</v>
      </c>
      <c r="H261" t="str">
        <f t="shared" ca="1" si="32"/>
        <v>Active</v>
      </c>
      <c r="I261">
        <f t="shared" ca="1" si="33"/>
        <v>0</v>
      </c>
      <c r="J261" t="str">
        <f t="shared" si="34"/>
        <v>Environmental</v>
      </c>
    </row>
    <row r="262" spans="1:10">
      <c r="A262" t="str" cm="1">
        <f t="array" ref="A262">INDEX(Vendor_Master!$A$2:$A$401, ROUNDUP((ROW()-1)/4, 0))</f>
        <v>VND-066</v>
      </c>
      <c r="B262" t="str">
        <f t="shared" si="28"/>
        <v>ISO 14001</v>
      </c>
      <c r="C262" t="str">
        <f t="shared" si="29"/>
        <v>Yes</v>
      </c>
      <c r="D262" t="str">
        <f t="shared" si="30"/>
        <v>Yes</v>
      </c>
      <c r="E262" s="1">
        <v>45698</v>
      </c>
      <c r="F262" s="1">
        <v>46780</v>
      </c>
      <c r="G262">
        <f t="shared" ca="1" si="31"/>
        <v>697</v>
      </c>
      <c r="H262" t="str">
        <f t="shared" ca="1" si="32"/>
        <v>Active</v>
      </c>
      <c r="I262">
        <f t="shared" ca="1" si="33"/>
        <v>0</v>
      </c>
      <c r="J262" t="str">
        <f t="shared" si="34"/>
        <v>Environmental</v>
      </c>
    </row>
    <row r="263" spans="1:10">
      <c r="A263" t="str" cm="1">
        <f t="array" ref="A263">INDEX(Vendor_Master!$A$2:$A$401, ROUNDUP((ROW()-1)/4, 0))</f>
        <v>VND-066</v>
      </c>
      <c r="B263" t="str">
        <f t="shared" si="28"/>
        <v>Safety Certificate</v>
      </c>
      <c r="C263" t="str">
        <f t="shared" si="29"/>
        <v>Yes</v>
      </c>
      <c r="D263" t="str">
        <f t="shared" si="30"/>
        <v>Yes</v>
      </c>
      <c r="E263" s="1">
        <v>45547</v>
      </c>
      <c r="F263" s="1">
        <v>46556</v>
      </c>
      <c r="G263">
        <f t="shared" ca="1" si="31"/>
        <v>473</v>
      </c>
      <c r="H263" t="str">
        <f t="shared" ca="1" si="32"/>
        <v>Active</v>
      </c>
      <c r="I263">
        <f t="shared" ca="1" si="33"/>
        <v>0</v>
      </c>
      <c r="J263" t="str">
        <f t="shared" si="34"/>
        <v>Safety</v>
      </c>
    </row>
    <row r="264" spans="1:10">
      <c r="A264" t="str" cm="1">
        <f t="array" ref="A264">INDEX(Vendor_Master!$A$2:$A$401, ROUNDUP((ROW()-1)/4, 0))</f>
        <v>VND-066</v>
      </c>
      <c r="B264" t="str">
        <f t="shared" si="28"/>
        <v>Environmental Policy</v>
      </c>
      <c r="C264" t="str">
        <f t="shared" si="29"/>
        <v>Yes</v>
      </c>
      <c r="D264" t="str">
        <f t="shared" si="30"/>
        <v>Yes</v>
      </c>
      <c r="E264" s="1">
        <v>45452</v>
      </c>
      <c r="F264" s="1">
        <v>46424</v>
      </c>
      <c r="G264">
        <f t="shared" ca="1" si="31"/>
        <v>341</v>
      </c>
      <c r="H264" t="str">
        <f t="shared" ca="1" si="32"/>
        <v>Active</v>
      </c>
      <c r="I264">
        <f t="shared" ca="1" si="33"/>
        <v>0</v>
      </c>
      <c r="J264" t="str">
        <f t="shared" si="34"/>
        <v>Environmental</v>
      </c>
    </row>
    <row r="265" spans="1:10">
      <c r="A265" t="str" cm="1">
        <f t="array" ref="A265">INDEX(Vendor_Master!$A$2:$A$401, ROUNDUP((ROW()-1)/4, 0))</f>
        <v>VND-066</v>
      </c>
      <c r="B265" t="str">
        <f t="shared" si="28"/>
        <v>Sustainability Disclosure</v>
      </c>
      <c r="C265" t="str">
        <f t="shared" si="29"/>
        <v>Yes</v>
      </c>
      <c r="D265" t="str">
        <f t="shared" si="30"/>
        <v>Yes</v>
      </c>
      <c r="E265" s="1">
        <v>45686</v>
      </c>
      <c r="F265" s="1">
        <v>46888</v>
      </c>
      <c r="G265">
        <f t="shared" ca="1" si="31"/>
        <v>805</v>
      </c>
      <c r="H265" t="str">
        <f t="shared" ca="1" si="32"/>
        <v>Active</v>
      </c>
      <c r="I265">
        <f t="shared" ca="1" si="33"/>
        <v>0</v>
      </c>
      <c r="J265" t="str">
        <f t="shared" si="34"/>
        <v>Environmental</v>
      </c>
    </row>
    <row r="266" spans="1:10">
      <c r="A266" t="str" cm="1">
        <f t="array" ref="A266">INDEX(Vendor_Master!$A$2:$A$401, ROUNDUP((ROW()-1)/4, 0))</f>
        <v>VND-067</v>
      </c>
      <c r="B266" t="str">
        <f t="shared" si="28"/>
        <v>ISO 14001</v>
      </c>
      <c r="C266" t="str">
        <f t="shared" si="29"/>
        <v>Yes</v>
      </c>
      <c r="D266" t="str">
        <f t="shared" si="30"/>
        <v>Yes</v>
      </c>
      <c r="E266" s="1">
        <v>46048</v>
      </c>
      <c r="F266" s="1">
        <v>46706</v>
      </c>
      <c r="G266">
        <f t="shared" ca="1" si="31"/>
        <v>623</v>
      </c>
      <c r="H266" t="str">
        <f t="shared" ca="1" si="32"/>
        <v>Active</v>
      </c>
      <c r="I266">
        <f t="shared" ca="1" si="33"/>
        <v>0</v>
      </c>
      <c r="J266" t="str">
        <f t="shared" si="34"/>
        <v>Environmental</v>
      </c>
    </row>
    <row r="267" spans="1:10">
      <c r="A267" t="str" cm="1">
        <f t="array" ref="A267">INDEX(Vendor_Master!$A$2:$A$401, ROUNDUP((ROW()-1)/4, 0))</f>
        <v>VND-067</v>
      </c>
      <c r="B267" t="str">
        <f t="shared" si="28"/>
        <v>Safety Certificate</v>
      </c>
      <c r="C267" t="str">
        <f t="shared" si="29"/>
        <v>Yes</v>
      </c>
      <c r="D267" t="str">
        <f t="shared" si="30"/>
        <v>Yes</v>
      </c>
      <c r="E267" s="1">
        <v>45665</v>
      </c>
      <c r="F267" s="1">
        <v>46742</v>
      </c>
      <c r="G267">
        <f t="shared" ca="1" si="31"/>
        <v>659</v>
      </c>
      <c r="H267" t="str">
        <f t="shared" ca="1" si="32"/>
        <v>Active</v>
      </c>
      <c r="I267">
        <f t="shared" ca="1" si="33"/>
        <v>0</v>
      </c>
      <c r="J267" t="str">
        <f t="shared" si="34"/>
        <v>Safety</v>
      </c>
    </row>
    <row r="268" spans="1:10">
      <c r="A268" t="str" cm="1">
        <f t="array" ref="A268">INDEX(Vendor_Master!$A$2:$A$401, ROUNDUP((ROW()-1)/4, 0))</f>
        <v>VND-067</v>
      </c>
      <c r="B268" t="str">
        <f t="shared" si="28"/>
        <v>Environmental Policy</v>
      </c>
      <c r="C268" t="str">
        <f t="shared" si="29"/>
        <v>Yes</v>
      </c>
      <c r="D268" t="str">
        <f t="shared" si="30"/>
        <v>Yes</v>
      </c>
      <c r="E268" s="1">
        <v>45681</v>
      </c>
      <c r="F268" s="1">
        <v>46426</v>
      </c>
      <c r="G268">
        <f t="shared" ca="1" si="31"/>
        <v>343</v>
      </c>
      <c r="H268" t="str">
        <f t="shared" ca="1" si="32"/>
        <v>Active</v>
      </c>
      <c r="I268">
        <f t="shared" ca="1" si="33"/>
        <v>0</v>
      </c>
      <c r="J268" t="str">
        <f t="shared" si="34"/>
        <v>Environmental</v>
      </c>
    </row>
    <row r="269" spans="1:10">
      <c r="A269" t="str" cm="1">
        <f t="array" ref="A269">INDEX(Vendor_Master!$A$2:$A$401, ROUNDUP((ROW()-1)/4, 0))</f>
        <v>VND-067</v>
      </c>
      <c r="B269" t="str">
        <f t="shared" si="28"/>
        <v>Sustainability Disclosure</v>
      </c>
      <c r="C269" t="str">
        <f t="shared" si="29"/>
        <v>Yes</v>
      </c>
      <c r="D269" t="str">
        <f t="shared" si="30"/>
        <v>Yes</v>
      </c>
      <c r="E269" s="1">
        <v>45675</v>
      </c>
      <c r="F269" s="1">
        <v>46241</v>
      </c>
      <c r="G269">
        <f t="shared" ca="1" si="31"/>
        <v>158</v>
      </c>
      <c r="H269" t="str">
        <f t="shared" ca="1" si="32"/>
        <v>Active</v>
      </c>
      <c r="I269">
        <f t="shared" ca="1" si="33"/>
        <v>0</v>
      </c>
      <c r="J269" t="str">
        <f t="shared" si="34"/>
        <v>Environmental</v>
      </c>
    </row>
    <row r="270" spans="1:10">
      <c r="A270" t="str" cm="1">
        <f t="array" ref="A270">INDEX(Vendor_Master!$A$2:$A$401, ROUNDUP((ROW()-1)/4, 0))</f>
        <v>VND-068</v>
      </c>
      <c r="B270" t="str">
        <f t="shared" si="28"/>
        <v>ISO 14001</v>
      </c>
      <c r="C270" t="str">
        <f t="shared" si="29"/>
        <v>Yes</v>
      </c>
      <c r="D270" t="str">
        <f t="shared" si="30"/>
        <v>Yes</v>
      </c>
      <c r="E270" s="1">
        <v>45813</v>
      </c>
      <c r="F270" s="1">
        <v>46764</v>
      </c>
      <c r="G270">
        <f t="shared" ca="1" si="31"/>
        <v>681</v>
      </c>
      <c r="H270" t="str">
        <f t="shared" ca="1" si="32"/>
        <v>Active</v>
      </c>
      <c r="I270">
        <f t="shared" ca="1" si="33"/>
        <v>0</v>
      </c>
      <c r="J270" t="str">
        <f t="shared" si="34"/>
        <v>Environmental</v>
      </c>
    </row>
    <row r="271" spans="1:10">
      <c r="A271" t="str" cm="1">
        <f t="array" ref="A271">INDEX(Vendor_Master!$A$2:$A$401, ROUNDUP((ROW()-1)/4, 0))</f>
        <v>VND-068</v>
      </c>
      <c r="B271" t="str">
        <f t="shared" si="28"/>
        <v>Safety Certificate</v>
      </c>
      <c r="C271" t="str">
        <f t="shared" si="29"/>
        <v>Yes</v>
      </c>
      <c r="D271" t="str">
        <f t="shared" si="30"/>
        <v>Yes</v>
      </c>
      <c r="E271" s="1">
        <v>45771</v>
      </c>
      <c r="F271" s="1">
        <v>46807</v>
      </c>
      <c r="G271">
        <f t="shared" ca="1" si="31"/>
        <v>724</v>
      </c>
      <c r="H271" t="str">
        <f t="shared" ca="1" si="32"/>
        <v>Active</v>
      </c>
      <c r="I271">
        <f t="shared" ca="1" si="33"/>
        <v>0</v>
      </c>
      <c r="J271" t="str">
        <f t="shared" si="34"/>
        <v>Safety</v>
      </c>
    </row>
    <row r="272" spans="1:10">
      <c r="A272" t="str" cm="1">
        <f t="array" ref="A272">INDEX(Vendor_Master!$A$2:$A$401, ROUNDUP((ROW()-1)/4, 0))</f>
        <v>VND-068</v>
      </c>
      <c r="B272" t="str">
        <f t="shared" si="28"/>
        <v>Environmental Policy</v>
      </c>
      <c r="C272" t="str">
        <f t="shared" si="29"/>
        <v>Yes</v>
      </c>
      <c r="D272" t="str">
        <f t="shared" si="30"/>
        <v>Yes</v>
      </c>
      <c r="E272" s="1">
        <v>45453</v>
      </c>
      <c r="F272" s="1">
        <v>46539</v>
      </c>
      <c r="G272">
        <f t="shared" ca="1" si="31"/>
        <v>456</v>
      </c>
      <c r="H272" t="str">
        <f t="shared" ca="1" si="32"/>
        <v>Active</v>
      </c>
      <c r="I272">
        <f t="shared" ca="1" si="33"/>
        <v>0</v>
      </c>
      <c r="J272" t="str">
        <f t="shared" si="34"/>
        <v>Environmental</v>
      </c>
    </row>
    <row r="273" spans="1:10">
      <c r="A273" t="str" cm="1">
        <f t="array" ref="A273">INDEX(Vendor_Master!$A$2:$A$401, ROUNDUP((ROW()-1)/4, 0))</f>
        <v>VND-068</v>
      </c>
      <c r="B273" t="str">
        <f t="shared" si="28"/>
        <v>Sustainability Disclosure</v>
      </c>
      <c r="C273" t="str">
        <f t="shared" si="29"/>
        <v>Yes</v>
      </c>
      <c r="D273" t="str">
        <f t="shared" si="30"/>
        <v>Yes</v>
      </c>
      <c r="E273" s="1">
        <v>45793</v>
      </c>
      <c r="F273" s="1">
        <v>46340</v>
      </c>
      <c r="G273">
        <f t="shared" ca="1" si="31"/>
        <v>257</v>
      </c>
      <c r="H273" t="str">
        <f t="shared" ca="1" si="32"/>
        <v>Active</v>
      </c>
      <c r="I273">
        <f t="shared" ca="1" si="33"/>
        <v>0</v>
      </c>
      <c r="J273" t="str">
        <f t="shared" si="34"/>
        <v>Environmental</v>
      </c>
    </row>
    <row r="274" spans="1:10">
      <c r="A274" t="str" cm="1">
        <f t="array" ref="A274">INDEX(Vendor_Master!$A$2:$A$401, ROUNDUP((ROW()-1)/4, 0))</f>
        <v>VND-069</v>
      </c>
      <c r="B274" t="str">
        <f t="shared" si="28"/>
        <v>ISO 14001</v>
      </c>
      <c r="C274" t="str">
        <f t="shared" si="29"/>
        <v>Yes</v>
      </c>
      <c r="D274" t="str">
        <f t="shared" si="30"/>
        <v>Yes</v>
      </c>
      <c r="E274" s="1">
        <v>45694</v>
      </c>
      <c r="F274" s="1">
        <v>46666</v>
      </c>
      <c r="G274">
        <f t="shared" ca="1" si="31"/>
        <v>583</v>
      </c>
      <c r="H274" t="str">
        <f t="shared" ca="1" si="32"/>
        <v>Active</v>
      </c>
      <c r="I274">
        <f t="shared" ca="1" si="33"/>
        <v>0</v>
      </c>
      <c r="J274" t="str">
        <f t="shared" si="34"/>
        <v>Environmental</v>
      </c>
    </row>
    <row r="275" spans="1:10">
      <c r="A275" t="str" cm="1">
        <f t="array" ref="A275">INDEX(Vendor_Master!$A$2:$A$401, ROUNDUP((ROW()-1)/4, 0))</f>
        <v>VND-069</v>
      </c>
      <c r="B275" t="str">
        <f t="shared" si="28"/>
        <v>Safety Certificate</v>
      </c>
      <c r="C275" t="str">
        <f t="shared" si="29"/>
        <v>Yes</v>
      </c>
      <c r="D275" t="str">
        <f t="shared" si="30"/>
        <v>Yes</v>
      </c>
      <c r="E275" s="1">
        <v>45675</v>
      </c>
      <c r="F275" s="1">
        <v>46726</v>
      </c>
      <c r="G275">
        <f t="shared" ca="1" si="31"/>
        <v>643</v>
      </c>
      <c r="H275" t="str">
        <f t="shared" ca="1" si="32"/>
        <v>Active</v>
      </c>
      <c r="I275">
        <f t="shared" ca="1" si="33"/>
        <v>0</v>
      </c>
      <c r="J275" t="str">
        <f t="shared" si="34"/>
        <v>Safety</v>
      </c>
    </row>
    <row r="276" spans="1:10">
      <c r="A276" t="str" cm="1">
        <f t="array" ref="A276">INDEX(Vendor_Master!$A$2:$A$401, ROUNDUP((ROW()-1)/4, 0))</f>
        <v>VND-069</v>
      </c>
      <c r="B276" t="str">
        <f t="shared" si="28"/>
        <v>Environmental Policy</v>
      </c>
      <c r="C276" t="str">
        <f t="shared" si="29"/>
        <v>Yes</v>
      </c>
      <c r="D276" t="str">
        <f t="shared" si="30"/>
        <v>Yes</v>
      </c>
      <c r="E276" s="1">
        <v>46017</v>
      </c>
      <c r="F276" s="1">
        <v>46745</v>
      </c>
      <c r="G276">
        <f t="shared" ca="1" si="31"/>
        <v>662</v>
      </c>
      <c r="H276" t="str">
        <f t="shared" ca="1" si="32"/>
        <v>Active</v>
      </c>
      <c r="I276">
        <f t="shared" ca="1" si="33"/>
        <v>0</v>
      </c>
      <c r="J276" t="str">
        <f t="shared" si="34"/>
        <v>Environmental</v>
      </c>
    </row>
    <row r="277" spans="1:10">
      <c r="A277" t="str" cm="1">
        <f t="array" ref="A277">INDEX(Vendor_Master!$A$2:$A$401, ROUNDUP((ROW()-1)/4, 0))</f>
        <v>VND-069</v>
      </c>
      <c r="B277" t="str">
        <f t="shared" si="28"/>
        <v>Sustainability Disclosure</v>
      </c>
      <c r="C277" t="str">
        <f t="shared" si="29"/>
        <v>Yes</v>
      </c>
      <c r="D277" t="str">
        <f t="shared" si="30"/>
        <v>Yes</v>
      </c>
      <c r="E277" s="1">
        <v>45543</v>
      </c>
      <c r="F277" s="1">
        <v>46931</v>
      </c>
      <c r="G277">
        <f t="shared" ca="1" si="31"/>
        <v>848</v>
      </c>
      <c r="H277" t="str">
        <f t="shared" ca="1" si="32"/>
        <v>Active</v>
      </c>
      <c r="I277">
        <f t="shared" ca="1" si="33"/>
        <v>0</v>
      </c>
      <c r="J277" t="str">
        <f t="shared" si="34"/>
        <v>Environmental</v>
      </c>
    </row>
    <row r="278" spans="1:10">
      <c r="A278" t="str" cm="1">
        <f t="array" ref="A278">INDEX(Vendor_Master!$A$2:$A$401, ROUNDUP((ROW()-1)/4, 0))</f>
        <v>VND-070</v>
      </c>
      <c r="B278" t="str">
        <f t="shared" si="28"/>
        <v>ISO 14001</v>
      </c>
      <c r="C278" t="str">
        <f t="shared" si="29"/>
        <v>Yes</v>
      </c>
      <c r="D278" t="str">
        <f t="shared" si="30"/>
        <v>Yes</v>
      </c>
      <c r="E278" s="1">
        <v>45795</v>
      </c>
      <c r="F278" s="1">
        <v>46228</v>
      </c>
      <c r="G278">
        <f t="shared" ca="1" si="31"/>
        <v>145</v>
      </c>
      <c r="H278" t="str">
        <f t="shared" ca="1" si="32"/>
        <v>Active</v>
      </c>
      <c r="I278">
        <f t="shared" ca="1" si="33"/>
        <v>0</v>
      </c>
      <c r="J278" t="str">
        <f t="shared" si="34"/>
        <v>Environmental</v>
      </c>
    </row>
    <row r="279" spans="1:10">
      <c r="A279" t="str" cm="1">
        <f t="array" ref="A279">INDEX(Vendor_Master!$A$2:$A$401, ROUNDUP((ROW()-1)/4, 0))</f>
        <v>VND-070</v>
      </c>
      <c r="B279" t="str">
        <f t="shared" si="28"/>
        <v>Safety Certificate</v>
      </c>
      <c r="C279" t="str">
        <f t="shared" si="29"/>
        <v>Yes</v>
      </c>
      <c r="D279" t="str">
        <f t="shared" si="30"/>
        <v>Yes</v>
      </c>
      <c r="E279" s="1">
        <v>46024</v>
      </c>
      <c r="F279" s="1">
        <v>46457</v>
      </c>
      <c r="G279">
        <f t="shared" ca="1" si="31"/>
        <v>374</v>
      </c>
      <c r="H279" t="str">
        <f t="shared" ca="1" si="32"/>
        <v>Active</v>
      </c>
      <c r="I279">
        <f t="shared" ca="1" si="33"/>
        <v>0</v>
      </c>
      <c r="J279" t="str">
        <f t="shared" si="34"/>
        <v>Safety</v>
      </c>
    </row>
    <row r="280" spans="1:10">
      <c r="A280" t="str" cm="1">
        <f t="array" ref="A280">INDEX(Vendor_Master!$A$2:$A$401, ROUNDUP((ROW()-1)/4, 0))</f>
        <v>VND-070</v>
      </c>
      <c r="B280" t="str">
        <f t="shared" si="28"/>
        <v>Environmental Policy</v>
      </c>
      <c r="C280" t="str">
        <f t="shared" si="29"/>
        <v>Yes</v>
      </c>
      <c r="D280" t="str">
        <f t="shared" si="30"/>
        <v>Yes</v>
      </c>
      <c r="E280" s="1">
        <v>45973</v>
      </c>
      <c r="F280" s="1">
        <v>46335</v>
      </c>
      <c r="G280">
        <f t="shared" ca="1" si="31"/>
        <v>252</v>
      </c>
      <c r="H280" t="str">
        <f t="shared" ca="1" si="32"/>
        <v>Active</v>
      </c>
      <c r="I280">
        <f t="shared" ca="1" si="33"/>
        <v>0</v>
      </c>
      <c r="J280" t="str">
        <f t="shared" si="34"/>
        <v>Environmental</v>
      </c>
    </row>
    <row r="281" spans="1:10">
      <c r="A281" t="str" cm="1">
        <f t="array" ref="A281">INDEX(Vendor_Master!$A$2:$A$401, ROUNDUP((ROW()-1)/4, 0))</f>
        <v>VND-070</v>
      </c>
      <c r="B281" t="str">
        <f t="shared" si="28"/>
        <v>Sustainability Disclosure</v>
      </c>
      <c r="C281" t="str">
        <f t="shared" si="29"/>
        <v>Yes</v>
      </c>
      <c r="D281" t="str">
        <f t="shared" si="30"/>
        <v>Yes</v>
      </c>
      <c r="E281" s="1">
        <v>46018</v>
      </c>
      <c r="F281" s="1">
        <v>46333</v>
      </c>
      <c r="G281">
        <f t="shared" ca="1" si="31"/>
        <v>250</v>
      </c>
      <c r="H281" t="str">
        <f t="shared" ca="1" si="32"/>
        <v>Active</v>
      </c>
      <c r="I281">
        <f t="shared" ca="1" si="33"/>
        <v>0</v>
      </c>
      <c r="J281" t="str">
        <f t="shared" si="34"/>
        <v>Environmental</v>
      </c>
    </row>
    <row r="282" spans="1:10">
      <c r="A282" t="str" cm="1">
        <f t="array" ref="A282">INDEX(Vendor_Master!$A$2:$A$401, ROUNDUP((ROW()-1)/4, 0))</f>
        <v>VND-071</v>
      </c>
      <c r="B282" t="str">
        <f t="shared" si="28"/>
        <v>ISO 14001</v>
      </c>
      <c r="C282" t="str">
        <f t="shared" si="29"/>
        <v>Yes</v>
      </c>
      <c r="D282" t="str">
        <f t="shared" si="30"/>
        <v>Yes</v>
      </c>
      <c r="E282" s="1">
        <v>45605</v>
      </c>
      <c r="F282" s="1">
        <v>46265</v>
      </c>
      <c r="G282">
        <f t="shared" ca="1" si="31"/>
        <v>182</v>
      </c>
      <c r="H282" t="str">
        <f t="shared" ca="1" si="32"/>
        <v>Active</v>
      </c>
      <c r="I282">
        <f t="shared" ca="1" si="33"/>
        <v>0</v>
      </c>
      <c r="J282" t="str">
        <f t="shared" si="34"/>
        <v>Environmental</v>
      </c>
    </row>
    <row r="283" spans="1:10">
      <c r="A283" t="str" cm="1">
        <f t="array" ref="A283">INDEX(Vendor_Master!$A$2:$A$401, ROUNDUP((ROW()-1)/4, 0))</f>
        <v>VND-071</v>
      </c>
      <c r="B283" t="str">
        <f t="shared" si="28"/>
        <v>Safety Certificate</v>
      </c>
      <c r="C283" t="str">
        <f t="shared" si="29"/>
        <v>Yes</v>
      </c>
      <c r="D283" t="str">
        <f t="shared" si="30"/>
        <v>Yes</v>
      </c>
      <c r="E283" s="1">
        <v>45406</v>
      </c>
      <c r="F283" s="1">
        <v>46416</v>
      </c>
      <c r="G283">
        <f t="shared" ca="1" si="31"/>
        <v>333</v>
      </c>
      <c r="H283" t="str">
        <f t="shared" ca="1" si="32"/>
        <v>Active</v>
      </c>
      <c r="I283">
        <f t="shared" ca="1" si="33"/>
        <v>0</v>
      </c>
      <c r="J283" t="str">
        <f t="shared" si="34"/>
        <v>Safety</v>
      </c>
    </row>
    <row r="284" spans="1:10">
      <c r="A284" t="str" cm="1">
        <f t="array" ref="A284">INDEX(Vendor_Master!$A$2:$A$401, ROUNDUP((ROW()-1)/4, 0))</f>
        <v>VND-071</v>
      </c>
      <c r="B284" t="str">
        <f t="shared" si="28"/>
        <v>Environmental Policy</v>
      </c>
      <c r="C284" t="str">
        <f t="shared" si="29"/>
        <v>Yes</v>
      </c>
      <c r="D284" t="str">
        <f t="shared" si="30"/>
        <v>Yes</v>
      </c>
      <c r="E284" s="1">
        <v>45991</v>
      </c>
      <c r="F284" s="1">
        <v>46499</v>
      </c>
      <c r="G284">
        <f t="shared" ca="1" si="31"/>
        <v>416</v>
      </c>
      <c r="H284" t="str">
        <f t="shared" ca="1" si="32"/>
        <v>Active</v>
      </c>
      <c r="I284">
        <f t="shared" ca="1" si="33"/>
        <v>0</v>
      </c>
      <c r="J284" t="str">
        <f t="shared" si="34"/>
        <v>Environmental</v>
      </c>
    </row>
    <row r="285" spans="1:10">
      <c r="A285" t="str" cm="1">
        <f t="array" ref="A285">INDEX(Vendor_Master!$A$2:$A$401, ROUNDUP((ROW()-1)/4, 0))</f>
        <v>VND-071</v>
      </c>
      <c r="B285" t="str">
        <f t="shared" si="28"/>
        <v>Sustainability Disclosure</v>
      </c>
      <c r="C285" t="str">
        <f t="shared" si="29"/>
        <v>Yes</v>
      </c>
      <c r="D285" t="str">
        <f t="shared" si="30"/>
        <v>Yes</v>
      </c>
      <c r="E285" s="1">
        <v>45760</v>
      </c>
      <c r="F285" s="1">
        <v>46306</v>
      </c>
      <c r="G285">
        <f t="shared" ca="1" si="31"/>
        <v>223</v>
      </c>
      <c r="H285" t="str">
        <f t="shared" ca="1" si="32"/>
        <v>Active</v>
      </c>
      <c r="I285">
        <f t="shared" ca="1" si="33"/>
        <v>0</v>
      </c>
      <c r="J285" t="str">
        <f t="shared" si="34"/>
        <v>Environmental</v>
      </c>
    </row>
    <row r="286" spans="1:10">
      <c r="A286" t="str" cm="1">
        <f t="array" ref="A286">INDEX(Vendor_Master!$A$2:$A$401, ROUNDUP((ROW()-1)/4, 0))</f>
        <v>VND-072</v>
      </c>
      <c r="B286" t="str">
        <f t="shared" si="28"/>
        <v>ISO 14001</v>
      </c>
      <c r="C286" t="str">
        <f t="shared" si="29"/>
        <v>Yes</v>
      </c>
      <c r="D286" t="str">
        <f t="shared" si="30"/>
        <v>Yes</v>
      </c>
      <c r="E286" s="1">
        <v>45846</v>
      </c>
      <c r="F286" s="1">
        <v>46652</v>
      </c>
      <c r="G286">
        <f t="shared" ca="1" si="31"/>
        <v>569</v>
      </c>
      <c r="H286" t="str">
        <f t="shared" ca="1" si="32"/>
        <v>Active</v>
      </c>
      <c r="I286">
        <f t="shared" ca="1" si="33"/>
        <v>0</v>
      </c>
      <c r="J286" t="str">
        <f t="shared" si="34"/>
        <v>Environmental</v>
      </c>
    </row>
    <row r="287" spans="1:10">
      <c r="A287" t="str" cm="1">
        <f t="array" ref="A287">INDEX(Vendor_Master!$A$2:$A$401, ROUNDUP((ROW()-1)/4, 0))</f>
        <v>VND-072</v>
      </c>
      <c r="B287" t="str">
        <f t="shared" si="28"/>
        <v>Safety Certificate</v>
      </c>
      <c r="C287" t="str">
        <f t="shared" si="29"/>
        <v>Yes</v>
      </c>
      <c r="D287" t="str">
        <f t="shared" si="30"/>
        <v>Yes</v>
      </c>
      <c r="E287" s="1">
        <v>45391</v>
      </c>
      <c r="F287" s="1">
        <v>46520</v>
      </c>
      <c r="G287">
        <f t="shared" ca="1" si="31"/>
        <v>437</v>
      </c>
      <c r="H287" t="str">
        <f t="shared" ca="1" si="32"/>
        <v>Active</v>
      </c>
      <c r="I287">
        <f t="shared" ca="1" si="33"/>
        <v>0</v>
      </c>
      <c r="J287" t="str">
        <f t="shared" si="34"/>
        <v>Safety</v>
      </c>
    </row>
    <row r="288" spans="1:10">
      <c r="A288" t="str" cm="1">
        <f t="array" ref="A288">INDEX(Vendor_Master!$A$2:$A$401, ROUNDUP((ROW()-1)/4, 0))</f>
        <v>VND-072</v>
      </c>
      <c r="B288" t="str">
        <f t="shared" si="28"/>
        <v>Environmental Policy</v>
      </c>
      <c r="C288" t="str">
        <f t="shared" si="29"/>
        <v>Yes</v>
      </c>
      <c r="D288" t="str">
        <f t="shared" si="30"/>
        <v>Yes</v>
      </c>
      <c r="E288" s="1">
        <v>45658</v>
      </c>
      <c r="F288" s="1">
        <v>46201</v>
      </c>
      <c r="G288">
        <f t="shared" ca="1" si="31"/>
        <v>118</v>
      </c>
      <c r="H288" t="str">
        <f t="shared" ca="1" si="32"/>
        <v>Active</v>
      </c>
      <c r="I288">
        <f t="shared" ca="1" si="33"/>
        <v>0</v>
      </c>
      <c r="J288" t="str">
        <f t="shared" si="34"/>
        <v>Environmental</v>
      </c>
    </row>
    <row r="289" spans="1:10">
      <c r="A289" t="str" cm="1">
        <f t="array" ref="A289">INDEX(Vendor_Master!$A$2:$A$401, ROUNDUP((ROW()-1)/4, 0))</f>
        <v>VND-072</v>
      </c>
      <c r="B289" t="str">
        <f t="shared" si="28"/>
        <v>Sustainability Disclosure</v>
      </c>
      <c r="C289" t="str">
        <f t="shared" si="29"/>
        <v>Yes</v>
      </c>
      <c r="D289" t="str">
        <f t="shared" si="30"/>
        <v>Yes</v>
      </c>
      <c r="E289" s="1">
        <v>45794</v>
      </c>
      <c r="F289" s="1">
        <v>46289</v>
      </c>
      <c r="G289">
        <f t="shared" ca="1" si="31"/>
        <v>206</v>
      </c>
      <c r="H289" t="str">
        <f t="shared" ca="1" si="32"/>
        <v>Active</v>
      </c>
      <c r="I289">
        <f t="shared" ca="1" si="33"/>
        <v>0</v>
      </c>
      <c r="J289" t="str">
        <f t="shared" si="34"/>
        <v>Environmental</v>
      </c>
    </row>
    <row r="290" spans="1:10">
      <c r="A290" t="str" cm="1">
        <f t="array" ref="A290">INDEX(Vendor_Master!$A$2:$A$401, ROUNDUP((ROW()-1)/4, 0))</f>
        <v>VND-073</v>
      </c>
      <c r="B290" t="str">
        <f t="shared" si="28"/>
        <v>ISO 14001</v>
      </c>
      <c r="C290" t="str">
        <f t="shared" si="29"/>
        <v>Yes</v>
      </c>
      <c r="D290" t="str">
        <f t="shared" si="30"/>
        <v>Yes</v>
      </c>
      <c r="E290" s="1">
        <v>45811</v>
      </c>
      <c r="F290" s="1">
        <v>46775</v>
      </c>
      <c r="G290">
        <f t="shared" ca="1" si="31"/>
        <v>692</v>
      </c>
      <c r="H290" t="str">
        <f t="shared" ca="1" si="32"/>
        <v>Active</v>
      </c>
      <c r="I290">
        <f t="shared" ca="1" si="33"/>
        <v>0</v>
      </c>
      <c r="J290" t="str">
        <f t="shared" si="34"/>
        <v>Environmental</v>
      </c>
    </row>
    <row r="291" spans="1:10">
      <c r="A291" t="str" cm="1">
        <f t="array" ref="A291">INDEX(Vendor_Master!$A$2:$A$401, ROUNDUP((ROW()-1)/4, 0))</f>
        <v>VND-073</v>
      </c>
      <c r="B291" t="str">
        <f t="shared" si="28"/>
        <v>Safety Certificate</v>
      </c>
      <c r="C291" t="str">
        <f t="shared" si="29"/>
        <v>Yes</v>
      </c>
      <c r="D291" t="str">
        <f t="shared" si="30"/>
        <v>Yes</v>
      </c>
      <c r="E291" s="1">
        <v>45703</v>
      </c>
      <c r="F291" s="1">
        <v>46775</v>
      </c>
      <c r="G291">
        <f t="shared" ca="1" si="31"/>
        <v>692</v>
      </c>
      <c r="H291" t="str">
        <f t="shared" ca="1" si="32"/>
        <v>Active</v>
      </c>
      <c r="I291">
        <f t="shared" ca="1" si="33"/>
        <v>0</v>
      </c>
      <c r="J291" t="str">
        <f t="shared" si="34"/>
        <v>Safety</v>
      </c>
    </row>
    <row r="292" spans="1:10">
      <c r="A292" t="str" cm="1">
        <f t="array" ref="A292">INDEX(Vendor_Master!$A$2:$A$401, ROUNDUP((ROW()-1)/4, 0))</f>
        <v>VND-073</v>
      </c>
      <c r="B292" t="str">
        <f t="shared" si="28"/>
        <v>Environmental Policy</v>
      </c>
      <c r="C292" t="str">
        <f t="shared" si="29"/>
        <v>Yes</v>
      </c>
      <c r="D292" t="str">
        <f t="shared" si="30"/>
        <v>Yes</v>
      </c>
      <c r="E292" s="1">
        <v>45535</v>
      </c>
      <c r="F292" s="1">
        <v>46916</v>
      </c>
      <c r="G292">
        <f t="shared" ca="1" si="31"/>
        <v>833</v>
      </c>
      <c r="H292" t="str">
        <f t="shared" ca="1" si="32"/>
        <v>Active</v>
      </c>
      <c r="I292">
        <f t="shared" ca="1" si="33"/>
        <v>0</v>
      </c>
      <c r="J292" t="str">
        <f t="shared" si="34"/>
        <v>Environmental</v>
      </c>
    </row>
    <row r="293" spans="1:10">
      <c r="A293" t="str" cm="1">
        <f t="array" ref="A293">INDEX(Vendor_Master!$A$2:$A$401, ROUNDUP((ROW()-1)/4, 0))</f>
        <v>VND-073</v>
      </c>
      <c r="B293" t="str">
        <f t="shared" si="28"/>
        <v>Sustainability Disclosure</v>
      </c>
      <c r="C293" t="str">
        <f t="shared" si="29"/>
        <v>Yes</v>
      </c>
      <c r="D293" t="str">
        <f t="shared" si="30"/>
        <v>Yes</v>
      </c>
      <c r="E293" s="1">
        <v>46003</v>
      </c>
      <c r="F293" s="1">
        <v>46346</v>
      </c>
      <c r="G293">
        <f t="shared" ca="1" si="31"/>
        <v>263</v>
      </c>
      <c r="H293" t="str">
        <f t="shared" ca="1" si="32"/>
        <v>Active</v>
      </c>
      <c r="I293">
        <f t="shared" ca="1" si="33"/>
        <v>0</v>
      </c>
      <c r="J293" t="str">
        <f t="shared" si="34"/>
        <v>Environmental</v>
      </c>
    </row>
    <row r="294" spans="1:10">
      <c r="A294" t="str" cm="1">
        <f t="array" ref="A294">INDEX(Vendor_Master!$A$2:$A$401, ROUNDUP((ROW()-1)/4, 0))</f>
        <v>VND-074</v>
      </c>
      <c r="B294" t="str">
        <f t="shared" si="28"/>
        <v>ISO 14001</v>
      </c>
      <c r="C294" t="str">
        <f t="shared" si="29"/>
        <v>Yes</v>
      </c>
      <c r="D294" t="str">
        <f t="shared" si="30"/>
        <v>Yes</v>
      </c>
      <c r="E294" s="1">
        <v>45832</v>
      </c>
      <c r="F294" s="1">
        <v>46759</v>
      </c>
      <c r="G294">
        <f t="shared" ca="1" si="31"/>
        <v>676</v>
      </c>
      <c r="H294" t="str">
        <f t="shared" ca="1" si="32"/>
        <v>Active</v>
      </c>
      <c r="I294">
        <f t="shared" ca="1" si="33"/>
        <v>0</v>
      </c>
      <c r="J294" t="str">
        <f t="shared" si="34"/>
        <v>Environmental</v>
      </c>
    </row>
    <row r="295" spans="1:10">
      <c r="A295" t="str" cm="1">
        <f t="array" ref="A295">INDEX(Vendor_Master!$A$2:$A$401, ROUNDUP((ROW()-1)/4, 0))</f>
        <v>VND-074</v>
      </c>
      <c r="B295" t="str">
        <f t="shared" si="28"/>
        <v>Safety Certificate</v>
      </c>
      <c r="C295" t="str">
        <f t="shared" si="29"/>
        <v>Yes</v>
      </c>
      <c r="D295" t="str">
        <f t="shared" si="30"/>
        <v>Yes</v>
      </c>
      <c r="E295" s="1">
        <v>45527</v>
      </c>
      <c r="F295" s="1">
        <v>46635</v>
      </c>
      <c r="G295">
        <f t="shared" ca="1" si="31"/>
        <v>552</v>
      </c>
      <c r="H295" t="str">
        <f t="shared" ca="1" si="32"/>
        <v>Active</v>
      </c>
      <c r="I295">
        <f t="shared" ca="1" si="33"/>
        <v>0</v>
      </c>
      <c r="J295" t="str">
        <f t="shared" si="34"/>
        <v>Safety</v>
      </c>
    </row>
    <row r="296" spans="1:10">
      <c r="A296" t="str" cm="1">
        <f t="array" ref="A296">INDEX(Vendor_Master!$A$2:$A$401, ROUNDUP((ROW()-1)/4, 0))</f>
        <v>VND-074</v>
      </c>
      <c r="B296" t="str">
        <f t="shared" si="28"/>
        <v>Environmental Policy</v>
      </c>
      <c r="C296" t="str">
        <f t="shared" si="29"/>
        <v>Yes</v>
      </c>
      <c r="D296" t="str">
        <f t="shared" si="30"/>
        <v>Yes</v>
      </c>
      <c r="E296" s="1">
        <v>45624</v>
      </c>
      <c r="F296" s="1">
        <v>46832</v>
      </c>
      <c r="G296">
        <f t="shared" ca="1" si="31"/>
        <v>749</v>
      </c>
      <c r="H296" t="str">
        <f t="shared" ca="1" si="32"/>
        <v>Active</v>
      </c>
      <c r="I296">
        <f t="shared" ca="1" si="33"/>
        <v>0</v>
      </c>
      <c r="J296" t="str">
        <f t="shared" si="34"/>
        <v>Environmental</v>
      </c>
    </row>
    <row r="297" spans="1:10">
      <c r="A297" t="str" cm="1">
        <f t="array" ref="A297">INDEX(Vendor_Master!$A$2:$A$401, ROUNDUP((ROW()-1)/4, 0))</f>
        <v>VND-074</v>
      </c>
      <c r="B297" t="str">
        <f t="shared" si="28"/>
        <v>Sustainability Disclosure</v>
      </c>
      <c r="C297" t="str">
        <f t="shared" si="29"/>
        <v>Yes</v>
      </c>
      <c r="D297" t="str">
        <f t="shared" si="30"/>
        <v>Yes</v>
      </c>
      <c r="E297" s="1">
        <v>46037</v>
      </c>
      <c r="F297" s="1">
        <v>46523</v>
      </c>
      <c r="G297">
        <f t="shared" ca="1" si="31"/>
        <v>440</v>
      </c>
      <c r="H297" t="str">
        <f t="shared" ca="1" si="32"/>
        <v>Active</v>
      </c>
      <c r="I297">
        <f t="shared" ca="1" si="33"/>
        <v>0</v>
      </c>
      <c r="J297" t="str">
        <f t="shared" si="34"/>
        <v>Environmental</v>
      </c>
    </row>
    <row r="298" spans="1:10">
      <c r="A298" t="str" cm="1">
        <f t="array" ref="A298">INDEX(Vendor_Master!$A$2:$A$401, ROUNDUP((ROW()-1)/4, 0))</f>
        <v>VND-075</v>
      </c>
      <c r="B298" t="str">
        <f t="shared" si="28"/>
        <v>ISO 14001</v>
      </c>
      <c r="C298" t="str">
        <f t="shared" si="29"/>
        <v>Yes</v>
      </c>
      <c r="D298" t="str">
        <f t="shared" si="30"/>
        <v>Yes</v>
      </c>
      <c r="E298" s="1">
        <v>46060</v>
      </c>
      <c r="F298" s="1">
        <v>46588</v>
      </c>
      <c r="G298">
        <f t="shared" ca="1" si="31"/>
        <v>505</v>
      </c>
      <c r="H298" t="str">
        <f t="shared" ca="1" si="32"/>
        <v>Active</v>
      </c>
      <c r="I298">
        <f t="shared" ca="1" si="33"/>
        <v>0</v>
      </c>
      <c r="J298" t="str">
        <f t="shared" si="34"/>
        <v>Environmental</v>
      </c>
    </row>
    <row r="299" spans="1:10">
      <c r="A299" t="str" cm="1">
        <f t="array" ref="A299">INDEX(Vendor_Master!$A$2:$A$401, ROUNDUP((ROW()-1)/4, 0))</f>
        <v>VND-075</v>
      </c>
      <c r="B299" t="str">
        <f t="shared" si="28"/>
        <v>Safety Certificate</v>
      </c>
      <c r="C299" t="str">
        <f t="shared" si="29"/>
        <v>Yes</v>
      </c>
      <c r="D299" t="str">
        <f t="shared" si="30"/>
        <v>Yes</v>
      </c>
      <c r="E299" s="1">
        <v>45808</v>
      </c>
      <c r="F299" s="1">
        <v>46806</v>
      </c>
      <c r="G299">
        <f t="shared" ca="1" si="31"/>
        <v>723</v>
      </c>
      <c r="H299" t="str">
        <f t="shared" ca="1" si="32"/>
        <v>Active</v>
      </c>
      <c r="I299">
        <f t="shared" ca="1" si="33"/>
        <v>0</v>
      </c>
      <c r="J299" t="str">
        <f t="shared" si="34"/>
        <v>Safety</v>
      </c>
    </row>
    <row r="300" spans="1:10">
      <c r="A300" t="str" cm="1">
        <f t="array" ref="A300">INDEX(Vendor_Master!$A$2:$A$401, ROUNDUP((ROW()-1)/4, 0))</f>
        <v>VND-075</v>
      </c>
      <c r="B300" t="str">
        <f t="shared" si="28"/>
        <v>Environmental Policy</v>
      </c>
      <c r="C300" t="str">
        <f t="shared" si="29"/>
        <v>Yes</v>
      </c>
      <c r="D300" t="str">
        <f t="shared" si="30"/>
        <v>Yes</v>
      </c>
      <c r="E300" s="1">
        <v>45881</v>
      </c>
      <c r="F300" s="1">
        <v>46589</v>
      </c>
      <c r="G300">
        <f t="shared" ca="1" si="31"/>
        <v>506</v>
      </c>
      <c r="H300" t="str">
        <f t="shared" ca="1" si="32"/>
        <v>Active</v>
      </c>
      <c r="I300">
        <f t="shared" ca="1" si="33"/>
        <v>0</v>
      </c>
      <c r="J300" t="str">
        <f t="shared" si="34"/>
        <v>Environmental</v>
      </c>
    </row>
    <row r="301" spans="1:10">
      <c r="A301" t="str" cm="1">
        <f t="array" ref="A301">INDEX(Vendor_Master!$A$2:$A$401, ROUNDUP((ROW()-1)/4, 0))</f>
        <v>VND-075</v>
      </c>
      <c r="B301" t="str">
        <f t="shared" si="28"/>
        <v>Sustainability Disclosure</v>
      </c>
      <c r="C301" t="str">
        <f t="shared" si="29"/>
        <v>Yes</v>
      </c>
      <c r="D301" t="str">
        <f t="shared" si="30"/>
        <v>Yes</v>
      </c>
      <c r="E301" s="1">
        <v>45453</v>
      </c>
      <c r="F301" s="1">
        <v>46487</v>
      </c>
      <c r="G301">
        <f t="shared" ca="1" si="31"/>
        <v>404</v>
      </c>
      <c r="H301" t="str">
        <f t="shared" ca="1" si="32"/>
        <v>Active</v>
      </c>
      <c r="I301">
        <f t="shared" ca="1" si="33"/>
        <v>0</v>
      </c>
      <c r="J301" t="str">
        <f t="shared" si="34"/>
        <v>Environmental</v>
      </c>
    </row>
    <row r="302" spans="1:10">
      <c r="A302" t="str" cm="1">
        <f t="array" ref="A302">INDEX(Vendor_Master!$A$2:$A$401, ROUNDUP((ROW()-1)/4, 0))</f>
        <v>VND-076</v>
      </c>
      <c r="B302" t="str">
        <f t="shared" si="28"/>
        <v>ISO 14001</v>
      </c>
      <c r="C302" t="str">
        <f t="shared" si="29"/>
        <v>Yes</v>
      </c>
      <c r="D302" t="str">
        <f t="shared" si="30"/>
        <v>Yes</v>
      </c>
      <c r="E302" s="1">
        <v>46008</v>
      </c>
      <c r="F302" s="1">
        <v>46239</v>
      </c>
      <c r="G302">
        <f t="shared" ca="1" si="31"/>
        <v>156</v>
      </c>
      <c r="H302" t="str">
        <f t="shared" ca="1" si="32"/>
        <v>Active</v>
      </c>
      <c r="I302">
        <f t="shared" ca="1" si="33"/>
        <v>0</v>
      </c>
      <c r="J302" t="str">
        <f t="shared" si="34"/>
        <v>Environmental</v>
      </c>
    </row>
    <row r="303" spans="1:10">
      <c r="A303" t="str" cm="1">
        <f t="array" ref="A303">INDEX(Vendor_Master!$A$2:$A$401, ROUNDUP((ROW()-1)/4, 0))</f>
        <v>VND-076</v>
      </c>
      <c r="B303" t="str">
        <f t="shared" si="28"/>
        <v>Safety Certificate</v>
      </c>
      <c r="C303" t="str">
        <f t="shared" si="29"/>
        <v>Yes</v>
      </c>
      <c r="D303" t="str">
        <f t="shared" si="30"/>
        <v>Yes</v>
      </c>
      <c r="E303" s="1">
        <v>45987</v>
      </c>
      <c r="F303" s="1">
        <v>46729</v>
      </c>
      <c r="G303">
        <f t="shared" ca="1" si="31"/>
        <v>646</v>
      </c>
      <c r="H303" t="str">
        <f t="shared" ca="1" si="32"/>
        <v>Active</v>
      </c>
      <c r="I303">
        <f t="shared" ca="1" si="33"/>
        <v>0</v>
      </c>
      <c r="J303" t="str">
        <f t="shared" si="34"/>
        <v>Safety</v>
      </c>
    </row>
    <row r="304" spans="1:10">
      <c r="A304" t="str" cm="1">
        <f t="array" ref="A304">INDEX(Vendor_Master!$A$2:$A$401, ROUNDUP((ROW()-1)/4, 0))</f>
        <v>VND-076</v>
      </c>
      <c r="B304" t="str">
        <f t="shared" si="28"/>
        <v>Environmental Policy</v>
      </c>
      <c r="C304" t="str">
        <f t="shared" si="29"/>
        <v>Yes</v>
      </c>
      <c r="D304" t="str">
        <f t="shared" si="30"/>
        <v>Yes</v>
      </c>
      <c r="E304" s="1">
        <v>45635</v>
      </c>
      <c r="F304" s="1">
        <v>46740</v>
      </c>
      <c r="G304">
        <f t="shared" ca="1" si="31"/>
        <v>657</v>
      </c>
      <c r="H304" t="str">
        <f t="shared" ca="1" si="32"/>
        <v>Active</v>
      </c>
      <c r="I304">
        <f t="shared" ca="1" si="33"/>
        <v>0</v>
      </c>
      <c r="J304" t="str">
        <f t="shared" si="34"/>
        <v>Environmental</v>
      </c>
    </row>
    <row r="305" spans="1:10">
      <c r="A305" t="str" cm="1">
        <f t="array" ref="A305">INDEX(Vendor_Master!$A$2:$A$401, ROUNDUP((ROW()-1)/4, 0))</f>
        <v>VND-076</v>
      </c>
      <c r="B305" t="str">
        <f t="shared" si="28"/>
        <v>Sustainability Disclosure</v>
      </c>
      <c r="C305" t="str">
        <f t="shared" si="29"/>
        <v>Yes</v>
      </c>
      <c r="D305" t="str">
        <f t="shared" si="30"/>
        <v>Yes</v>
      </c>
      <c r="E305" s="1">
        <v>45529</v>
      </c>
      <c r="F305" s="1">
        <v>46582</v>
      </c>
      <c r="G305">
        <f t="shared" ca="1" si="31"/>
        <v>499</v>
      </c>
      <c r="H305" t="str">
        <f t="shared" ca="1" si="32"/>
        <v>Active</v>
      </c>
      <c r="I305">
        <f t="shared" ca="1" si="33"/>
        <v>0</v>
      </c>
      <c r="J305" t="str">
        <f t="shared" si="34"/>
        <v>Environmental</v>
      </c>
    </row>
    <row r="306" spans="1:10">
      <c r="A306" t="str" cm="1">
        <f t="array" ref="A306">INDEX(Vendor_Master!$A$2:$A$401, ROUNDUP((ROW()-1)/4, 0))</f>
        <v>VND-077</v>
      </c>
      <c r="B306" t="str">
        <f t="shared" si="28"/>
        <v>ISO 14001</v>
      </c>
      <c r="C306" t="str">
        <f t="shared" si="29"/>
        <v>Yes</v>
      </c>
      <c r="D306" t="str">
        <f t="shared" si="30"/>
        <v>Yes</v>
      </c>
      <c r="E306" s="1">
        <v>45504</v>
      </c>
      <c r="F306" s="1">
        <v>46360</v>
      </c>
      <c r="G306">
        <f t="shared" ca="1" si="31"/>
        <v>277</v>
      </c>
      <c r="H306" t="str">
        <f t="shared" ca="1" si="32"/>
        <v>Active</v>
      </c>
      <c r="I306">
        <f t="shared" ca="1" si="33"/>
        <v>0</v>
      </c>
      <c r="J306" t="str">
        <f t="shared" si="34"/>
        <v>Environmental</v>
      </c>
    </row>
    <row r="307" spans="1:10">
      <c r="A307" t="str" cm="1">
        <f t="array" ref="A307">INDEX(Vendor_Master!$A$2:$A$401, ROUNDUP((ROW()-1)/4, 0))</f>
        <v>VND-077</v>
      </c>
      <c r="B307" t="str">
        <f t="shared" si="28"/>
        <v>Safety Certificate</v>
      </c>
      <c r="C307" t="str">
        <f t="shared" si="29"/>
        <v>Yes</v>
      </c>
      <c r="D307" t="str">
        <f t="shared" si="30"/>
        <v>Yes</v>
      </c>
      <c r="E307" s="1">
        <v>45445</v>
      </c>
      <c r="F307" s="1">
        <v>46947</v>
      </c>
      <c r="G307">
        <f t="shared" ca="1" si="31"/>
        <v>864</v>
      </c>
      <c r="H307" t="str">
        <f t="shared" ca="1" si="32"/>
        <v>Active</v>
      </c>
      <c r="I307">
        <f t="shared" ca="1" si="33"/>
        <v>0</v>
      </c>
      <c r="J307" t="str">
        <f t="shared" si="34"/>
        <v>Safety</v>
      </c>
    </row>
    <row r="308" spans="1:10">
      <c r="A308" t="str" cm="1">
        <f t="array" ref="A308">INDEX(Vendor_Master!$A$2:$A$401, ROUNDUP((ROW()-1)/4, 0))</f>
        <v>VND-077</v>
      </c>
      <c r="B308" t="str">
        <f t="shared" si="28"/>
        <v>Environmental Policy</v>
      </c>
      <c r="C308" t="str">
        <f t="shared" si="29"/>
        <v>Yes</v>
      </c>
      <c r="D308" t="str">
        <f t="shared" si="30"/>
        <v>Yes</v>
      </c>
      <c r="E308" s="1">
        <v>45672</v>
      </c>
      <c r="F308" s="1">
        <v>46767</v>
      </c>
      <c r="G308">
        <f t="shared" ca="1" si="31"/>
        <v>684</v>
      </c>
      <c r="H308" t="str">
        <f t="shared" ca="1" si="32"/>
        <v>Active</v>
      </c>
      <c r="I308">
        <f t="shared" ca="1" si="33"/>
        <v>0</v>
      </c>
      <c r="J308" t="str">
        <f t="shared" si="34"/>
        <v>Environmental</v>
      </c>
    </row>
    <row r="309" spans="1:10">
      <c r="A309" t="str" cm="1">
        <f t="array" ref="A309">INDEX(Vendor_Master!$A$2:$A$401, ROUNDUP((ROW()-1)/4, 0))</f>
        <v>VND-077</v>
      </c>
      <c r="B309" t="str">
        <f t="shared" si="28"/>
        <v>Sustainability Disclosure</v>
      </c>
      <c r="C309" t="str">
        <f t="shared" si="29"/>
        <v>Yes</v>
      </c>
      <c r="D309" t="str">
        <f t="shared" si="30"/>
        <v>Yes</v>
      </c>
      <c r="E309" s="1">
        <v>45407</v>
      </c>
      <c r="F309" s="1">
        <v>46818</v>
      </c>
      <c r="G309">
        <f t="shared" ca="1" si="31"/>
        <v>735</v>
      </c>
      <c r="H309" t="str">
        <f t="shared" ca="1" si="32"/>
        <v>Active</v>
      </c>
      <c r="I309">
        <f t="shared" ca="1" si="33"/>
        <v>0</v>
      </c>
      <c r="J309" t="str">
        <f t="shared" si="34"/>
        <v>Environmental</v>
      </c>
    </row>
    <row r="310" spans="1:10">
      <c r="A310" t="str" cm="1">
        <f t="array" ref="A310">INDEX(Vendor_Master!$A$2:$A$401, ROUNDUP((ROW()-1)/4, 0))</f>
        <v>VND-078</v>
      </c>
      <c r="B310" t="str">
        <f t="shared" si="28"/>
        <v>ISO 14001</v>
      </c>
      <c r="C310" t="str">
        <f t="shared" si="29"/>
        <v>Yes</v>
      </c>
      <c r="D310" t="str">
        <f t="shared" si="30"/>
        <v>Yes</v>
      </c>
      <c r="E310" s="1">
        <v>45716</v>
      </c>
      <c r="F310" s="1">
        <v>46972</v>
      </c>
      <c r="G310">
        <f t="shared" ca="1" si="31"/>
        <v>889</v>
      </c>
      <c r="H310" t="str">
        <f t="shared" ca="1" si="32"/>
        <v>Active</v>
      </c>
      <c r="I310">
        <f t="shared" ca="1" si="33"/>
        <v>0</v>
      </c>
      <c r="J310" t="str">
        <f t="shared" si="34"/>
        <v>Environmental</v>
      </c>
    </row>
    <row r="311" spans="1:10">
      <c r="A311" t="str" cm="1">
        <f t="array" ref="A311">INDEX(Vendor_Master!$A$2:$A$401, ROUNDUP((ROW()-1)/4, 0))</f>
        <v>VND-078</v>
      </c>
      <c r="B311" t="str">
        <f t="shared" si="28"/>
        <v>Safety Certificate</v>
      </c>
      <c r="C311" t="str">
        <f t="shared" si="29"/>
        <v>Yes</v>
      </c>
      <c r="D311" t="str">
        <f t="shared" si="30"/>
        <v>Yes</v>
      </c>
      <c r="E311" s="1">
        <v>45834</v>
      </c>
      <c r="F311" s="1">
        <v>46360</v>
      </c>
      <c r="G311">
        <f t="shared" ca="1" si="31"/>
        <v>277</v>
      </c>
      <c r="H311" t="str">
        <f t="shared" ca="1" si="32"/>
        <v>Active</v>
      </c>
      <c r="I311">
        <f t="shared" ca="1" si="33"/>
        <v>0</v>
      </c>
      <c r="J311" t="str">
        <f t="shared" si="34"/>
        <v>Safety</v>
      </c>
    </row>
    <row r="312" spans="1:10">
      <c r="A312" t="str" cm="1">
        <f t="array" ref="A312">INDEX(Vendor_Master!$A$2:$A$401, ROUNDUP((ROW()-1)/4, 0))</f>
        <v>VND-078</v>
      </c>
      <c r="B312" t="str">
        <f t="shared" si="28"/>
        <v>Environmental Policy</v>
      </c>
      <c r="C312" t="str">
        <f t="shared" si="29"/>
        <v>Yes</v>
      </c>
      <c r="D312" t="str">
        <f t="shared" si="30"/>
        <v>Yes</v>
      </c>
      <c r="E312" s="1">
        <v>45984</v>
      </c>
      <c r="F312" s="1">
        <v>46658</v>
      </c>
      <c r="G312">
        <f t="shared" ca="1" si="31"/>
        <v>575</v>
      </c>
      <c r="H312" t="str">
        <f t="shared" ca="1" si="32"/>
        <v>Active</v>
      </c>
      <c r="I312">
        <f t="shared" ca="1" si="33"/>
        <v>0</v>
      </c>
      <c r="J312" t="str">
        <f t="shared" si="34"/>
        <v>Environmental</v>
      </c>
    </row>
    <row r="313" spans="1:10">
      <c r="A313" t="str" cm="1">
        <f t="array" ref="A313">INDEX(Vendor_Master!$A$2:$A$401, ROUNDUP((ROW()-1)/4, 0))</f>
        <v>VND-078</v>
      </c>
      <c r="B313" t="str">
        <f t="shared" si="28"/>
        <v>Sustainability Disclosure</v>
      </c>
      <c r="C313" t="str">
        <f t="shared" si="29"/>
        <v>Yes</v>
      </c>
      <c r="D313" t="str">
        <f t="shared" si="30"/>
        <v>Yes</v>
      </c>
      <c r="E313" s="1">
        <v>45684</v>
      </c>
      <c r="F313" s="1">
        <v>46625</v>
      </c>
      <c r="G313">
        <f t="shared" ca="1" si="31"/>
        <v>542</v>
      </c>
      <c r="H313" t="str">
        <f t="shared" ca="1" si="32"/>
        <v>Active</v>
      </c>
      <c r="I313">
        <f t="shared" ca="1" si="33"/>
        <v>0</v>
      </c>
      <c r="J313" t="str">
        <f t="shared" si="34"/>
        <v>Environmental</v>
      </c>
    </row>
    <row r="314" spans="1:10">
      <c r="A314" t="str" cm="1">
        <f t="array" ref="A314">INDEX(Vendor_Master!$A$2:$A$401, ROUNDUP((ROW()-1)/4, 0))</f>
        <v>VND-079</v>
      </c>
      <c r="B314" t="str">
        <f t="shared" si="28"/>
        <v>ISO 14001</v>
      </c>
      <c r="C314" t="str">
        <f t="shared" si="29"/>
        <v>Yes</v>
      </c>
      <c r="D314" t="str">
        <f t="shared" si="30"/>
        <v>Yes</v>
      </c>
      <c r="E314" s="1">
        <v>45420</v>
      </c>
      <c r="F314" s="1">
        <v>46779</v>
      </c>
      <c r="G314">
        <f t="shared" ca="1" si="31"/>
        <v>696</v>
      </c>
      <c r="H314" t="str">
        <f t="shared" ca="1" si="32"/>
        <v>Active</v>
      </c>
      <c r="I314">
        <f t="shared" ca="1" si="33"/>
        <v>0</v>
      </c>
      <c r="J314" t="str">
        <f t="shared" si="34"/>
        <v>Environmental</v>
      </c>
    </row>
    <row r="315" spans="1:10">
      <c r="A315" t="str" cm="1">
        <f t="array" ref="A315">INDEX(Vendor_Master!$A$2:$A$401, ROUNDUP((ROW()-1)/4, 0))</f>
        <v>VND-079</v>
      </c>
      <c r="B315" t="str">
        <f t="shared" si="28"/>
        <v>Safety Certificate</v>
      </c>
      <c r="C315" t="str">
        <f t="shared" si="29"/>
        <v>Yes</v>
      </c>
      <c r="D315" t="str">
        <f t="shared" si="30"/>
        <v>Yes</v>
      </c>
      <c r="E315" s="1">
        <v>45762</v>
      </c>
      <c r="F315" s="1">
        <v>46405</v>
      </c>
      <c r="G315">
        <f t="shared" ca="1" si="31"/>
        <v>322</v>
      </c>
      <c r="H315" t="str">
        <f t="shared" ca="1" si="32"/>
        <v>Active</v>
      </c>
      <c r="I315">
        <f t="shared" ca="1" si="33"/>
        <v>0</v>
      </c>
      <c r="J315" t="str">
        <f t="shared" si="34"/>
        <v>Safety</v>
      </c>
    </row>
    <row r="316" spans="1:10">
      <c r="A316" t="str" cm="1">
        <f t="array" ref="A316">INDEX(Vendor_Master!$A$2:$A$401, ROUNDUP((ROW()-1)/4, 0))</f>
        <v>VND-079</v>
      </c>
      <c r="B316" t="str">
        <f t="shared" si="28"/>
        <v>Environmental Policy</v>
      </c>
      <c r="C316" t="str">
        <f t="shared" si="29"/>
        <v>Yes</v>
      </c>
      <c r="D316" t="str">
        <f t="shared" si="30"/>
        <v>Yes</v>
      </c>
      <c r="E316" s="1">
        <v>45716</v>
      </c>
      <c r="F316" s="1">
        <v>46366</v>
      </c>
      <c r="G316">
        <f t="shared" ca="1" si="31"/>
        <v>283</v>
      </c>
      <c r="H316" t="str">
        <f t="shared" ca="1" si="32"/>
        <v>Active</v>
      </c>
      <c r="I316">
        <f t="shared" ca="1" si="33"/>
        <v>0</v>
      </c>
      <c r="J316" t="str">
        <f t="shared" si="34"/>
        <v>Environmental</v>
      </c>
    </row>
    <row r="317" spans="1:10">
      <c r="A317" t="str" cm="1">
        <f t="array" ref="A317">INDEX(Vendor_Master!$A$2:$A$401, ROUNDUP((ROW()-1)/4, 0))</f>
        <v>VND-079</v>
      </c>
      <c r="B317" t="str">
        <f t="shared" si="28"/>
        <v>Sustainability Disclosure</v>
      </c>
      <c r="C317" t="str">
        <f t="shared" si="29"/>
        <v>Yes</v>
      </c>
      <c r="D317" t="str">
        <f t="shared" si="30"/>
        <v>Yes</v>
      </c>
      <c r="E317" s="1">
        <v>45420</v>
      </c>
      <c r="F317" s="1">
        <v>46721</v>
      </c>
      <c r="G317">
        <f t="shared" ca="1" si="31"/>
        <v>638</v>
      </c>
      <c r="H317" t="str">
        <f t="shared" ca="1" si="32"/>
        <v>Active</v>
      </c>
      <c r="I317">
        <f t="shared" ca="1" si="33"/>
        <v>0</v>
      </c>
      <c r="J317" t="str">
        <f t="shared" si="34"/>
        <v>Environmental</v>
      </c>
    </row>
    <row r="318" spans="1:10">
      <c r="A318" t="str" cm="1">
        <f t="array" ref="A318">INDEX(Vendor_Master!$A$2:$A$401, ROUNDUP((ROW()-1)/4, 0))</f>
        <v>VND-080</v>
      </c>
      <c r="B318" t="str">
        <f t="shared" si="28"/>
        <v>ISO 14001</v>
      </c>
      <c r="C318" t="str">
        <f t="shared" si="29"/>
        <v>Yes</v>
      </c>
      <c r="D318" t="str">
        <f t="shared" si="30"/>
        <v>Yes</v>
      </c>
      <c r="E318" s="1">
        <v>45915</v>
      </c>
      <c r="F318" s="1">
        <v>46739</v>
      </c>
      <c r="G318">
        <f t="shared" ca="1" si="31"/>
        <v>656</v>
      </c>
      <c r="H318" t="str">
        <f t="shared" ca="1" si="32"/>
        <v>Active</v>
      </c>
      <c r="I318">
        <f t="shared" ca="1" si="33"/>
        <v>0</v>
      </c>
      <c r="J318" t="str">
        <f t="shared" si="34"/>
        <v>Environmental</v>
      </c>
    </row>
    <row r="319" spans="1:10">
      <c r="A319" t="str" cm="1">
        <f t="array" ref="A319">INDEX(Vendor_Master!$A$2:$A$401, ROUNDUP((ROW()-1)/4, 0))</f>
        <v>VND-080</v>
      </c>
      <c r="B319" t="str">
        <f t="shared" si="28"/>
        <v>Safety Certificate</v>
      </c>
      <c r="C319" t="str">
        <f t="shared" si="29"/>
        <v>Yes</v>
      </c>
      <c r="D319" t="str">
        <f t="shared" si="30"/>
        <v>Yes</v>
      </c>
      <c r="E319" s="1">
        <v>45692</v>
      </c>
      <c r="F319" s="1">
        <v>46270</v>
      </c>
      <c r="G319">
        <f t="shared" ca="1" si="31"/>
        <v>187</v>
      </c>
      <c r="H319" t="str">
        <f t="shared" ca="1" si="32"/>
        <v>Active</v>
      </c>
      <c r="I319">
        <f t="shared" ca="1" si="33"/>
        <v>0</v>
      </c>
      <c r="J319" t="str">
        <f t="shared" si="34"/>
        <v>Safety</v>
      </c>
    </row>
    <row r="320" spans="1:10">
      <c r="A320" t="str" cm="1">
        <f t="array" ref="A320">INDEX(Vendor_Master!$A$2:$A$401, ROUNDUP((ROW()-1)/4, 0))</f>
        <v>VND-080</v>
      </c>
      <c r="B320" t="str">
        <f t="shared" si="28"/>
        <v>Environmental Policy</v>
      </c>
      <c r="C320" t="str">
        <f t="shared" si="29"/>
        <v>Yes</v>
      </c>
      <c r="D320" t="str">
        <f t="shared" si="30"/>
        <v>Yes</v>
      </c>
      <c r="E320" s="1">
        <v>45449</v>
      </c>
      <c r="F320" s="1">
        <v>46312</v>
      </c>
      <c r="G320">
        <f t="shared" ca="1" si="31"/>
        <v>229</v>
      </c>
      <c r="H320" t="str">
        <f t="shared" ca="1" si="32"/>
        <v>Active</v>
      </c>
      <c r="I320">
        <f t="shared" ca="1" si="33"/>
        <v>0</v>
      </c>
      <c r="J320" t="str">
        <f t="shared" si="34"/>
        <v>Environmental</v>
      </c>
    </row>
    <row r="321" spans="1:10">
      <c r="A321" t="str" cm="1">
        <f t="array" ref="A321">INDEX(Vendor_Master!$A$2:$A$401, ROUNDUP((ROW()-1)/4, 0))</f>
        <v>VND-080</v>
      </c>
      <c r="B321" t="str">
        <f t="shared" si="28"/>
        <v>Sustainability Disclosure</v>
      </c>
      <c r="C321" t="str">
        <f t="shared" si="29"/>
        <v>Yes</v>
      </c>
      <c r="D321" t="str">
        <f t="shared" si="30"/>
        <v>Yes</v>
      </c>
      <c r="E321" s="1">
        <v>45679</v>
      </c>
      <c r="F321" s="1">
        <v>46745</v>
      </c>
      <c r="G321">
        <f t="shared" ca="1" si="31"/>
        <v>662</v>
      </c>
      <c r="H321" t="str">
        <f t="shared" ca="1" si="32"/>
        <v>Active</v>
      </c>
      <c r="I321">
        <f t="shared" ca="1" si="33"/>
        <v>0</v>
      </c>
      <c r="J321" t="str">
        <f t="shared" si="34"/>
        <v>Environmental</v>
      </c>
    </row>
    <row r="322" spans="1:10">
      <c r="A322" t="str" cm="1">
        <f t="array" ref="A322">INDEX(Vendor_Master!$A$2:$A$401, ROUNDUP((ROW()-1)/4, 0))</f>
        <v>VND-081</v>
      </c>
      <c r="B322" t="str">
        <f t="shared" si="28"/>
        <v>ISO 14001</v>
      </c>
      <c r="C322" t="str">
        <f t="shared" si="29"/>
        <v>Yes</v>
      </c>
      <c r="D322" t="str">
        <f t="shared" si="30"/>
        <v>Yes</v>
      </c>
      <c r="E322" s="1">
        <v>45851</v>
      </c>
      <c r="F322" s="1">
        <v>46296</v>
      </c>
      <c r="G322">
        <f t="shared" ca="1" si="31"/>
        <v>213</v>
      </c>
      <c r="H322" t="str">
        <f t="shared" ca="1" si="32"/>
        <v>Active</v>
      </c>
      <c r="I322">
        <f t="shared" ca="1" si="33"/>
        <v>0</v>
      </c>
      <c r="J322" t="str">
        <f t="shared" si="34"/>
        <v>Environmental</v>
      </c>
    </row>
    <row r="323" spans="1:10">
      <c r="A323" t="str" cm="1">
        <f t="array" ref="A323">INDEX(Vendor_Master!$A$2:$A$401, ROUNDUP((ROW()-1)/4, 0))</f>
        <v>VND-081</v>
      </c>
      <c r="B323" t="str">
        <f t="shared" ref="B323:B386" si="35">CHOOSE(MOD(ROW()-2,4)+1,"ISO 14001","Safety Certificate","Environmental Policy","Sustainability Disclosure")</f>
        <v>Safety Certificate</v>
      </c>
      <c r="C323" t="str">
        <f t="shared" ref="C323:C386" si="36">"Yes"</f>
        <v>Yes</v>
      </c>
      <c r="D323" t="str">
        <f t="shared" ref="D323:D386" si="37">IF(ROW()-1&lt;=1280,"Yes","No")</f>
        <v>Yes</v>
      </c>
      <c r="E323" s="1">
        <v>45974</v>
      </c>
      <c r="F323" s="1">
        <v>46694</v>
      </c>
      <c r="G323">
        <f t="shared" ref="G323:G386" ca="1" si="38">IF($F323="","",$F323-TODAY())</f>
        <v>611</v>
      </c>
      <c r="H323" t="str">
        <f t="shared" ref="H323:H386" ca="1" si="39">IF($C323="No","Not Required",
IF($D323="No","Missing",
IF($F323&lt;TODAY(),"Expired",
IF($F323&lt;=TODAY()+30,"Expiring Soon","Active"))))</f>
        <v>Active</v>
      </c>
      <c r="I323">
        <f t="shared" ref="I323:I386" ca="1" si="40">IF(OR($H323="Missing",$H323="Expired",$H323="Expiring Soon"),1,0)</f>
        <v>0</v>
      </c>
      <c r="J323" t="str">
        <f t="shared" ref="J323:J386" si="41">IF(B323="ISO 14001","Environmental",
 IF(B323="Environmental Policy","Environmental",
 IF(B323="Sustainability Disclosure","Environmental",
 IF(B323="Safety Certificate","Safety","Regulatory"))))</f>
        <v>Safety</v>
      </c>
    </row>
    <row r="324" spans="1:10">
      <c r="A324" t="str" cm="1">
        <f t="array" ref="A324">INDEX(Vendor_Master!$A$2:$A$401, ROUNDUP((ROW()-1)/4, 0))</f>
        <v>VND-081</v>
      </c>
      <c r="B324" t="str">
        <f t="shared" si="35"/>
        <v>Environmental Policy</v>
      </c>
      <c r="C324" t="str">
        <f t="shared" si="36"/>
        <v>Yes</v>
      </c>
      <c r="D324" t="str">
        <f t="shared" si="37"/>
        <v>Yes</v>
      </c>
      <c r="E324" s="1">
        <v>45697</v>
      </c>
      <c r="F324" s="1">
        <v>46847</v>
      </c>
      <c r="G324">
        <f t="shared" ca="1" si="38"/>
        <v>764</v>
      </c>
      <c r="H324" t="str">
        <f t="shared" ca="1" si="39"/>
        <v>Active</v>
      </c>
      <c r="I324">
        <f t="shared" ca="1" si="40"/>
        <v>0</v>
      </c>
      <c r="J324" t="str">
        <f t="shared" si="41"/>
        <v>Environmental</v>
      </c>
    </row>
    <row r="325" spans="1:10">
      <c r="A325" t="str" cm="1">
        <f t="array" ref="A325">INDEX(Vendor_Master!$A$2:$A$401, ROUNDUP((ROW()-1)/4, 0))</f>
        <v>VND-081</v>
      </c>
      <c r="B325" t="str">
        <f t="shared" si="35"/>
        <v>Sustainability Disclosure</v>
      </c>
      <c r="C325" t="str">
        <f t="shared" si="36"/>
        <v>Yes</v>
      </c>
      <c r="D325" t="str">
        <f t="shared" si="37"/>
        <v>Yes</v>
      </c>
      <c r="E325" s="1">
        <v>45899</v>
      </c>
      <c r="F325" s="1">
        <v>46503</v>
      </c>
      <c r="G325">
        <f t="shared" ca="1" si="38"/>
        <v>420</v>
      </c>
      <c r="H325" t="str">
        <f t="shared" ca="1" si="39"/>
        <v>Active</v>
      </c>
      <c r="I325">
        <f t="shared" ca="1" si="40"/>
        <v>0</v>
      </c>
      <c r="J325" t="str">
        <f t="shared" si="41"/>
        <v>Environmental</v>
      </c>
    </row>
    <row r="326" spans="1:10">
      <c r="A326" t="str" cm="1">
        <f t="array" ref="A326">INDEX(Vendor_Master!$A$2:$A$401, ROUNDUP((ROW()-1)/4, 0))</f>
        <v>VND-082</v>
      </c>
      <c r="B326" t="str">
        <f t="shared" si="35"/>
        <v>ISO 14001</v>
      </c>
      <c r="C326" t="str">
        <f t="shared" si="36"/>
        <v>Yes</v>
      </c>
      <c r="D326" t="str">
        <f t="shared" si="37"/>
        <v>Yes</v>
      </c>
      <c r="E326" s="1">
        <v>45937</v>
      </c>
      <c r="F326" s="1">
        <v>46786</v>
      </c>
      <c r="G326">
        <f t="shared" ca="1" si="38"/>
        <v>703</v>
      </c>
      <c r="H326" t="str">
        <f t="shared" ca="1" si="39"/>
        <v>Active</v>
      </c>
      <c r="I326">
        <f t="shared" ca="1" si="40"/>
        <v>0</v>
      </c>
      <c r="J326" t="str">
        <f t="shared" si="41"/>
        <v>Environmental</v>
      </c>
    </row>
    <row r="327" spans="1:10">
      <c r="A327" t="str" cm="1">
        <f t="array" ref="A327">INDEX(Vendor_Master!$A$2:$A$401, ROUNDUP((ROW()-1)/4, 0))</f>
        <v>VND-082</v>
      </c>
      <c r="B327" t="str">
        <f t="shared" si="35"/>
        <v>Safety Certificate</v>
      </c>
      <c r="C327" t="str">
        <f t="shared" si="36"/>
        <v>Yes</v>
      </c>
      <c r="D327" t="str">
        <f t="shared" si="37"/>
        <v>Yes</v>
      </c>
      <c r="E327" s="1">
        <v>45935</v>
      </c>
      <c r="F327" s="1">
        <v>46261</v>
      </c>
      <c r="G327">
        <f t="shared" ca="1" si="38"/>
        <v>178</v>
      </c>
      <c r="H327" t="str">
        <f t="shared" ca="1" si="39"/>
        <v>Active</v>
      </c>
      <c r="I327">
        <f t="shared" ca="1" si="40"/>
        <v>0</v>
      </c>
      <c r="J327" t="str">
        <f t="shared" si="41"/>
        <v>Safety</v>
      </c>
    </row>
    <row r="328" spans="1:10">
      <c r="A328" t="str" cm="1">
        <f t="array" ref="A328">INDEX(Vendor_Master!$A$2:$A$401, ROUNDUP((ROW()-1)/4, 0))</f>
        <v>VND-082</v>
      </c>
      <c r="B328" t="str">
        <f t="shared" si="35"/>
        <v>Environmental Policy</v>
      </c>
      <c r="C328" t="str">
        <f t="shared" si="36"/>
        <v>Yes</v>
      </c>
      <c r="D328" t="str">
        <f t="shared" si="37"/>
        <v>Yes</v>
      </c>
      <c r="E328" s="1">
        <v>45677</v>
      </c>
      <c r="F328" s="1">
        <v>46663</v>
      </c>
      <c r="G328">
        <f t="shared" ca="1" si="38"/>
        <v>580</v>
      </c>
      <c r="H328" t="str">
        <f t="shared" ca="1" si="39"/>
        <v>Active</v>
      </c>
      <c r="I328">
        <f t="shared" ca="1" si="40"/>
        <v>0</v>
      </c>
      <c r="J328" t="str">
        <f t="shared" si="41"/>
        <v>Environmental</v>
      </c>
    </row>
    <row r="329" spans="1:10">
      <c r="A329" t="str" cm="1">
        <f t="array" ref="A329">INDEX(Vendor_Master!$A$2:$A$401, ROUNDUP((ROW()-1)/4, 0))</f>
        <v>VND-082</v>
      </c>
      <c r="B329" t="str">
        <f t="shared" si="35"/>
        <v>Sustainability Disclosure</v>
      </c>
      <c r="C329" t="str">
        <f t="shared" si="36"/>
        <v>Yes</v>
      </c>
      <c r="D329" t="str">
        <f t="shared" si="37"/>
        <v>Yes</v>
      </c>
      <c r="E329" s="1">
        <v>46070</v>
      </c>
      <c r="F329" s="1">
        <v>46619</v>
      </c>
      <c r="G329">
        <f t="shared" ca="1" si="38"/>
        <v>536</v>
      </c>
      <c r="H329" t="str">
        <f t="shared" ca="1" si="39"/>
        <v>Active</v>
      </c>
      <c r="I329">
        <f t="shared" ca="1" si="40"/>
        <v>0</v>
      </c>
      <c r="J329" t="str">
        <f t="shared" si="41"/>
        <v>Environmental</v>
      </c>
    </row>
    <row r="330" spans="1:10">
      <c r="A330" t="str" cm="1">
        <f t="array" ref="A330">INDEX(Vendor_Master!$A$2:$A$401, ROUNDUP((ROW()-1)/4, 0))</f>
        <v>VND-083</v>
      </c>
      <c r="B330" t="str">
        <f t="shared" si="35"/>
        <v>ISO 14001</v>
      </c>
      <c r="C330" t="str">
        <f t="shared" si="36"/>
        <v>Yes</v>
      </c>
      <c r="D330" t="str">
        <f t="shared" si="37"/>
        <v>Yes</v>
      </c>
      <c r="E330" s="1">
        <v>45790</v>
      </c>
      <c r="F330" s="1">
        <v>46684</v>
      </c>
      <c r="G330">
        <f t="shared" ca="1" si="38"/>
        <v>601</v>
      </c>
      <c r="H330" t="str">
        <f t="shared" ca="1" si="39"/>
        <v>Active</v>
      </c>
      <c r="I330">
        <f t="shared" ca="1" si="40"/>
        <v>0</v>
      </c>
      <c r="J330" t="str">
        <f t="shared" si="41"/>
        <v>Environmental</v>
      </c>
    </row>
    <row r="331" spans="1:10">
      <c r="A331" t="str" cm="1">
        <f t="array" ref="A331">INDEX(Vendor_Master!$A$2:$A$401, ROUNDUP((ROW()-1)/4, 0))</f>
        <v>VND-083</v>
      </c>
      <c r="B331" t="str">
        <f t="shared" si="35"/>
        <v>Safety Certificate</v>
      </c>
      <c r="C331" t="str">
        <f t="shared" si="36"/>
        <v>Yes</v>
      </c>
      <c r="D331" t="str">
        <f t="shared" si="37"/>
        <v>Yes</v>
      </c>
      <c r="E331" s="1">
        <v>45893</v>
      </c>
      <c r="F331" s="1">
        <v>46485</v>
      </c>
      <c r="G331">
        <f t="shared" ca="1" si="38"/>
        <v>402</v>
      </c>
      <c r="H331" t="str">
        <f t="shared" ca="1" si="39"/>
        <v>Active</v>
      </c>
      <c r="I331">
        <f t="shared" ca="1" si="40"/>
        <v>0</v>
      </c>
      <c r="J331" t="str">
        <f t="shared" si="41"/>
        <v>Safety</v>
      </c>
    </row>
    <row r="332" spans="1:10">
      <c r="A332" t="str" cm="1">
        <f t="array" ref="A332">INDEX(Vendor_Master!$A$2:$A$401, ROUNDUP((ROW()-1)/4, 0))</f>
        <v>VND-083</v>
      </c>
      <c r="B332" t="str">
        <f t="shared" si="35"/>
        <v>Environmental Policy</v>
      </c>
      <c r="C332" t="str">
        <f t="shared" si="36"/>
        <v>Yes</v>
      </c>
      <c r="D332" t="str">
        <f t="shared" si="37"/>
        <v>Yes</v>
      </c>
      <c r="E332" s="1">
        <v>45724</v>
      </c>
      <c r="F332" s="1">
        <v>46554</v>
      </c>
      <c r="G332">
        <f t="shared" ca="1" si="38"/>
        <v>471</v>
      </c>
      <c r="H332" t="str">
        <f t="shared" ca="1" si="39"/>
        <v>Active</v>
      </c>
      <c r="I332">
        <f t="shared" ca="1" si="40"/>
        <v>0</v>
      </c>
      <c r="J332" t="str">
        <f t="shared" si="41"/>
        <v>Environmental</v>
      </c>
    </row>
    <row r="333" spans="1:10">
      <c r="A333" t="str" cm="1">
        <f t="array" ref="A333">INDEX(Vendor_Master!$A$2:$A$401, ROUNDUP((ROW()-1)/4, 0))</f>
        <v>VND-083</v>
      </c>
      <c r="B333" t="str">
        <f t="shared" si="35"/>
        <v>Sustainability Disclosure</v>
      </c>
      <c r="C333" t="str">
        <f t="shared" si="36"/>
        <v>Yes</v>
      </c>
      <c r="D333" t="str">
        <f t="shared" si="37"/>
        <v>Yes</v>
      </c>
      <c r="E333" s="1">
        <v>45381</v>
      </c>
      <c r="F333" s="1">
        <v>46516</v>
      </c>
      <c r="G333">
        <f t="shared" ca="1" si="38"/>
        <v>433</v>
      </c>
      <c r="H333" t="str">
        <f t="shared" ca="1" si="39"/>
        <v>Active</v>
      </c>
      <c r="I333">
        <f t="shared" ca="1" si="40"/>
        <v>0</v>
      </c>
      <c r="J333" t="str">
        <f t="shared" si="41"/>
        <v>Environmental</v>
      </c>
    </row>
    <row r="334" spans="1:10">
      <c r="A334" t="str" cm="1">
        <f t="array" ref="A334">INDEX(Vendor_Master!$A$2:$A$401, ROUNDUP((ROW()-1)/4, 0))</f>
        <v>VND-084</v>
      </c>
      <c r="B334" t="str">
        <f t="shared" si="35"/>
        <v>ISO 14001</v>
      </c>
      <c r="C334" t="str">
        <f t="shared" si="36"/>
        <v>Yes</v>
      </c>
      <c r="D334" t="str">
        <f t="shared" si="37"/>
        <v>Yes</v>
      </c>
      <c r="E334" s="1">
        <v>45678</v>
      </c>
      <c r="F334" s="1">
        <v>46921</v>
      </c>
      <c r="G334">
        <f t="shared" ca="1" si="38"/>
        <v>838</v>
      </c>
      <c r="H334" t="str">
        <f t="shared" ca="1" si="39"/>
        <v>Active</v>
      </c>
      <c r="I334">
        <f t="shared" ca="1" si="40"/>
        <v>0</v>
      </c>
      <c r="J334" t="str">
        <f t="shared" si="41"/>
        <v>Environmental</v>
      </c>
    </row>
    <row r="335" spans="1:10">
      <c r="A335" t="str" cm="1">
        <f t="array" ref="A335">INDEX(Vendor_Master!$A$2:$A$401, ROUNDUP((ROW()-1)/4, 0))</f>
        <v>VND-084</v>
      </c>
      <c r="B335" t="str">
        <f t="shared" si="35"/>
        <v>Safety Certificate</v>
      </c>
      <c r="C335" t="str">
        <f t="shared" si="36"/>
        <v>Yes</v>
      </c>
      <c r="D335" t="str">
        <f t="shared" si="37"/>
        <v>Yes</v>
      </c>
      <c r="E335" s="1">
        <v>45957</v>
      </c>
      <c r="F335" s="1">
        <v>46739</v>
      </c>
      <c r="G335">
        <f t="shared" ca="1" si="38"/>
        <v>656</v>
      </c>
      <c r="H335" t="str">
        <f t="shared" ca="1" si="39"/>
        <v>Active</v>
      </c>
      <c r="I335">
        <f t="shared" ca="1" si="40"/>
        <v>0</v>
      </c>
      <c r="J335" t="str">
        <f t="shared" si="41"/>
        <v>Safety</v>
      </c>
    </row>
    <row r="336" spans="1:10">
      <c r="A336" t="str" cm="1">
        <f t="array" ref="A336">INDEX(Vendor_Master!$A$2:$A$401, ROUNDUP((ROW()-1)/4, 0))</f>
        <v>VND-084</v>
      </c>
      <c r="B336" t="str">
        <f t="shared" si="35"/>
        <v>Environmental Policy</v>
      </c>
      <c r="C336" t="str">
        <f t="shared" si="36"/>
        <v>Yes</v>
      </c>
      <c r="D336" t="str">
        <f t="shared" si="37"/>
        <v>Yes</v>
      </c>
      <c r="E336" s="1">
        <v>45817</v>
      </c>
      <c r="F336" s="1">
        <v>46867</v>
      </c>
      <c r="G336">
        <f t="shared" ca="1" si="38"/>
        <v>784</v>
      </c>
      <c r="H336" t="str">
        <f t="shared" ca="1" si="39"/>
        <v>Active</v>
      </c>
      <c r="I336">
        <f t="shared" ca="1" si="40"/>
        <v>0</v>
      </c>
      <c r="J336" t="str">
        <f t="shared" si="41"/>
        <v>Environmental</v>
      </c>
    </row>
    <row r="337" spans="1:10">
      <c r="A337" t="str" cm="1">
        <f t="array" ref="A337">INDEX(Vendor_Master!$A$2:$A$401, ROUNDUP((ROW()-1)/4, 0))</f>
        <v>VND-084</v>
      </c>
      <c r="B337" t="str">
        <f t="shared" si="35"/>
        <v>Sustainability Disclosure</v>
      </c>
      <c r="C337" t="str">
        <f t="shared" si="36"/>
        <v>Yes</v>
      </c>
      <c r="D337" t="str">
        <f t="shared" si="37"/>
        <v>Yes</v>
      </c>
      <c r="E337" s="1">
        <v>45864</v>
      </c>
      <c r="F337" s="1">
        <v>46389</v>
      </c>
      <c r="G337">
        <f t="shared" ca="1" si="38"/>
        <v>306</v>
      </c>
      <c r="H337" t="str">
        <f t="shared" ca="1" si="39"/>
        <v>Active</v>
      </c>
      <c r="I337">
        <f t="shared" ca="1" si="40"/>
        <v>0</v>
      </c>
      <c r="J337" t="str">
        <f t="shared" si="41"/>
        <v>Environmental</v>
      </c>
    </row>
    <row r="338" spans="1:10">
      <c r="A338" t="str" cm="1">
        <f t="array" ref="A338">INDEX(Vendor_Master!$A$2:$A$401, ROUNDUP((ROW()-1)/4, 0))</f>
        <v>VND-085</v>
      </c>
      <c r="B338" t="str">
        <f t="shared" si="35"/>
        <v>ISO 14001</v>
      </c>
      <c r="C338" t="str">
        <f t="shared" si="36"/>
        <v>Yes</v>
      </c>
      <c r="D338" t="str">
        <f t="shared" si="37"/>
        <v>Yes</v>
      </c>
      <c r="E338" s="1">
        <v>45665</v>
      </c>
      <c r="F338" s="1">
        <v>46812</v>
      </c>
      <c r="G338">
        <f t="shared" ca="1" si="38"/>
        <v>729</v>
      </c>
      <c r="H338" t="str">
        <f t="shared" ca="1" si="39"/>
        <v>Active</v>
      </c>
      <c r="I338">
        <f t="shared" ca="1" si="40"/>
        <v>0</v>
      </c>
      <c r="J338" t="str">
        <f t="shared" si="41"/>
        <v>Environmental</v>
      </c>
    </row>
    <row r="339" spans="1:10">
      <c r="A339" t="str" cm="1">
        <f t="array" ref="A339">INDEX(Vendor_Master!$A$2:$A$401, ROUNDUP((ROW()-1)/4, 0))</f>
        <v>VND-085</v>
      </c>
      <c r="B339" t="str">
        <f t="shared" si="35"/>
        <v>Safety Certificate</v>
      </c>
      <c r="C339" t="str">
        <f t="shared" si="36"/>
        <v>Yes</v>
      </c>
      <c r="D339" t="str">
        <f t="shared" si="37"/>
        <v>Yes</v>
      </c>
      <c r="E339" s="1">
        <v>46052</v>
      </c>
      <c r="F339" s="1">
        <v>46248</v>
      </c>
      <c r="G339">
        <f t="shared" ca="1" si="38"/>
        <v>165</v>
      </c>
      <c r="H339" t="str">
        <f t="shared" ca="1" si="39"/>
        <v>Active</v>
      </c>
      <c r="I339">
        <f t="shared" ca="1" si="40"/>
        <v>0</v>
      </c>
      <c r="J339" t="str">
        <f t="shared" si="41"/>
        <v>Safety</v>
      </c>
    </row>
    <row r="340" spans="1:10">
      <c r="A340" t="str" cm="1">
        <f t="array" ref="A340">INDEX(Vendor_Master!$A$2:$A$401, ROUNDUP((ROW()-1)/4, 0))</f>
        <v>VND-085</v>
      </c>
      <c r="B340" t="str">
        <f t="shared" si="35"/>
        <v>Environmental Policy</v>
      </c>
      <c r="C340" t="str">
        <f t="shared" si="36"/>
        <v>Yes</v>
      </c>
      <c r="D340" t="str">
        <f t="shared" si="37"/>
        <v>Yes</v>
      </c>
      <c r="E340" s="1">
        <v>45993</v>
      </c>
      <c r="F340" s="1">
        <v>46671</v>
      </c>
      <c r="G340">
        <f t="shared" ca="1" si="38"/>
        <v>588</v>
      </c>
      <c r="H340" t="str">
        <f t="shared" ca="1" si="39"/>
        <v>Active</v>
      </c>
      <c r="I340">
        <f t="shared" ca="1" si="40"/>
        <v>0</v>
      </c>
      <c r="J340" t="str">
        <f t="shared" si="41"/>
        <v>Environmental</v>
      </c>
    </row>
    <row r="341" spans="1:10">
      <c r="A341" t="str" cm="1">
        <f t="array" ref="A341">INDEX(Vendor_Master!$A$2:$A$401, ROUNDUP((ROW()-1)/4, 0))</f>
        <v>VND-085</v>
      </c>
      <c r="B341" t="str">
        <f t="shared" si="35"/>
        <v>Sustainability Disclosure</v>
      </c>
      <c r="C341" t="str">
        <f t="shared" si="36"/>
        <v>Yes</v>
      </c>
      <c r="D341" t="str">
        <f t="shared" si="37"/>
        <v>Yes</v>
      </c>
      <c r="E341" s="1">
        <v>45959</v>
      </c>
      <c r="F341" s="1">
        <v>46367</v>
      </c>
      <c r="G341">
        <f t="shared" ca="1" si="38"/>
        <v>284</v>
      </c>
      <c r="H341" t="str">
        <f t="shared" ca="1" si="39"/>
        <v>Active</v>
      </c>
      <c r="I341">
        <f t="shared" ca="1" si="40"/>
        <v>0</v>
      </c>
      <c r="J341" t="str">
        <f t="shared" si="41"/>
        <v>Environmental</v>
      </c>
    </row>
    <row r="342" spans="1:10">
      <c r="A342" t="str" cm="1">
        <f t="array" ref="A342">INDEX(Vendor_Master!$A$2:$A$401, ROUNDUP((ROW()-1)/4, 0))</f>
        <v>VND-086</v>
      </c>
      <c r="B342" t="str">
        <f t="shared" si="35"/>
        <v>ISO 14001</v>
      </c>
      <c r="C342" t="str">
        <f t="shared" si="36"/>
        <v>Yes</v>
      </c>
      <c r="D342" t="str">
        <f t="shared" si="37"/>
        <v>Yes</v>
      </c>
      <c r="E342" s="1">
        <v>45488</v>
      </c>
      <c r="F342" s="1">
        <v>46541</v>
      </c>
      <c r="G342">
        <f t="shared" ca="1" si="38"/>
        <v>458</v>
      </c>
      <c r="H342" t="str">
        <f t="shared" ca="1" si="39"/>
        <v>Active</v>
      </c>
      <c r="I342">
        <f t="shared" ca="1" si="40"/>
        <v>0</v>
      </c>
      <c r="J342" t="str">
        <f t="shared" si="41"/>
        <v>Environmental</v>
      </c>
    </row>
    <row r="343" spans="1:10">
      <c r="A343" t="str" cm="1">
        <f t="array" ref="A343">INDEX(Vendor_Master!$A$2:$A$401, ROUNDUP((ROW()-1)/4, 0))</f>
        <v>VND-086</v>
      </c>
      <c r="B343" t="str">
        <f t="shared" si="35"/>
        <v>Safety Certificate</v>
      </c>
      <c r="C343" t="str">
        <f t="shared" si="36"/>
        <v>Yes</v>
      </c>
      <c r="D343" t="str">
        <f t="shared" si="37"/>
        <v>Yes</v>
      </c>
      <c r="E343" s="1">
        <v>46071</v>
      </c>
      <c r="F343" s="1">
        <v>46627</v>
      </c>
      <c r="G343">
        <f t="shared" ca="1" si="38"/>
        <v>544</v>
      </c>
      <c r="H343" t="str">
        <f t="shared" ca="1" si="39"/>
        <v>Active</v>
      </c>
      <c r="I343">
        <f t="shared" ca="1" si="40"/>
        <v>0</v>
      </c>
      <c r="J343" t="str">
        <f t="shared" si="41"/>
        <v>Safety</v>
      </c>
    </row>
    <row r="344" spans="1:10">
      <c r="A344" t="str" cm="1">
        <f t="array" ref="A344">INDEX(Vendor_Master!$A$2:$A$401, ROUNDUP((ROW()-1)/4, 0))</f>
        <v>VND-086</v>
      </c>
      <c r="B344" t="str">
        <f t="shared" si="35"/>
        <v>Environmental Policy</v>
      </c>
      <c r="C344" t="str">
        <f t="shared" si="36"/>
        <v>Yes</v>
      </c>
      <c r="D344" t="str">
        <f t="shared" si="37"/>
        <v>Yes</v>
      </c>
      <c r="E344" s="1">
        <v>46015</v>
      </c>
      <c r="F344" s="1">
        <v>46657</v>
      </c>
      <c r="G344">
        <f t="shared" ca="1" si="38"/>
        <v>574</v>
      </c>
      <c r="H344" t="str">
        <f t="shared" ca="1" si="39"/>
        <v>Active</v>
      </c>
      <c r="I344">
        <f t="shared" ca="1" si="40"/>
        <v>0</v>
      </c>
      <c r="J344" t="str">
        <f t="shared" si="41"/>
        <v>Environmental</v>
      </c>
    </row>
    <row r="345" spans="1:10">
      <c r="A345" t="str" cm="1">
        <f t="array" ref="A345">INDEX(Vendor_Master!$A$2:$A$401, ROUNDUP((ROW()-1)/4, 0))</f>
        <v>VND-086</v>
      </c>
      <c r="B345" t="str">
        <f t="shared" si="35"/>
        <v>Sustainability Disclosure</v>
      </c>
      <c r="C345" t="str">
        <f t="shared" si="36"/>
        <v>Yes</v>
      </c>
      <c r="D345" t="str">
        <f t="shared" si="37"/>
        <v>Yes</v>
      </c>
      <c r="E345" s="1">
        <v>45440</v>
      </c>
      <c r="F345" s="1">
        <v>46319</v>
      </c>
      <c r="G345">
        <f t="shared" ca="1" si="38"/>
        <v>236</v>
      </c>
      <c r="H345" t="str">
        <f t="shared" ca="1" si="39"/>
        <v>Active</v>
      </c>
      <c r="I345">
        <f t="shared" ca="1" si="40"/>
        <v>0</v>
      </c>
      <c r="J345" t="str">
        <f t="shared" si="41"/>
        <v>Environmental</v>
      </c>
    </row>
    <row r="346" spans="1:10">
      <c r="A346" t="str" cm="1">
        <f t="array" ref="A346">INDEX(Vendor_Master!$A$2:$A$401, ROUNDUP((ROW()-1)/4, 0))</f>
        <v>VND-087</v>
      </c>
      <c r="B346" t="str">
        <f t="shared" si="35"/>
        <v>ISO 14001</v>
      </c>
      <c r="C346" t="str">
        <f t="shared" si="36"/>
        <v>Yes</v>
      </c>
      <c r="D346" t="str">
        <f t="shared" si="37"/>
        <v>Yes</v>
      </c>
      <c r="E346" s="1">
        <v>45764</v>
      </c>
      <c r="F346" s="1">
        <v>46222</v>
      </c>
      <c r="G346">
        <f t="shared" ca="1" si="38"/>
        <v>139</v>
      </c>
      <c r="H346" t="str">
        <f t="shared" ca="1" si="39"/>
        <v>Active</v>
      </c>
      <c r="I346">
        <f t="shared" ca="1" si="40"/>
        <v>0</v>
      </c>
      <c r="J346" t="str">
        <f t="shared" si="41"/>
        <v>Environmental</v>
      </c>
    </row>
    <row r="347" spans="1:10">
      <c r="A347" t="str" cm="1">
        <f t="array" ref="A347">INDEX(Vendor_Master!$A$2:$A$401, ROUNDUP((ROW()-1)/4, 0))</f>
        <v>VND-087</v>
      </c>
      <c r="B347" t="str">
        <f t="shared" si="35"/>
        <v>Safety Certificate</v>
      </c>
      <c r="C347" t="str">
        <f t="shared" si="36"/>
        <v>Yes</v>
      </c>
      <c r="D347" t="str">
        <f t="shared" si="37"/>
        <v>Yes</v>
      </c>
      <c r="E347" s="1">
        <v>45523</v>
      </c>
      <c r="F347" s="1">
        <v>46267</v>
      </c>
      <c r="G347">
        <f t="shared" ca="1" si="38"/>
        <v>184</v>
      </c>
      <c r="H347" t="str">
        <f t="shared" ca="1" si="39"/>
        <v>Active</v>
      </c>
      <c r="I347">
        <f t="shared" ca="1" si="40"/>
        <v>0</v>
      </c>
      <c r="J347" t="str">
        <f t="shared" si="41"/>
        <v>Safety</v>
      </c>
    </row>
    <row r="348" spans="1:10">
      <c r="A348" t="str" cm="1">
        <f t="array" ref="A348">INDEX(Vendor_Master!$A$2:$A$401, ROUNDUP((ROW()-1)/4, 0))</f>
        <v>VND-087</v>
      </c>
      <c r="B348" t="str">
        <f t="shared" si="35"/>
        <v>Environmental Policy</v>
      </c>
      <c r="C348" t="str">
        <f t="shared" si="36"/>
        <v>Yes</v>
      </c>
      <c r="D348" t="str">
        <f t="shared" si="37"/>
        <v>Yes</v>
      </c>
      <c r="E348" s="1">
        <v>45500</v>
      </c>
      <c r="F348" s="1">
        <v>46619</v>
      </c>
      <c r="G348">
        <f t="shared" ca="1" si="38"/>
        <v>536</v>
      </c>
      <c r="H348" t="str">
        <f t="shared" ca="1" si="39"/>
        <v>Active</v>
      </c>
      <c r="I348">
        <f t="shared" ca="1" si="40"/>
        <v>0</v>
      </c>
      <c r="J348" t="str">
        <f t="shared" si="41"/>
        <v>Environmental</v>
      </c>
    </row>
    <row r="349" spans="1:10">
      <c r="A349" t="str" cm="1">
        <f t="array" ref="A349">INDEX(Vendor_Master!$A$2:$A$401, ROUNDUP((ROW()-1)/4, 0))</f>
        <v>VND-087</v>
      </c>
      <c r="B349" t="str">
        <f t="shared" si="35"/>
        <v>Sustainability Disclosure</v>
      </c>
      <c r="C349" t="str">
        <f t="shared" si="36"/>
        <v>Yes</v>
      </c>
      <c r="D349" t="str">
        <f t="shared" si="37"/>
        <v>Yes</v>
      </c>
      <c r="E349" s="1">
        <v>45846</v>
      </c>
      <c r="F349" s="1">
        <v>46844</v>
      </c>
      <c r="G349">
        <f t="shared" ca="1" si="38"/>
        <v>761</v>
      </c>
      <c r="H349" t="str">
        <f t="shared" ca="1" si="39"/>
        <v>Active</v>
      </c>
      <c r="I349">
        <f t="shared" ca="1" si="40"/>
        <v>0</v>
      </c>
      <c r="J349" t="str">
        <f t="shared" si="41"/>
        <v>Environmental</v>
      </c>
    </row>
    <row r="350" spans="1:10">
      <c r="A350" t="str" cm="1">
        <f t="array" ref="A350">INDEX(Vendor_Master!$A$2:$A$401, ROUNDUP((ROW()-1)/4, 0))</f>
        <v>VND-088</v>
      </c>
      <c r="B350" t="str">
        <f t="shared" si="35"/>
        <v>ISO 14001</v>
      </c>
      <c r="C350" t="str">
        <f t="shared" si="36"/>
        <v>Yes</v>
      </c>
      <c r="D350" t="str">
        <f t="shared" si="37"/>
        <v>Yes</v>
      </c>
      <c r="E350" s="1">
        <v>45907</v>
      </c>
      <c r="F350" s="1">
        <v>46799</v>
      </c>
      <c r="G350">
        <f t="shared" ca="1" si="38"/>
        <v>716</v>
      </c>
      <c r="H350" t="str">
        <f t="shared" ca="1" si="39"/>
        <v>Active</v>
      </c>
      <c r="I350">
        <f t="shared" ca="1" si="40"/>
        <v>0</v>
      </c>
      <c r="J350" t="str">
        <f t="shared" si="41"/>
        <v>Environmental</v>
      </c>
    </row>
    <row r="351" spans="1:10">
      <c r="A351" t="str" cm="1">
        <f t="array" ref="A351">INDEX(Vendor_Master!$A$2:$A$401, ROUNDUP((ROW()-1)/4, 0))</f>
        <v>VND-088</v>
      </c>
      <c r="B351" t="str">
        <f t="shared" si="35"/>
        <v>Safety Certificate</v>
      </c>
      <c r="C351" t="str">
        <f t="shared" si="36"/>
        <v>Yes</v>
      </c>
      <c r="D351" t="str">
        <f t="shared" si="37"/>
        <v>Yes</v>
      </c>
      <c r="E351" s="1">
        <v>45831</v>
      </c>
      <c r="F351" s="1">
        <v>46669</v>
      </c>
      <c r="G351">
        <f t="shared" ca="1" si="38"/>
        <v>586</v>
      </c>
      <c r="H351" t="str">
        <f t="shared" ca="1" si="39"/>
        <v>Active</v>
      </c>
      <c r="I351">
        <f t="shared" ca="1" si="40"/>
        <v>0</v>
      </c>
      <c r="J351" t="str">
        <f t="shared" si="41"/>
        <v>Safety</v>
      </c>
    </row>
    <row r="352" spans="1:10">
      <c r="A352" t="str" cm="1">
        <f t="array" ref="A352">INDEX(Vendor_Master!$A$2:$A$401, ROUNDUP((ROW()-1)/4, 0))</f>
        <v>VND-088</v>
      </c>
      <c r="B352" t="str">
        <f t="shared" si="35"/>
        <v>Environmental Policy</v>
      </c>
      <c r="C352" t="str">
        <f t="shared" si="36"/>
        <v>Yes</v>
      </c>
      <c r="D352" t="str">
        <f t="shared" si="37"/>
        <v>Yes</v>
      </c>
      <c r="E352" s="1">
        <v>45451</v>
      </c>
      <c r="F352" s="1">
        <v>46538</v>
      </c>
      <c r="G352">
        <f t="shared" ca="1" si="38"/>
        <v>455</v>
      </c>
      <c r="H352" t="str">
        <f t="shared" ca="1" si="39"/>
        <v>Active</v>
      </c>
      <c r="I352">
        <f t="shared" ca="1" si="40"/>
        <v>0</v>
      </c>
      <c r="J352" t="str">
        <f t="shared" si="41"/>
        <v>Environmental</v>
      </c>
    </row>
    <row r="353" spans="1:10">
      <c r="A353" t="str" cm="1">
        <f t="array" ref="A353">INDEX(Vendor_Master!$A$2:$A$401, ROUNDUP((ROW()-1)/4, 0))</f>
        <v>VND-088</v>
      </c>
      <c r="B353" t="str">
        <f t="shared" si="35"/>
        <v>Sustainability Disclosure</v>
      </c>
      <c r="C353" t="str">
        <f t="shared" si="36"/>
        <v>Yes</v>
      </c>
      <c r="D353" t="str">
        <f t="shared" si="37"/>
        <v>Yes</v>
      </c>
      <c r="E353" s="1">
        <v>45998</v>
      </c>
      <c r="F353" s="1">
        <v>46706</v>
      </c>
      <c r="G353">
        <f t="shared" ca="1" si="38"/>
        <v>623</v>
      </c>
      <c r="H353" t="str">
        <f t="shared" ca="1" si="39"/>
        <v>Active</v>
      </c>
      <c r="I353">
        <f t="shared" ca="1" si="40"/>
        <v>0</v>
      </c>
      <c r="J353" t="str">
        <f t="shared" si="41"/>
        <v>Environmental</v>
      </c>
    </row>
    <row r="354" spans="1:10">
      <c r="A354" t="str" cm="1">
        <f t="array" ref="A354">INDEX(Vendor_Master!$A$2:$A$401, ROUNDUP((ROW()-1)/4, 0))</f>
        <v>VND-089</v>
      </c>
      <c r="B354" t="str">
        <f t="shared" si="35"/>
        <v>ISO 14001</v>
      </c>
      <c r="C354" t="str">
        <f t="shared" si="36"/>
        <v>Yes</v>
      </c>
      <c r="D354" t="str">
        <f t="shared" si="37"/>
        <v>Yes</v>
      </c>
      <c r="E354" s="1">
        <v>45529</v>
      </c>
      <c r="F354" s="1">
        <v>46768</v>
      </c>
      <c r="G354">
        <f t="shared" ca="1" si="38"/>
        <v>685</v>
      </c>
      <c r="H354" t="str">
        <f t="shared" ca="1" si="39"/>
        <v>Active</v>
      </c>
      <c r="I354">
        <f t="shared" ca="1" si="40"/>
        <v>0</v>
      </c>
      <c r="J354" t="str">
        <f t="shared" si="41"/>
        <v>Environmental</v>
      </c>
    </row>
    <row r="355" spans="1:10">
      <c r="A355" t="str" cm="1">
        <f t="array" ref="A355">INDEX(Vendor_Master!$A$2:$A$401, ROUNDUP((ROW()-1)/4, 0))</f>
        <v>VND-089</v>
      </c>
      <c r="B355" t="str">
        <f t="shared" si="35"/>
        <v>Safety Certificate</v>
      </c>
      <c r="C355" t="str">
        <f t="shared" si="36"/>
        <v>Yes</v>
      </c>
      <c r="D355" t="str">
        <f t="shared" si="37"/>
        <v>Yes</v>
      </c>
      <c r="E355" s="1">
        <v>45666</v>
      </c>
      <c r="F355" s="1">
        <v>46975</v>
      </c>
      <c r="G355">
        <f t="shared" ca="1" si="38"/>
        <v>892</v>
      </c>
      <c r="H355" t="str">
        <f t="shared" ca="1" si="39"/>
        <v>Active</v>
      </c>
      <c r="I355">
        <f t="shared" ca="1" si="40"/>
        <v>0</v>
      </c>
      <c r="J355" t="str">
        <f t="shared" si="41"/>
        <v>Safety</v>
      </c>
    </row>
    <row r="356" spans="1:10">
      <c r="A356" t="str" cm="1">
        <f t="array" ref="A356">INDEX(Vendor_Master!$A$2:$A$401, ROUNDUP((ROW()-1)/4, 0))</f>
        <v>VND-089</v>
      </c>
      <c r="B356" t="str">
        <f t="shared" si="35"/>
        <v>Environmental Policy</v>
      </c>
      <c r="C356" t="str">
        <f t="shared" si="36"/>
        <v>Yes</v>
      </c>
      <c r="D356" t="str">
        <f t="shared" si="37"/>
        <v>Yes</v>
      </c>
      <c r="E356" s="1">
        <v>45752</v>
      </c>
      <c r="F356" s="1">
        <v>46936</v>
      </c>
      <c r="G356">
        <f t="shared" ca="1" si="38"/>
        <v>853</v>
      </c>
      <c r="H356" t="str">
        <f t="shared" ca="1" si="39"/>
        <v>Active</v>
      </c>
      <c r="I356">
        <f t="shared" ca="1" si="40"/>
        <v>0</v>
      </c>
      <c r="J356" t="str">
        <f t="shared" si="41"/>
        <v>Environmental</v>
      </c>
    </row>
    <row r="357" spans="1:10">
      <c r="A357" t="str" cm="1">
        <f t="array" ref="A357">INDEX(Vendor_Master!$A$2:$A$401, ROUNDUP((ROW()-1)/4, 0))</f>
        <v>VND-089</v>
      </c>
      <c r="B357" t="str">
        <f t="shared" si="35"/>
        <v>Sustainability Disclosure</v>
      </c>
      <c r="C357" t="str">
        <f t="shared" si="36"/>
        <v>Yes</v>
      </c>
      <c r="D357" t="str">
        <f t="shared" si="37"/>
        <v>Yes</v>
      </c>
      <c r="E357" s="1">
        <v>45793</v>
      </c>
      <c r="F357" s="1">
        <v>46677</v>
      </c>
      <c r="G357">
        <f t="shared" ca="1" si="38"/>
        <v>594</v>
      </c>
      <c r="H357" t="str">
        <f t="shared" ca="1" si="39"/>
        <v>Active</v>
      </c>
      <c r="I357">
        <f t="shared" ca="1" si="40"/>
        <v>0</v>
      </c>
      <c r="J357" t="str">
        <f t="shared" si="41"/>
        <v>Environmental</v>
      </c>
    </row>
    <row r="358" spans="1:10">
      <c r="A358" t="str" cm="1">
        <f t="array" ref="A358">INDEX(Vendor_Master!$A$2:$A$401, ROUNDUP((ROW()-1)/4, 0))</f>
        <v>VND-090</v>
      </c>
      <c r="B358" t="str">
        <f t="shared" si="35"/>
        <v>ISO 14001</v>
      </c>
      <c r="C358" t="str">
        <f t="shared" si="36"/>
        <v>Yes</v>
      </c>
      <c r="D358" t="str">
        <f t="shared" si="37"/>
        <v>Yes</v>
      </c>
      <c r="E358" s="1">
        <v>45785</v>
      </c>
      <c r="F358" s="1">
        <v>46627</v>
      </c>
      <c r="G358">
        <f t="shared" ca="1" si="38"/>
        <v>544</v>
      </c>
      <c r="H358" t="str">
        <f t="shared" ca="1" si="39"/>
        <v>Active</v>
      </c>
      <c r="I358">
        <f t="shared" ca="1" si="40"/>
        <v>0</v>
      </c>
      <c r="J358" t="str">
        <f t="shared" si="41"/>
        <v>Environmental</v>
      </c>
    </row>
    <row r="359" spans="1:10">
      <c r="A359" t="str" cm="1">
        <f t="array" ref="A359">INDEX(Vendor_Master!$A$2:$A$401, ROUNDUP((ROW()-1)/4, 0))</f>
        <v>VND-090</v>
      </c>
      <c r="B359" t="str">
        <f t="shared" si="35"/>
        <v>Safety Certificate</v>
      </c>
      <c r="C359" t="str">
        <f t="shared" si="36"/>
        <v>Yes</v>
      </c>
      <c r="D359" t="str">
        <f t="shared" si="37"/>
        <v>Yes</v>
      </c>
      <c r="E359" s="1">
        <v>45932</v>
      </c>
      <c r="F359" s="1">
        <v>46451</v>
      </c>
      <c r="G359">
        <f t="shared" ca="1" si="38"/>
        <v>368</v>
      </c>
      <c r="H359" t="str">
        <f t="shared" ca="1" si="39"/>
        <v>Active</v>
      </c>
      <c r="I359">
        <f t="shared" ca="1" si="40"/>
        <v>0</v>
      </c>
      <c r="J359" t="str">
        <f t="shared" si="41"/>
        <v>Safety</v>
      </c>
    </row>
    <row r="360" spans="1:10">
      <c r="A360" t="str" cm="1">
        <f t="array" ref="A360">INDEX(Vendor_Master!$A$2:$A$401, ROUNDUP((ROW()-1)/4, 0))</f>
        <v>VND-090</v>
      </c>
      <c r="B360" t="str">
        <f t="shared" si="35"/>
        <v>Environmental Policy</v>
      </c>
      <c r="C360" t="str">
        <f t="shared" si="36"/>
        <v>Yes</v>
      </c>
      <c r="D360" t="str">
        <f t="shared" si="37"/>
        <v>Yes</v>
      </c>
      <c r="E360" s="1">
        <v>45853</v>
      </c>
      <c r="F360" s="1">
        <v>46262</v>
      </c>
      <c r="G360">
        <f t="shared" ca="1" si="38"/>
        <v>179</v>
      </c>
      <c r="H360" t="str">
        <f t="shared" ca="1" si="39"/>
        <v>Active</v>
      </c>
      <c r="I360">
        <f t="shared" ca="1" si="40"/>
        <v>0</v>
      </c>
      <c r="J360" t="str">
        <f t="shared" si="41"/>
        <v>Environmental</v>
      </c>
    </row>
    <row r="361" spans="1:10">
      <c r="A361" t="str" cm="1">
        <f t="array" ref="A361">INDEX(Vendor_Master!$A$2:$A$401, ROUNDUP((ROW()-1)/4, 0))</f>
        <v>VND-090</v>
      </c>
      <c r="B361" t="str">
        <f t="shared" si="35"/>
        <v>Sustainability Disclosure</v>
      </c>
      <c r="C361" t="str">
        <f t="shared" si="36"/>
        <v>Yes</v>
      </c>
      <c r="D361" t="str">
        <f t="shared" si="37"/>
        <v>Yes</v>
      </c>
      <c r="E361" s="1">
        <v>45653</v>
      </c>
      <c r="F361" s="1">
        <v>46652</v>
      </c>
      <c r="G361">
        <f t="shared" ca="1" si="38"/>
        <v>569</v>
      </c>
      <c r="H361" t="str">
        <f t="shared" ca="1" si="39"/>
        <v>Active</v>
      </c>
      <c r="I361">
        <f t="shared" ca="1" si="40"/>
        <v>0</v>
      </c>
      <c r="J361" t="str">
        <f t="shared" si="41"/>
        <v>Environmental</v>
      </c>
    </row>
    <row r="362" spans="1:10">
      <c r="A362" t="str" cm="1">
        <f t="array" ref="A362">INDEX(Vendor_Master!$A$2:$A$401, ROUNDUP((ROW()-1)/4, 0))</f>
        <v>VND-091</v>
      </c>
      <c r="B362" t="str">
        <f t="shared" si="35"/>
        <v>ISO 14001</v>
      </c>
      <c r="C362" t="str">
        <f t="shared" si="36"/>
        <v>Yes</v>
      </c>
      <c r="D362" t="str">
        <f t="shared" si="37"/>
        <v>Yes</v>
      </c>
      <c r="E362" s="1">
        <v>45777</v>
      </c>
      <c r="F362" s="1">
        <v>46558</v>
      </c>
      <c r="G362">
        <f t="shared" ca="1" si="38"/>
        <v>475</v>
      </c>
      <c r="H362" t="str">
        <f t="shared" ca="1" si="39"/>
        <v>Active</v>
      </c>
      <c r="I362">
        <f t="shared" ca="1" si="40"/>
        <v>0</v>
      </c>
      <c r="J362" t="str">
        <f t="shared" si="41"/>
        <v>Environmental</v>
      </c>
    </row>
    <row r="363" spans="1:10">
      <c r="A363" t="str" cm="1">
        <f t="array" ref="A363">INDEX(Vendor_Master!$A$2:$A$401, ROUNDUP((ROW()-1)/4, 0))</f>
        <v>VND-091</v>
      </c>
      <c r="B363" t="str">
        <f t="shared" si="35"/>
        <v>Safety Certificate</v>
      </c>
      <c r="C363" t="str">
        <f t="shared" si="36"/>
        <v>Yes</v>
      </c>
      <c r="D363" t="str">
        <f t="shared" si="37"/>
        <v>Yes</v>
      </c>
      <c r="E363" s="1">
        <v>45941</v>
      </c>
      <c r="F363" s="1">
        <v>46338</v>
      </c>
      <c r="G363">
        <f t="shared" ca="1" si="38"/>
        <v>255</v>
      </c>
      <c r="H363" t="str">
        <f t="shared" ca="1" si="39"/>
        <v>Active</v>
      </c>
      <c r="I363">
        <f t="shared" ca="1" si="40"/>
        <v>0</v>
      </c>
      <c r="J363" t="str">
        <f t="shared" si="41"/>
        <v>Safety</v>
      </c>
    </row>
    <row r="364" spans="1:10">
      <c r="A364" t="str" cm="1">
        <f t="array" ref="A364">INDEX(Vendor_Master!$A$2:$A$401, ROUNDUP((ROW()-1)/4, 0))</f>
        <v>VND-091</v>
      </c>
      <c r="B364" t="str">
        <f t="shared" si="35"/>
        <v>Environmental Policy</v>
      </c>
      <c r="C364" t="str">
        <f t="shared" si="36"/>
        <v>Yes</v>
      </c>
      <c r="D364" t="str">
        <f t="shared" si="37"/>
        <v>Yes</v>
      </c>
      <c r="E364" s="1">
        <v>45985</v>
      </c>
      <c r="F364" s="1">
        <v>46557</v>
      </c>
      <c r="G364">
        <f t="shared" ca="1" si="38"/>
        <v>474</v>
      </c>
      <c r="H364" t="str">
        <f t="shared" ca="1" si="39"/>
        <v>Active</v>
      </c>
      <c r="I364">
        <f t="shared" ca="1" si="40"/>
        <v>0</v>
      </c>
      <c r="J364" t="str">
        <f t="shared" si="41"/>
        <v>Environmental</v>
      </c>
    </row>
    <row r="365" spans="1:10">
      <c r="A365" t="str" cm="1">
        <f t="array" ref="A365">INDEX(Vendor_Master!$A$2:$A$401, ROUNDUP((ROW()-1)/4, 0))</f>
        <v>VND-091</v>
      </c>
      <c r="B365" t="str">
        <f t="shared" si="35"/>
        <v>Sustainability Disclosure</v>
      </c>
      <c r="C365" t="str">
        <f t="shared" si="36"/>
        <v>Yes</v>
      </c>
      <c r="D365" t="str">
        <f t="shared" si="37"/>
        <v>Yes</v>
      </c>
      <c r="E365" s="1">
        <v>46030</v>
      </c>
      <c r="F365" s="1">
        <v>46698</v>
      </c>
      <c r="G365">
        <f t="shared" ca="1" si="38"/>
        <v>615</v>
      </c>
      <c r="H365" t="str">
        <f t="shared" ca="1" si="39"/>
        <v>Active</v>
      </c>
      <c r="I365">
        <f t="shared" ca="1" si="40"/>
        <v>0</v>
      </c>
      <c r="J365" t="str">
        <f t="shared" si="41"/>
        <v>Environmental</v>
      </c>
    </row>
    <row r="366" spans="1:10">
      <c r="A366" t="str" cm="1">
        <f t="array" ref="A366">INDEX(Vendor_Master!$A$2:$A$401, ROUNDUP((ROW()-1)/4, 0))</f>
        <v>VND-092</v>
      </c>
      <c r="B366" t="str">
        <f t="shared" si="35"/>
        <v>ISO 14001</v>
      </c>
      <c r="C366" t="str">
        <f t="shared" si="36"/>
        <v>Yes</v>
      </c>
      <c r="D366" t="str">
        <f t="shared" si="37"/>
        <v>Yes</v>
      </c>
      <c r="E366" s="1">
        <v>45557</v>
      </c>
      <c r="F366" s="1">
        <v>46641</v>
      </c>
      <c r="G366">
        <f t="shared" ca="1" si="38"/>
        <v>558</v>
      </c>
      <c r="H366" t="str">
        <f t="shared" ca="1" si="39"/>
        <v>Active</v>
      </c>
      <c r="I366">
        <f t="shared" ca="1" si="40"/>
        <v>0</v>
      </c>
      <c r="J366" t="str">
        <f t="shared" si="41"/>
        <v>Environmental</v>
      </c>
    </row>
    <row r="367" spans="1:10">
      <c r="A367" t="str" cm="1">
        <f t="array" ref="A367">INDEX(Vendor_Master!$A$2:$A$401, ROUNDUP((ROW()-1)/4, 0))</f>
        <v>VND-092</v>
      </c>
      <c r="B367" t="str">
        <f t="shared" si="35"/>
        <v>Safety Certificate</v>
      </c>
      <c r="C367" t="str">
        <f t="shared" si="36"/>
        <v>Yes</v>
      </c>
      <c r="D367" t="str">
        <f t="shared" si="37"/>
        <v>Yes</v>
      </c>
      <c r="E367" s="1">
        <v>45426</v>
      </c>
      <c r="F367" s="1">
        <v>46958</v>
      </c>
      <c r="G367">
        <f t="shared" ca="1" si="38"/>
        <v>875</v>
      </c>
      <c r="H367" t="str">
        <f t="shared" ca="1" si="39"/>
        <v>Active</v>
      </c>
      <c r="I367">
        <f t="shared" ca="1" si="40"/>
        <v>0</v>
      </c>
      <c r="J367" t="str">
        <f t="shared" si="41"/>
        <v>Safety</v>
      </c>
    </row>
    <row r="368" spans="1:10">
      <c r="A368" t="str" cm="1">
        <f t="array" ref="A368">INDEX(Vendor_Master!$A$2:$A$401, ROUNDUP((ROW()-1)/4, 0))</f>
        <v>VND-092</v>
      </c>
      <c r="B368" t="str">
        <f t="shared" si="35"/>
        <v>Environmental Policy</v>
      </c>
      <c r="C368" t="str">
        <f t="shared" si="36"/>
        <v>Yes</v>
      </c>
      <c r="D368" t="str">
        <f t="shared" si="37"/>
        <v>Yes</v>
      </c>
      <c r="E368" s="1">
        <v>45852</v>
      </c>
      <c r="F368" s="1">
        <v>46318</v>
      </c>
      <c r="G368">
        <f t="shared" ca="1" si="38"/>
        <v>235</v>
      </c>
      <c r="H368" t="str">
        <f t="shared" ca="1" si="39"/>
        <v>Active</v>
      </c>
      <c r="I368">
        <f t="shared" ca="1" si="40"/>
        <v>0</v>
      </c>
      <c r="J368" t="str">
        <f t="shared" si="41"/>
        <v>Environmental</v>
      </c>
    </row>
    <row r="369" spans="1:10">
      <c r="A369" t="str" cm="1">
        <f t="array" ref="A369">INDEX(Vendor_Master!$A$2:$A$401, ROUNDUP((ROW()-1)/4, 0))</f>
        <v>VND-092</v>
      </c>
      <c r="B369" t="str">
        <f t="shared" si="35"/>
        <v>Sustainability Disclosure</v>
      </c>
      <c r="C369" t="str">
        <f t="shared" si="36"/>
        <v>Yes</v>
      </c>
      <c r="D369" t="str">
        <f t="shared" si="37"/>
        <v>Yes</v>
      </c>
      <c r="E369" s="1">
        <v>46066</v>
      </c>
      <c r="F369" s="1">
        <v>46899</v>
      </c>
      <c r="G369">
        <f t="shared" ca="1" si="38"/>
        <v>816</v>
      </c>
      <c r="H369" t="str">
        <f t="shared" ca="1" si="39"/>
        <v>Active</v>
      </c>
      <c r="I369">
        <f t="shared" ca="1" si="40"/>
        <v>0</v>
      </c>
      <c r="J369" t="str">
        <f t="shared" si="41"/>
        <v>Environmental</v>
      </c>
    </row>
    <row r="370" spans="1:10">
      <c r="A370" t="str" cm="1">
        <f t="array" ref="A370">INDEX(Vendor_Master!$A$2:$A$401, ROUNDUP((ROW()-1)/4, 0))</f>
        <v>VND-093</v>
      </c>
      <c r="B370" t="str">
        <f t="shared" si="35"/>
        <v>ISO 14001</v>
      </c>
      <c r="C370" t="str">
        <f t="shared" si="36"/>
        <v>Yes</v>
      </c>
      <c r="D370" t="str">
        <f t="shared" si="37"/>
        <v>Yes</v>
      </c>
      <c r="E370" s="1">
        <v>45552</v>
      </c>
      <c r="F370" s="1">
        <v>46563</v>
      </c>
      <c r="G370">
        <f t="shared" ca="1" si="38"/>
        <v>480</v>
      </c>
      <c r="H370" t="str">
        <f t="shared" ca="1" si="39"/>
        <v>Active</v>
      </c>
      <c r="I370">
        <f t="shared" ca="1" si="40"/>
        <v>0</v>
      </c>
      <c r="J370" t="str">
        <f t="shared" si="41"/>
        <v>Environmental</v>
      </c>
    </row>
    <row r="371" spans="1:10">
      <c r="A371" t="str" cm="1">
        <f t="array" ref="A371">INDEX(Vendor_Master!$A$2:$A$401, ROUNDUP((ROW()-1)/4, 0))</f>
        <v>VND-093</v>
      </c>
      <c r="B371" t="str">
        <f t="shared" si="35"/>
        <v>Safety Certificate</v>
      </c>
      <c r="C371" t="str">
        <f t="shared" si="36"/>
        <v>Yes</v>
      </c>
      <c r="D371" t="str">
        <f t="shared" si="37"/>
        <v>Yes</v>
      </c>
      <c r="E371" s="1">
        <v>45845</v>
      </c>
      <c r="F371" s="1">
        <v>46882</v>
      </c>
      <c r="G371">
        <f t="shared" ca="1" si="38"/>
        <v>799</v>
      </c>
      <c r="H371" t="str">
        <f t="shared" ca="1" si="39"/>
        <v>Active</v>
      </c>
      <c r="I371">
        <f t="shared" ca="1" si="40"/>
        <v>0</v>
      </c>
      <c r="J371" t="str">
        <f t="shared" si="41"/>
        <v>Safety</v>
      </c>
    </row>
    <row r="372" spans="1:10">
      <c r="A372" t="str" cm="1">
        <f t="array" ref="A372">INDEX(Vendor_Master!$A$2:$A$401, ROUNDUP((ROW()-1)/4, 0))</f>
        <v>VND-093</v>
      </c>
      <c r="B372" t="str">
        <f t="shared" si="35"/>
        <v>Environmental Policy</v>
      </c>
      <c r="C372" t="str">
        <f t="shared" si="36"/>
        <v>Yes</v>
      </c>
      <c r="D372" t="str">
        <f t="shared" si="37"/>
        <v>Yes</v>
      </c>
      <c r="E372" s="1">
        <v>45680</v>
      </c>
      <c r="F372" s="1">
        <v>46532</v>
      </c>
      <c r="G372">
        <f t="shared" ca="1" si="38"/>
        <v>449</v>
      </c>
      <c r="H372" t="str">
        <f t="shared" ca="1" si="39"/>
        <v>Active</v>
      </c>
      <c r="I372">
        <f t="shared" ca="1" si="40"/>
        <v>0</v>
      </c>
      <c r="J372" t="str">
        <f t="shared" si="41"/>
        <v>Environmental</v>
      </c>
    </row>
    <row r="373" spans="1:10">
      <c r="A373" t="str" cm="1">
        <f t="array" ref="A373">INDEX(Vendor_Master!$A$2:$A$401, ROUNDUP((ROW()-1)/4, 0))</f>
        <v>VND-093</v>
      </c>
      <c r="B373" t="str">
        <f t="shared" si="35"/>
        <v>Sustainability Disclosure</v>
      </c>
      <c r="C373" t="str">
        <f t="shared" si="36"/>
        <v>Yes</v>
      </c>
      <c r="D373" t="str">
        <f t="shared" si="37"/>
        <v>Yes</v>
      </c>
      <c r="E373" s="1">
        <v>45425</v>
      </c>
      <c r="F373" s="1">
        <v>46928</v>
      </c>
      <c r="G373">
        <f t="shared" ca="1" si="38"/>
        <v>845</v>
      </c>
      <c r="H373" t="str">
        <f t="shared" ca="1" si="39"/>
        <v>Active</v>
      </c>
      <c r="I373">
        <f t="shared" ca="1" si="40"/>
        <v>0</v>
      </c>
      <c r="J373" t="str">
        <f t="shared" si="41"/>
        <v>Environmental</v>
      </c>
    </row>
    <row r="374" spans="1:10">
      <c r="A374" t="str" cm="1">
        <f t="array" ref="A374">INDEX(Vendor_Master!$A$2:$A$401, ROUNDUP((ROW()-1)/4, 0))</f>
        <v>VND-094</v>
      </c>
      <c r="B374" t="str">
        <f t="shared" si="35"/>
        <v>ISO 14001</v>
      </c>
      <c r="C374" t="str">
        <f t="shared" si="36"/>
        <v>Yes</v>
      </c>
      <c r="D374" t="str">
        <f t="shared" si="37"/>
        <v>Yes</v>
      </c>
      <c r="E374" s="1">
        <v>45581</v>
      </c>
      <c r="F374" s="1">
        <v>46343</v>
      </c>
      <c r="G374">
        <f t="shared" ca="1" si="38"/>
        <v>260</v>
      </c>
      <c r="H374" t="str">
        <f t="shared" ca="1" si="39"/>
        <v>Active</v>
      </c>
      <c r="I374">
        <f t="shared" ca="1" si="40"/>
        <v>0</v>
      </c>
      <c r="J374" t="str">
        <f t="shared" si="41"/>
        <v>Environmental</v>
      </c>
    </row>
    <row r="375" spans="1:10">
      <c r="A375" t="str" cm="1">
        <f t="array" ref="A375">INDEX(Vendor_Master!$A$2:$A$401, ROUNDUP((ROW()-1)/4, 0))</f>
        <v>VND-094</v>
      </c>
      <c r="B375" t="str">
        <f t="shared" si="35"/>
        <v>Safety Certificate</v>
      </c>
      <c r="C375" t="str">
        <f t="shared" si="36"/>
        <v>Yes</v>
      </c>
      <c r="D375" t="str">
        <f t="shared" si="37"/>
        <v>Yes</v>
      </c>
      <c r="E375" s="1">
        <v>45626</v>
      </c>
      <c r="F375" s="1">
        <v>46815</v>
      </c>
      <c r="G375">
        <f t="shared" ca="1" si="38"/>
        <v>732</v>
      </c>
      <c r="H375" t="str">
        <f t="shared" ca="1" si="39"/>
        <v>Active</v>
      </c>
      <c r="I375">
        <f t="shared" ca="1" si="40"/>
        <v>0</v>
      </c>
      <c r="J375" t="str">
        <f t="shared" si="41"/>
        <v>Safety</v>
      </c>
    </row>
    <row r="376" spans="1:10">
      <c r="A376" t="str" cm="1">
        <f t="array" ref="A376">INDEX(Vendor_Master!$A$2:$A$401, ROUNDUP((ROW()-1)/4, 0))</f>
        <v>VND-094</v>
      </c>
      <c r="B376" t="str">
        <f t="shared" si="35"/>
        <v>Environmental Policy</v>
      </c>
      <c r="C376" t="str">
        <f t="shared" si="36"/>
        <v>Yes</v>
      </c>
      <c r="D376" t="str">
        <f t="shared" si="37"/>
        <v>Yes</v>
      </c>
      <c r="E376" s="1">
        <v>46035</v>
      </c>
      <c r="F376" s="1">
        <v>46314</v>
      </c>
      <c r="G376">
        <f t="shared" ca="1" si="38"/>
        <v>231</v>
      </c>
      <c r="H376" t="str">
        <f t="shared" ca="1" si="39"/>
        <v>Active</v>
      </c>
      <c r="I376">
        <f t="shared" ca="1" si="40"/>
        <v>0</v>
      </c>
      <c r="J376" t="str">
        <f t="shared" si="41"/>
        <v>Environmental</v>
      </c>
    </row>
    <row r="377" spans="1:10">
      <c r="A377" t="str" cm="1">
        <f t="array" ref="A377">INDEX(Vendor_Master!$A$2:$A$401, ROUNDUP((ROW()-1)/4, 0))</f>
        <v>VND-094</v>
      </c>
      <c r="B377" t="str">
        <f t="shared" si="35"/>
        <v>Sustainability Disclosure</v>
      </c>
      <c r="C377" t="str">
        <f t="shared" si="36"/>
        <v>Yes</v>
      </c>
      <c r="D377" t="str">
        <f t="shared" si="37"/>
        <v>Yes</v>
      </c>
      <c r="E377" s="1">
        <v>45514</v>
      </c>
      <c r="F377" s="1">
        <v>46218</v>
      </c>
      <c r="G377">
        <f t="shared" ca="1" si="38"/>
        <v>135</v>
      </c>
      <c r="H377" t="str">
        <f t="shared" ca="1" si="39"/>
        <v>Active</v>
      </c>
      <c r="I377">
        <f t="shared" ca="1" si="40"/>
        <v>0</v>
      </c>
      <c r="J377" t="str">
        <f t="shared" si="41"/>
        <v>Environmental</v>
      </c>
    </row>
    <row r="378" spans="1:10">
      <c r="A378" t="str" cm="1">
        <f t="array" ref="A378">INDEX(Vendor_Master!$A$2:$A$401, ROUNDUP((ROW()-1)/4, 0))</f>
        <v>VND-095</v>
      </c>
      <c r="B378" t="str">
        <f t="shared" si="35"/>
        <v>ISO 14001</v>
      </c>
      <c r="C378" t="str">
        <f t="shared" si="36"/>
        <v>Yes</v>
      </c>
      <c r="D378" t="str">
        <f t="shared" si="37"/>
        <v>Yes</v>
      </c>
      <c r="E378" s="1">
        <v>46009</v>
      </c>
      <c r="F378" s="1">
        <v>46735</v>
      </c>
      <c r="G378">
        <f t="shared" ca="1" si="38"/>
        <v>652</v>
      </c>
      <c r="H378" t="str">
        <f t="shared" ca="1" si="39"/>
        <v>Active</v>
      </c>
      <c r="I378">
        <f t="shared" ca="1" si="40"/>
        <v>0</v>
      </c>
      <c r="J378" t="str">
        <f t="shared" si="41"/>
        <v>Environmental</v>
      </c>
    </row>
    <row r="379" spans="1:10">
      <c r="A379" t="str" cm="1">
        <f t="array" ref="A379">INDEX(Vendor_Master!$A$2:$A$401, ROUNDUP((ROW()-1)/4, 0))</f>
        <v>VND-095</v>
      </c>
      <c r="B379" t="str">
        <f t="shared" si="35"/>
        <v>Safety Certificate</v>
      </c>
      <c r="C379" t="str">
        <f t="shared" si="36"/>
        <v>Yes</v>
      </c>
      <c r="D379" t="str">
        <f t="shared" si="37"/>
        <v>Yes</v>
      </c>
      <c r="E379" s="1">
        <v>45521</v>
      </c>
      <c r="F379" s="1">
        <v>46851</v>
      </c>
      <c r="G379">
        <f t="shared" ca="1" si="38"/>
        <v>768</v>
      </c>
      <c r="H379" t="str">
        <f t="shared" ca="1" si="39"/>
        <v>Active</v>
      </c>
      <c r="I379">
        <f t="shared" ca="1" si="40"/>
        <v>0</v>
      </c>
      <c r="J379" t="str">
        <f t="shared" si="41"/>
        <v>Safety</v>
      </c>
    </row>
    <row r="380" spans="1:10">
      <c r="A380" t="str" cm="1">
        <f t="array" ref="A380">INDEX(Vendor_Master!$A$2:$A$401, ROUNDUP((ROW()-1)/4, 0))</f>
        <v>VND-095</v>
      </c>
      <c r="B380" t="str">
        <f t="shared" si="35"/>
        <v>Environmental Policy</v>
      </c>
      <c r="C380" t="str">
        <f t="shared" si="36"/>
        <v>Yes</v>
      </c>
      <c r="D380" t="str">
        <f t="shared" si="37"/>
        <v>Yes</v>
      </c>
      <c r="E380" s="1">
        <v>46015</v>
      </c>
      <c r="F380" s="1">
        <v>46683</v>
      </c>
      <c r="G380">
        <f t="shared" ca="1" si="38"/>
        <v>600</v>
      </c>
      <c r="H380" t="str">
        <f t="shared" ca="1" si="39"/>
        <v>Active</v>
      </c>
      <c r="I380">
        <f t="shared" ca="1" si="40"/>
        <v>0</v>
      </c>
      <c r="J380" t="str">
        <f t="shared" si="41"/>
        <v>Environmental</v>
      </c>
    </row>
    <row r="381" spans="1:10">
      <c r="A381" t="str" cm="1">
        <f t="array" ref="A381">INDEX(Vendor_Master!$A$2:$A$401, ROUNDUP((ROW()-1)/4, 0))</f>
        <v>VND-095</v>
      </c>
      <c r="B381" t="str">
        <f t="shared" si="35"/>
        <v>Sustainability Disclosure</v>
      </c>
      <c r="C381" t="str">
        <f t="shared" si="36"/>
        <v>Yes</v>
      </c>
      <c r="D381" t="str">
        <f t="shared" si="37"/>
        <v>Yes</v>
      </c>
      <c r="E381" s="1">
        <v>45423</v>
      </c>
      <c r="F381" s="1">
        <v>46624</v>
      </c>
      <c r="G381">
        <f t="shared" ca="1" si="38"/>
        <v>541</v>
      </c>
      <c r="H381" t="str">
        <f t="shared" ca="1" si="39"/>
        <v>Active</v>
      </c>
      <c r="I381">
        <f t="shared" ca="1" si="40"/>
        <v>0</v>
      </c>
      <c r="J381" t="str">
        <f t="shared" si="41"/>
        <v>Environmental</v>
      </c>
    </row>
    <row r="382" spans="1:10">
      <c r="A382" t="str" cm="1">
        <f t="array" ref="A382">INDEX(Vendor_Master!$A$2:$A$401, ROUNDUP((ROW()-1)/4, 0))</f>
        <v>VND-096</v>
      </c>
      <c r="B382" t="str">
        <f t="shared" si="35"/>
        <v>ISO 14001</v>
      </c>
      <c r="C382" t="str">
        <f t="shared" si="36"/>
        <v>Yes</v>
      </c>
      <c r="D382" t="str">
        <f t="shared" si="37"/>
        <v>Yes</v>
      </c>
      <c r="E382" s="1">
        <v>45937</v>
      </c>
      <c r="F382" s="1">
        <v>46772</v>
      </c>
      <c r="G382">
        <f t="shared" ca="1" si="38"/>
        <v>689</v>
      </c>
      <c r="H382" t="str">
        <f t="shared" ca="1" si="39"/>
        <v>Active</v>
      </c>
      <c r="I382">
        <f t="shared" ca="1" si="40"/>
        <v>0</v>
      </c>
      <c r="J382" t="str">
        <f t="shared" si="41"/>
        <v>Environmental</v>
      </c>
    </row>
    <row r="383" spans="1:10">
      <c r="A383" t="str" cm="1">
        <f t="array" ref="A383">INDEX(Vendor_Master!$A$2:$A$401, ROUNDUP((ROW()-1)/4, 0))</f>
        <v>VND-096</v>
      </c>
      <c r="B383" t="str">
        <f t="shared" si="35"/>
        <v>Safety Certificate</v>
      </c>
      <c r="C383" t="str">
        <f t="shared" si="36"/>
        <v>Yes</v>
      </c>
      <c r="D383" t="str">
        <f t="shared" si="37"/>
        <v>Yes</v>
      </c>
      <c r="E383" s="1">
        <v>45829</v>
      </c>
      <c r="F383" s="1">
        <v>46397</v>
      </c>
      <c r="G383">
        <f t="shared" ca="1" si="38"/>
        <v>314</v>
      </c>
      <c r="H383" t="str">
        <f t="shared" ca="1" si="39"/>
        <v>Active</v>
      </c>
      <c r="I383">
        <f t="shared" ca="1" si="40"/>
        <v>0</v>
      </c>
      <c r="J383" t="str">
        <f t="shared" si="41"/>
        <v>Safety</v>
      </c>
    </row>
    <row r="384" spans="1:10">
      <c r="A384" t="str" cm="1">
        <f t="array" ref="A384">INDEX(Vendor_Master!$A$2:$A$401, ROUNDUP((ROW()-1)/4, 0))</f>
        <v>VND-096</v>
      </c>
      <c r="B384" t="str">
        <f t="shared" si="35"/>
        <v>Environmental Policy</v>
      </c>
      <c r="C384" t="str">
        <f t="shared" si="36"/>
        <v>Yes</v>
      </c>
      <c r="D384" t="str">
        <f t="shared" si="37"/>
        <v>Yes</v>
      </c>
      <c r="E384" s="1">
        <v>45774</v>
      </c>
      <c r="F384" s="1">
        <v>46207</v>
      </c>
      <c r="G384">
        <f t="shared" ca="1" si="38"/>
        <v>124</v>
      </c>
      <c r="H384" t="str">
        <f t="shared" ca="1" si="39"/>
        <v>Active</v>
      </c>
      <c r="I384">
        <f t="shared" ca="1" si="40"/>
        <v>0</v>
      </c>
      <c r="J384" t="str">
        <f t="shared" si="41"/>
        <v>Environmental</v>
      </c>
    </row>
    <row r="385" spans="1:10">
      <c r="A385" t="str" cm="1">
        <f t="array" ref="A385">INDEX(Vendor_Master!$A$2:$A$401, ROUNDUP((ROW()-1)/4, 0))</f>
        <v>VND-096</v>
      </c>
      <c r="B385" t="str">
        <f t="shared" si="35"/>
        <v>Sustainability Disclosure</v>
      </c>
      <c r="C385" t="str">
        <f t="shared" si="36"/>
        <v>Yes</v>
      </c>
      <c r="D385" t="str">
        <f t="shared" si="37"/>
        <v>Yes</v>
      </c>
      <c r="E385" s="1">
        <v>45954</v>
      </c>
      <c r="F385" s="1">
        <v>46235</v>
      </c>
      <c r="G385">
        <f t="shared" ca="1" si="38"/>
        <v>152</v>
      </c>
      <c r="H385" t="str">
        <f t="shared" ca="1" si="39"/>
        <v>Active</v>
      </c>
      <c r="I385">
        <f t="shared" ca="1" si="40"/>
        <v>0</v>
      </c>
      <c r="J385" t="str">
        <f t="shared" si="41"/>
        <v>Environmental</v>
      </c>
    </row>
    <row r="386" spans="1:10">
      <c r="A386" t="str" cm="1">
        <f t="array" ref="A386">INDEX(Vendor_Master!$A$2:$A$401, ROUNDUP((ROW()-1)/4, 0))</f>
        <v>VND-097</v>
      </c>
      <c r="B386" t="str">
        <f t="shared" si="35"/>
        <v>ISO 14001</v>
      </c>
      <c r="C386" t="str">
        <f t="shared" si="36"/>
        <v>Yes</v>
      </c>
      <c r="D386" t="str">
        <f t="shared" si="37"/>
        <v>Yes</v>
      </c>
      <c r="E386" s="1">
        <v>45511</v>
      </c>
      <c r="F386" s="1">
        <v>46817</v>
      </c>
      <c r="G386">
        <f t="shared" ca="1" si="38"/>
        <v>734</v>
      </c>
      <c r="H386" t="str">
        <f t="shared" ca="1" si="39"/>
        <v>Active</v>
      </c>
      <c r="I386">
        <f t="shared" ca="1" si="40"/>
        <v>0</v>
      </c>
      <c r="J386" t="str">
        <f t="shared" si="41"/>
        <v>Environmental</v>
      </c>
    </row>
    <row r="387" spans="1:10">
      <c r="A387" t="str" cm="1">
        <f t="array" ref="A387">INDEX(Vendor_Master!$A$2:$A$401, ROUNDUP((ROW()-1)/4, 0))</f>
        <v>VND-097</v>
      </c>
      <c r="B387" t="str">
        <f t="shared" ref="B387:B450" si="42">CHOOSE(MOD(ROW()-2,4)+1,"ISO 14001","Safety Certificate","Environmental Policy","Sustainability Disclosure")</f>
        <v>Safety Certificate</v>
      </c>
      <c r="C387" t="str">
        <f t="shared" ref="C387:C450" si="43">"Yes"</f>
        <v>Yes</v>
      </c>
      <c r="D387" t="str">
        <f t="shared" ref="D387:D450" si="44">IF(ROW()-1&lt;=1280,"Yes","No")</f>
        <v>Yes</v>
      </c>
      <c r="E387" s="1">
        <v>45530</v>
      </c>
      <c r="F387" s="1">
        <v>46811</v>
      </c>
      <c r="G387">
        <f t="shared" ref="G387:G450" ca="1" si="45">IF($F387="","",$F387-TODAY())</f>
        <v>728</v>
      </c>
      <c r="H387" t="str">
        <f t="shared" ref="H387:H450" ca="1" si="46">IF($C387="No","Not Required",
IF($D387="No","Missing",
IF($F387&lt;TODAY(),"Expired",
IF($F387&lt;=TODAY()+30,"Expiring Soon","Active"))))</f>
        <v>Active</v>
      </c>
      <c r="I387">
        <f t="shared" ref="I387:I450" ca="1" si="47">IF(OR($H387="Missing",$H387="Expired",$H387="Expiring Soon"),1,0)</f>
        <v>0</v>
      </c>
      <c r="J387" t="str">
        <f t="shared" ref="J387:J450" si="48">IF(B387="ISO 14001","Environmental",
 IF(B387="Environmental Policy","Environmental",
 IF(B387="Sustainability Disclosure","Environmental",
 IF(B387="Safety Certificate","Safety","Regulatory"))))</f>
        <v>Safety</v>
      </c>
    </row>
    <row r="388" spans="1:10">
      <c r="A388" t="str" cm="1">
        <f t="array" ref="A388">INDEX(Vendor_Master!$A$2:$A$401, ROUNDUP((ROW()-1)/4, 0))</f>
        <v>VND-097</v>
      </c>
      <c r="B388" t="str">
        <f t="shared" si="42"/>
        <v>Environmental Policy</v>
      </c>
      <c r="C388" t="str">
        <f t="shared" si="43"/>
        <v>Yes</v>
      </c>
      <c r="D388" t="str">
        <f t="shared" si="44"/>
        <v>Yes</v>
      </c>
      <c r="E388" s="1">
        <v>45944</v>
      </c>
      <c r="F388" s="1">
        <v>46467</v>
      </c>
      <c r="G388">
        <f t="shared" ca="1" si="45"/>
        <v>384</v>
      </c>
      <c r="H388" t="str">
        <f t="shared" ca="1" si="46"/>
        <v>Active</v>
      </c>
      <c r="I388">
        <f t="shared" ca="1" si="47"/>
        <v>0</v>
      </c>
      <c r="J388" t="str">
        <f t="shared" si="48"/>
        <v>Environmental</v>
      </c>
    </row>
    <row r="389" spans="1:10">
      <c r="A389" t="str" cm="1">
        <f t="array" ref="A389">INDEX(Vendor_Master!$A$2:$A$401, ROUNDUP((ROW()-1)/4, 0))</f>
        <v>VND-097</v>
      </c>
      <c r="B389" t="str">
        <f t="shared" si="42"/>
        <v>Sustainability Disclosure</v>
      </c>
      <c r="C389" t="str">
        <f t="shared" si="43"/>
        <v>Yes</v>
      </c>
      <c r="D389" t="str">
        <f t="shared" si="44"/>
        <v>Yes</v>
      </c>
      <c r="E389" s="1">
        <v>45495</v>
      </c>
      <c r="F389" s="1">
        <v>46319</v>
      </c>
      <c r="G389">
        <f t="shared" ca="1" si="45"/>
        <v>236</v>
      </c>
      <c r="H389" t="str">
        <f t="shared" ca="1" si="46"/>
        <v>Active</v>
      </c>
      <c r="I389">
        <f t="shared" ca="1" si="47"/>
        <v>0</v>
      </c>
      <c r="J389" t="str">
        <f t="shared" si="48"/>
        <v>Environmental</v>
      </c>
    </row>
    <row r="390" spans="1:10">
      <c r="A390" t="str" cm="1">
        <f t="array" ref="A390">INDEX(Vendor_Master!$A$2:$A$401, ROUNDUP((ROW()-1)/4, 0))</f>
        <v>VND-098</v>
      </c>
      <c r="B390" t="str">
        <f t="shared" si="42"/>
        <v>ISO 14001</v>
      </c>
      <c r="C390" t="str">
        <f t="shared" si="43"/>
        <v>Yes</v>
      </c>
      <c r="D390" t="str">
        <f t="shared" si="44"/>
        <v>Yes</v>
      </c>
      <c r="E390" s="1">
        <v>45723</v>
      </c>
      <c r="F390" s="1">
        <v>46504</v>
      </c>
      <c r="G390">
        <f t="shared" ca="1" si="45"/>
        <v>421</v>
      </c>
      <c r="H390" t="str">
        <f t="shared" ca="1" si="46"/>
        <v>Active</v>
      </c>
      <c r="I390">
        <f t="shared" ca="1" si="47"/>
        <v>0</v>
      </c>
      <c r="J390" t="str">
        <f t="shared" si="48"/>
        <v>Environmental</v>
      </c>
    </row>
    <row r="391" spans="1:10">
      <c r="A391" t="str" cm="1">
        <f t="array" ref="A391">INDEX(Vendor_Master!$A$2:$A$401, ROUNDUP((ROW()-1)/4, 0))</f>
        <v>VND-098</v>
      </c>
      <c r="B391" t="str">
        <f t="shared" si="42"/>
        <v>Safety Certificate</v>
      </c>
      <c r="C391" t="str">
        <f t="shared" si="43"/>
        <v>Yes</v>
      </c>
      <c r="D391" t="str">
        <f t="shared" si="44"/>
        <v>Yes</v>
      </c>
      <c r="E391" s="1">
        <v>45612</v>
      </c>
      <c r="F391" s="1">
        <v>46403</v>
      </c>
      <c r="G391">
        <f t="shared" ca="1" si="45"/>
        <v>320</v>
      </c>
      <c r="H391" t="str">
        <f t="shared" ca="1" si="46"/>
        <v>Active</v>
      </c>
      <c r="I391">
        <f t="shared" ca="1" si="47"/>
        <v>0</v>
      </c>
      <c r="J391" t="str">
        <f t="shared" si="48"/>
        <v>Safety</v>
      </c>
    </row>
    <row r="392" spans="1:10">
      <c r="A392" t="str" cm="1">
        <f t="array" ref="A392">INDEX(Vendor_Master!$A$2:$A$401, ROUNDUP((ROW()-1)/4, 0))</f>
        <v>VND-098</v>
      </c>
      <c r="B392" t="str">
        <f t="shared" si="42"/>
        <v>Environmental Policy</v>
      </c>
      <c r="C392" t="str">
        <f t="shared" si="43"/>
        <v>Yes</v>
      </c>
      <c r="D392" t="str">
        <f t="shared" si="44"/>
        <v>Yes</v>
      </c>
      <c r="E392" s="1">
        <v>46056</v>
      </c>
      <c r="F392" s="1">
        <v>46697</v>
      </c>
      <c r="G392">
        <f t="shared" ca="1" si="45"/>
        <v>614</v>
      </c>
      <c r="H392" t="str">
        <f t="shared" ca="1" si="46"/>
        <v>Active</v>
      </c>
      <c r="I392">
        <f t="shared" ca="1" si="47"/>
        <v>0</v>
      </c>
      <c r="J392" t="str">
        <f t="shared" si="48"/>
        <v>Environmental</v>
      </c>
    </row>
    <row r="393" spans="1:10">
      <c r="A393" t="str" cm="1">
        <f t="array" ref="A393">INDEX(Vendor_Master!$A$2:$A$401, ROUNDUP((ROW()-1)/4, 0))</f>
        <v>VND-098</v>
      </c>
      <c r="B393" t="str">
        <f t="shared" si="42"/>
        <v>Sustainability Disclosure</v>
      </c>
      <c r="C393" t="str">
        <f t="shared" si="43"/>
        <v>Yes</v>
      </c>
      <c r="D393" t="str">
        <f t="shared" si="44"/>
        <v>Yes</v>
      </c>
      <c r="E393" s="1">
        <v>45912</v>
      </c>
      <c r="F393" s="1">
        <v>46262</v>
      </c>
      <c r="G393">
        <f t="shared" ca="1" si="45"/>
        <v>179</v>
      </c>
      <c r="H393" t="str">
        <f t="shared" ca="1" si="46"/>
        <v>Active</v>
      </c>
      <c r="I393">
        <f t="shared" ca="1" si="47"/>
        <v>0</v>
      </c>
      <c r="J393" t="str">
        <f t="shared" si="48"/>
        <v>Environmental</v>
      </c>
    </row>
    <row r="394" spans="1:10">
      <c r="A394" t="str" cm="1">
        <f t="array" ref="A394">INDEX(Vendor_Master!$A$2:$A$401, ROUNDUP((ROW()-1)/4, 0))</f>
        <v>VND-099</v>
      </c>
      <c r="B394" t="str">
        <f t="shared" si="42"/>
        <v>ISO 14001</v>
      </c>
      <c r="C394" t="str">
        <f t="shared" si="43"/>
        <v>Yes</v>
      </c>
      <c r="D394" t="str">
        <f t="shared" si="44"/>
        <v>Yes</v>
      </c>
      <c r="E394" s="1">
        <v>45552</v>
      </c>
      <c r="F394" s="1">
        <v>46627</v>
      </c>
      <c r="G394">
        <f t="shared" ca="1" si="45"/>
        <v>544</v>
      </c>
      <c r="H394" t="str">
        <f t="shared" ca="1" si="46"/>
        <v>Active</v>
      </c>
      <c r="I394">
        <f t="shared" ca="1" si="47"/>
        <v>0</v>
      </c>
      <c r="J394" t="str">
        <f t="shared" si="48"/>
        <v>Environmental</v>
      </c>
    </row>
    <row r="395" spans="1:10">
      <c r="A395" t="str" cm="1">
        <f t="array" ref="A395">INDEX(Vendor_Master!$A$2:$A$401, ROUNDUP((ROW()-1)/4, 0))</f>
        <v>VND-099</v>
      </c>
      <c r="B395" t="str">
        <f t="shared" si="42"/>
        <v>Safety Certificate</v>
      </c>
      <c r="C395" t="str">
        <f t="shared" si="43"/>
        <v>Yes</v>
      </c>
      <c r="D395" t="str">
        <f t="shared" si="44"/>
        <v>Yes</v>
      </c>
      <c r="E395" s="1">
        <v>45934</v>
      </c>
      <c r="F395" s="1">
        <v>46914</v>
      </c>
      <c r="G395">
        <f t="shared" ca="1" si="45"/>
        <v>831</v>
      </c>
      <c r="H395" t="str">
        <f t="shared" ca="1" si="46"/>
        <v>Active</v>
      </c>
      <c r="I395">
        <f t="shared" ca="1" si="47"/>
        <v>0</v>
      </c>
      <c r="J395" t="str">
        <f t="shared" si="48"/>
        <v>Safety</v>
      </c>
    </row>
    <row r="396" spans="1:10">
      <c r="A396" t="str" cm="1">
        <f t="array" ref="A396">INDEX(Vendor_Master!$A$2:$A$401, ROUNDUP((ROW()-1)/4, 0))</f>
        <v>VND-099</v>
      </c>
      <c r="B396" t="str">
        <f t="shared" si="42"/>
        <v>Environmental Policy</v>
      </c>
      <c r="C396" t="str">
        <f t="shared" si="43"/>
        <v>Yes</v>
      </c>
      <c r="D396" t="str">
        <f t="shared" si="44"/>
        <v>Yes</v>
      </c>
      <c r="E396" s="1">
        <v>45854</v>
      </c>
      <c r="F396" s="1">
        <v>46620</v>
      </c>
      <c r="G396">
        <f t="shared" ca="1" si="45"/>
        <v>537</v>
      </c>
      <c r="H396" t="str">
        <f t="shared" ca="1" si="46"/>
        <v>Active</v>
      </c>
      <c r="I396">
        <f t="shared" ca="1" si="47"/>
        <v>0</v>
      </c>
      <c r="J396" t="str">
        <f t="shared" si="48"/>
        <v>Environmental</v>
      </c>
    </row>
    <row r="397" spans="1:10">
      <c r="A397" t="str" cm="1">
        <f t="array" ref="A397">INDEX(Vendor_Master!$A$2:$A$401, ROUNDUP((ROW()-1)/4, 0))</f>
        <v>VND-099</v>
      </c>
      <c r="B397" t="str">
        <f t="shared" si="42"/>
        <v>Sustainability Disclosure</v>
      </c>
      <c r="C397" t="str">
        <f t="shared" si="43"/>
        <v>Yes</v>
      </c>
      <c r="D397" t="str">
        <f t="shared" si="44"/>
        <v>Yes</v>
      </c>
      <c r="E397" s="1">
        <v>45753</v>
      </c>
      <c r="F397" s="1">
        <v>46880</v>
      </c>
      <c r="G397">
        <f t="shared" ca="1" si="45"/>
        <v>797</v>
      </c>
      <c r="H397" t="str">
        <f t="shared" ca="1" si="46"/>
        <v>Active</v>
      </c>
      <c r="I397">
        <f t="shared" ca="1" si="47"/>
        <v>0</v>
      </c>
      <c r="J397" t="str">
        <f t="shared" si="48"/>
        <v>Environmental</v>
      </c>
    </row>
    <row r="398" spans="1:10">
      <c r="A398" t="str" cm="1">
        <f t="array" ref="A398">INDEX(Vendor_Master!$A$2:$A$401, ROUNDUP((ROW()-1)/4, 0))</f>
        <v>VND-100</v>
      </c>
      <c r="B398" t="str">
        <f t="shared" si="42"/>
        <v>ISO 14001</v>
      </c>
      <c r="C398" t="str">
        <f t="shared" si="43"/>
        <v>Yes</v>
      </c>
      <c r="D398" t="str">
        <f t="shared" si="44"/>
        <v>Yes</v>
      </c>
      <c r="E398" s="1">
        <v>45771</v>
      </c>
      <c r="F398" s="1">
        <v>46574</v>
      </c>
      <c r="G398">
        <f t="shared" ca="1" si="45"/>
        <v>491</v>
      </c>
      <c r="H398" t="str">
        <f t="shared" ca="1" si="46"/>
        <v>Active</v>
      </c>
      <c r="I398">
        <f t="shared" ca="1" si="47"/>
        <v>0</v>
      </c>
      <c r="J398" t="str">
        <f t="shared" si="48"/>
        <v>Environmental</v>
      </c>
    </row>
    <row r="399" spans="1:10">
      <c r="A399" t="str" cm="1">
        <f t="array" ref="A399">INDEX(Vendor_Master!$A$2:$A$401, ROUNDUP((ROW()-1)/4, 0))</f>
        <v>VND-100</v>
      </c>
      <c r="B399" t="str">
        <f t="shared" si="42"/>
        <v>Safety Certificate</v>
      </c>
      <c r="C399" t="str">
        <f t="shared" si="43"/>
        <v>Yes</v>
      </c>
      <c r="D399" t="str">
        <f t="shared" si="44"/>
        <v>Yes</v>
      </c>
      <c r="E399" s="1">
        <v>45383</v>
      </c>
      <c r="F399" s="1">
        <v>46713</v>
      </c>
      <c r="G399">
        <f t="shared" ca="1" si="45"/>
        <v>630</v>
      </c>
      <c r="H399" t="str">
        <f t="shared" ca="1" si="46"/>
        <v>Active</v>
      </c>
      <c r="I399">
        <f t="shared" ca="1" si="47"/>
        <v>0</v>
      </c>
      <c r="J399" t="str">
        <f t="shared" si="48"/>
        <v>Safety</v>
      </c>
    </row>
    <row r="400" spans="1:10">
      <c r="A400" t="str" cm="1">
        <f t="array" ref="A400">INDEX(Vendor_Master!$A$2:$A$401, ROUNDUP((ROW()-1)/4, 0))</f>
        <v>VND-100</v>
      </c>
      <c r="B400" t="str">
        <f t="shared" si="42"/>
        <v>Environmental Policy</v>
      </c>
      <c r="C400" t="str">
        <f t="shared" si="43"/>
        <v>Yes</v>
      </c>
      <c r="D400" t="str">
        <f t="shared" si="44"/>
        <v>Yes</v>
      </c>
      <c r="E400" s="1">
        <v>45462</v>
      </c>
      <c r="F400" s="1">
        <v>46797</v>
      </c>
      <c r="G400">
        <f t="shared" ca="1" si="45"/>
        <v>714</v>
      </c>
      <c r="H400" t="str">
        <f t="shared" ca="1" si="46"/>
        <v>Active</v>
      </c>
      <c r="I400">
        <f t="shared" ca="1" si="47"/>
        <v>0</v>
      </c>
      <c r="J400" t="str">
        <f t="shared" si="48"/>
        <v>Environmental</v>
      </c>
    </row>
    <row r="401" spans="1:10">
      <c r="A401" t="str" cm="1">
        <f t="array" ref="A401">INDEX(Vendor_Master!$A$2:$A$401, ROUNDUP((ROW()-1)/4, 0))</f>
        <v>VND-100</v>
      </c>
      <c r="B401" t="str">
        <f t="shared" si="42"/>
        <v>Sustainability Disclosure</v>
      </c>
      <c r="C401" t="str">
        <f t="shared" si="43"/>
        <v>Yes</v>
      </c>
      <c r="D401" t="str">
        <f t="shared" si="44"/>
        <v>Yes</v>
      </c>
      <c r="E401" s="1">
        <v>45996</v>
      </c>
      <c r="F401" s="1">
        <v>46265</v>
      </c>
      <c r="G401">
        <f t="shared" ca="1" si="45"/>
        <v>182</v>
      </c>
      <c r="H401" t="str">
        <f t="shared" ca="1" si="46"/>
        <v>Active</v>
      </c>
      <c r="I401">
        <f t="shared" ca="1" si="47"/>
        <v>0</v>
      </c>
      <c r="J401" t="str">
        <f t="shared" si="48"/>
        <v>Environmental</v>
      </c>
    </row>
    <row r="402" spans="1:10">
      <c r="A402" t="str" cm="1">
        <f t="array" ref="A402">INDEX(Vendor_Master!$A$2:$A$401, ROUNDUP((ROW()-1)/4, 0))</f>
        <v>VND-101</v>
      </c>
      <c r="B402" t="str">
        <f t="shared" si="42"/>
        <v>ISO 14001</v>
      </c>
      <c r="C402" t="str">
        <f t="shared" si="43"/>
        <v>Yes</v>
      </c>
      <c r="D402" t="str">
        <f t="shared" si="44"/>
        <v>Yes</v>
      </c>
      <c r="E402" s="1">
        <v>45504</v>
      </c>
      <c r="F402" s="1">
        <v>46834</v>
      </c>
      <c r="G402">
        <f t="shared" ca="1" si="45"/>
        <v>751</v>
      </c>
      <c r="H402" t="str">
        <f t="shared" ca="1" si="46"/>
        <v>Active</v>
      </c>
      <c r="I402">
        <f t="shared" ca="1" si="47"/>
        <v>0</v>
      </c>
      <c r="J402" t="str">
        <f t="shared" si="48"/>
        <v>Environmental</v>
      </c>
    </row>
    <row r="403" spans="1:10">
      <c r="A403" t="str" cm="1">
        <f t="array" ref="A403">INDEX(Vendor_Master!$A$2:$A$401, ROUNDUP((ROW()-1)/4, 0))</f>
        <v>VND-101</v>
      </c>
      <c r="B403" t="str">
        <f t="shared" si="42"/>
        <v>Safety Certificate</v>
      </c>
      <c r="C403" t="str">
        <f t="shared" si="43"/>
        <v>Yes</v>
      </c>
      <c r="D403" t="str">
        <f t="shared" si="44"/>
        <v>Yes</v>
      </c>
      <c r="E403" s="1">
        <v>45421</v>
      </c>
      <c r="F403" s="1">
        <v>46716</v>
      </c>
      <c r="G403">
        <f t="shared" ca="1" si="45"/>
        <v>633</v>
      </c>
      <c r="H403" t="str">
        <f t="shared" ca="1" si="46"/>
        <v>Active</v>
      </c>
      <c r="I403">
        <f t="shared" ca="1" si="47"/>
        <v>0</v>
      </c>
      <c r="J403" t="str">
        <f t="shared" si="48"/>
        <v>Safety</v>
      </c>
    </row>
    <row r="404" spans="1:10">
      <c r="A404" t="str" cm="1">
        <f t="array" ref="A404">INDEX(Vendor_Master!$A$2:$A$401, ROUNDUP((ROW()-1)/4, 0))</f>
        <v>VND-101</v>
      </c>
      <c r="B404" t="str">
        <f t="shared" si="42"/>
        <v>Environmental Policy</v>
      </c>
      <c r="C404" t="str">
        <f t="shared" si="43"/>
        <v>Yes</v>
      </c>
      <c r="D404" t="str">
        <f t="shared" si="44"/>
        <v>Yes</v>
      </c>
      <c r="E404" s="1">
        <v>45623</v>
      </c>
      <c r="F404" s="1">
        <v>46881</v>
      </c>
      <c r="G404">
        <f t="shared" ca="1" si="45"/>
        <v>798</v>
      </c>
      <c r="H404" t="str">
        <f t="shared" ca="1" si="46"/>
        <v>Active</v>
      </c>
      <c r="I404">
        <f t="shared" ca="1" si="47"/>
        <v>0</v>
      </c>
      <c r="J404" t="str">
        <f t="shared" si="48"/>
        <v>Environmental</v>
      </c>
    </row>
    <row r="405" spans="1:10">
      <c r="A405" t="str" cm="1">
        <f t="array" ref="A405">INDEX(Vendor_Master!$A$2:$A$401, ROUNDUP((ROW()-1)/4, 0))</f>
        <v>VND-101</v>
      </c>
      <c r="B405" t="str">
        <f t="shared" si="42"/>
        <v>Sustainability Disclosure</v>
      </c>
      <c r="C405" t="str">
        <f t="shared" si="43"/>
        <v>Yes</v>
      </c>
      <c r="D405" t="str">
        <f t="shared" si="44"/>
        <v>Yes</v>
      </c>
      <c r="E405" s="1">
        <v>45418</v>
      </c>
      <c r="F405" s="1">
        <v>46284</v>
      </c>
      <c r="G405">
        <f t="shared" ca="1" si="45"/>
        <v>201</v>
      </c>
      <c r="H405" t="str">
        <f t="shared" ca="1" si="46"/>
        <v>Active</v>
      </c>
      <c r="I405">
        <f t="shared" ca="1" si="47"/>
        <v>0</v>
      </c>
      <c r="J405" t="str">
        <f t="shared" si="48"/>
        <v>Environmental</v>
      </c>
    </row>
    <row r="406" spans="1:10">
      <c r="A406" t="str" cm="1">
        <f t="array" ref="A406">INDEX(Vendor_Master!$A$2:$A$401, ROUNDUP((ROW()-1)/4, 0))</f>
        <v>VND-102</v>
      </c>
      <c r="B406" t="str">
        <f t="shared" si="42"/>
        <v>ISO 14001</v>
      </c>
      <c r="C406" t="str">
        <f t="shared" si="43"/>
        <v>Yes</v>
      </c>
      <c r="D406" t="str">
        <f t="shared" si="44"/>
        <v>Yes</v>
      </c>
      <c r="E406" s="1">
        <v>45896</v>
      </c>
      <c r="F406" s="1">
        <v>46239</v>
      </c>
      <c r="G406">
        <f t="shared" ca="1" si="45"/>
        <v>156</v>
      </c>
      <c r="H406" t="str">
        <f t="shared" ca="1" si="46"/>
        <v>Active</v>
      </c>
      <c r="I406">
        <f t="shared" ca="1" si="47"/>
        <v>0</v>
      </c>
      <c r="J406" t="str">
        <f t="shared" si="48"/>
        <v>Environmental</v>
      </c>
    </row>
    <row r="407" spans="1:10">
      <c r="A407" t="str" cm="1">
        <f t="array" ref="A407">INDEX(Vendor_Master!$A$2:$A$401, ROUNDUP((ROW()-1)/4, 0))</f>
        <v>VND-102</v>
      </c>
      <c r="B407" t="str">
        <f t="shared" si="42"/>
        <v>Safety Certificate</v>
      </c>
      <c r="C407" t="str">
        <f t="shared" si="43"/>
        <v>Yes</v>
      </c>
      <c r="D407" t="str">
        <f t="shared" si="44"/>
        <v>Yes</v>
      </c>
      <c r="E407" s="1">
        <v>45692</v>
      </c>
      <c r="F407" s="1">
        <v>46376</v>
      </c>
      <c r="G407">
        <f t="shared" ca="1" si="45"/>
        <v>293</v>
      </c>
      <c r="H407" t="str">
        <f t="shared" ca="1" si="46"/>
        <v>Active</v>
      </c>
      <c r="I407">
        <f t="shared" ca="1" si="47"/>
        <v>0</v>
      </c>
      <c r="J407" t="str">
        <f t="shared" si="48"/>
        <v>Safety</v>
      </c>
    </row>
    <row r="408" spans="1:10">
      <c r="A408" t="str" cm="1">
        <f t="array" ref="A408">INDEX(Vendor_Master!$A$2:$A$401, ROUNDUP((ROW()-1)/4, 0))</f>
        <v>VND-102</v>
      </c>
      <c r="B408" t="str">
        <f t="shared" si="42"/>
        <v>Environmental Policy</v>
      </c>
      <c r="C408" t="str">
        <f t="shared" si="43"/>
        <v>Yes</v>
      </c>
      <c r="D408" t="str">
        <f t="shared" si="44"/>
        <v>Yes</v>
      </c>
      <c r="E408" s="1">
        <v>46002</v>
      </c>
      <c r="F408" s="1">
        <v>46420</v>
      </c>
      <c r="G408">
        <f t="shared" ca="1" si="45"/>
        <v>337</v>
      </c>
      <c r="H408" t="str">
        <f t="shared" ca="1" si="46"/>
        <v>Active</v>
      </c>
      <c r="I408">
        <f t="shared" ca="1" si="47"/>
        <v>0</v>
      </c>
      <c r="J408" t="str">
        <f t="shared" si="48"/>
        <v>Environmental</v>
      </c>
    </row>
    <row r="409" spans="1:10">
      <c r="A409" t="str" cm="1">
        <f t="array" ref="A409">INDEX(Vendor_Master!$A$2:$A$401, ROUNDUP((ROW()-1)/4, 0))</f>
        <v>VND-102</v>
      </c>
      <c r="B409" t="str">
        <f t="shared" si="42"/>
        <v>Sustainability Disclosure</v>
      </c>
      <c r="C409" t="str">
        <f t="shared" si="43"/>
        <v>Yes</v>
      </c>
      <c r="D409" t="str">
        <f t="shared" si="44"/>
        <v>Yes</v>
      </c>
      <c r="E409" s="1">
        <v>45601</v>
      </c>
      <c r="F409" s="1">
        <v>46909</v>
      </c>
      <c r="G409">
        <f t="shared" ca="1" si="45"/>
        <v>826</v>
      </c>
      <c r="H409" t="str">
        <f t="shared" ca="1" si="46"/>
        <v>Active</v>
      </c>
      <c r="I409">
        <f t="shared" ca="1" si="47"/>
        <v>0</v>
      </c>
      <c r="J409" t="str">
        <f t="shared" si="48"/>
        <v>Environmental</v>
      </c>
    </row>
    <row r="410" spans="1:10">
      <c r="A410" t="str" cm="1">
        <f t="array" ref="A410">INDEX(Vendor_Master!$A$2:$A$401, ROUNDUP((ROW()-1)/4, 0))</f>
        <v>VND-103</v>
      </c>
      <c r="B410" t="str">
        <f t="shared" si="42"/>
        <v>ISO 14001</v>
      </c>
      <c r="C410" t="str">
        <f t="shared" si="43"/>
        <v>Yes</v>
      </c>
      <c r="D410" t="str">
        <f t="shared" si="44"/>
        <v>Yes</v>
      </c>
      <c r="E410" s="1">
        <v>45542</v>
      </c>
      <c r="F410" s="1">
        <v>46304</v>
      </c>
      <c r="G410">
        <f t="shared" ca="1" si="45"/>
        <v>221</v>
      </c>
      <c r="H410" t="str">
        <f t="shared" ca="1" si="46"/>
        <v>Active</v>
      </c>
      <c r="I410">
        <f t="shared" ca="1" si="47"/>
        <v>0</v>
      </c>
      <c r="J410" t="str">
        <f t="shared" si="48"/>
        <v>Environmental</v>
      </c>
    </row>
    <row r="411" spans="1:10">
      <c r="A411" t="str" cm="1">
        <f t="array" ref="A411">INDEX(Vendor_Master!$A$2:$A$401, ROUNDUP((ROW()-1)/4, 0))</f>
        <v>VND-103</v>
      </c>
      <c r="B411" t="str">
        <f t="shared" si="42"/>
        <v>Safety Certificate</v>
      </c>
      <c r="C411" t="str">
        <f t="shared" si="43"/>
        <v>Yes</v>
      </c>
      <c r="D411" t="str">
        <f t="shared" si="44"/>
        <v>Yes</v>
      </c>
      <c r="E411" s="1">
        <v>45691</v>
      </c>
      <c r="F411" s="1">
        <v>46320</v>
      </c>
      <c r="G411">
        <f t="shared" ca="1" si="45"/>
        <v>237</v>
      </c>
      <c r="H411" t="str">
        <f t="shared" ca="1" si="46"/>
        <v>Active</v>
      </c>
      <c r="I411">
        <f t="shared" ca="1" si="47"/>
        <v>0</v>
      </c>
      <c r="J411" t="str">
        <f t="shared" si="48"/>
        <v>Safety</v>
      </c>
    </row>
    <row r="412" spans="1:10">
      <c r="A412" t="str" cm="1">
        <f t="array" ref="A412">INDEX(Vendor_Master!$A$2:$A$401, ROUNDUP((ROW()-1)/4, 0))</f>
        <v>VND-103</v>
      </c>
      <c r="B412" t="str">
        <f t="shared" si="42"/>
        <v>Environmental Policy</v>
      </c>
      <c r="C412" t="str">
        <f t="shared" si="43"/>
        <v>Yes</v>
      </c>
      <c r="D412" t="str">
        <f t="shared" si="44"/>
        <v>Yes</v>
      </c>
      <c r="E412" s="1">
        <v>45729</v>
      </c>
      <c r="F412" s="1">
        <v>46491</v>
      </c>
      <c r="G412">
        <f t="shared" ca="1" si="45"/>
        <v>408</v>
      </c>
      <c r="H412" t="str">
        <f t="shared" ca="1" si="46"/>
        <v>Active</v>
      </c>
      <c r="I412">
        <f t="shared" ca="1" si="47"/>
        <v>0</v>
      </c>
      <c r="J412" t="str">
        <f t="shared" si="48"/>
        <v>Environmental</v>
      </c>
    </row>
    <row r="413" spans="1:10">
      <c r="A413" t="str" cm="1">
        <f t="array" ref="A413">INDEX(Vendor_Master!$A$2:$A$401, ROUNDUP((ROW()-1)/4, 0))</f>
        <v>VND-103</v>
      </c>
      <c r="B413" t="str">
        <f t="shared" si="42"/>
        <v>Sustainability Disclosure</v>
      </c>
      <c r="C413" t="str">
        <f t="shared" si="43"/>
        <v>Yes</v>
      </c>
      <c r="D413" t="str">
        <f t="shared" si="44"/>
        <v>Yes</v>
      </c>
      <c r="E413" s="1">
        <v>45488</v>
      </c>
      <c r="F413" s="1">
        <v>46412</v>
      </c>
      <c r="G413">
        <f t="shared" ca="1" si="45"/>
        <v>329</v>
      </c>
      <c r="H413" t="str">
        <f t="shared" ca="1" si="46"/>
        <v>Active</v>
      </c>
      <c r="I413">
        <f t="shared" ca="1" si="47"/>
        <v>0</v>
      </c>
      <c r="J413" t="str">
        <f t="shared" si="48"/>
        <v>Environmental</v>
      </c>
    </row>
    <row r="414" spans="1:10">
      <c r="A414" t="str" cm="1">
        <f t="array" ref="A414">INDEX(Vendor_Master!$A$2:$A$401, ROUNDUP((ROW()-1)/4, 0))</f>
        <v>VND-104</v>
      </c>
      <c r="B414" t="str">
        <f t="shared" si="42"/>
        <v>ISO 14001</v>
      </c>
      <c r="C414" t="str">
        <f t="shared" si="43"/>
        <v>Yes</v>
      </c>
      <c r="D414" t="str">
        <f t="shared" si="44"/>
        <v>Yes</v>
      </c>
      <c r="E414" s="1">
        <v>45742</v>
      </c>
      <c r="F414" s="1">
        <v>46302</v>
      </c>
      <c r="G414">
        <f t="shared" ca="1" si="45"/>
        <v>219</v>
      </c>
      <c r="H414" t="str">
        <f t="shared" ca="1" si="46"/>
        <v>Active</v>
      </c>
      <c r="I414">
        <f t="shared" ca="1" si="47"/>
        <v>0</v>
      </c>
      <c r="J414" t="str">
        <f t="shared" si="48"/>
        <v>Environmental</v>
      </c>
    </row>
    <row r="415" spans="1:10">
      <c r="A415" t="str" cm="1">
        <f t="array" ref="A415">INDEX(Vendor_Master!$A$2:$A$401, ROUNDUP((ROW()-1)/4, 0))</f>
        <v>VND-104</v>
      </c>
      <c r="B415" t="str">
        <f t="shared" si="42"/>
        <v>Safety Certificate</v>
      </c>
      <c r="C415" t="str">
        <f t="shared" si="43"/>
        <v>Yes</v>
      </c>
      <c r="D415" t="str">
        <f t="shared" si="44"/>
        <v>Yes</v>
      </c>
      <c r="E415" s="1">
        <v>45442</v>
      </c>
      <c r="F415" s="1">
        <v>46221</v>
      </c>
      <c r="G415">
        <f t="shared" ca="1" si="45"/>
        <v>138</v>
      </c>
      <c r="H415" t="str">
        <f t="shared" ca="1" si="46"/>
        <v>Active</v>
      </c>
      <c r="I415">
        <f t="shared" ca="1" si="47"/>
        <v>0</v>
      </c>
      <c r="J415" t="str">
        <f t="shared" si="48"/>
        <v>Safety</v>
      </c>
    </row>
    <row r="416" spans="1:10">
      <c r="A416" t="str" cm="1">
        <f t="array" ref="A416">INDEX(Vendor_Master!$A$2:$A$401, ROUNDUP((ROW()-1)/4, 0))</f>
        <v>VND-104</v>
      </c>
      <c r="B416" t="str">
        <f t="shared" si="42"/>
        <v>Environmental Policy</v>
      </c>
      <c r="C416" t="str">
        <f t="shared" si="43"/>
        <v>Yes</v>
      </c>
      <c r="D416" t="str">
        <f t="shared" si="44"/>
        <v>Yes</v>
      </c>
      <c r="E416" s="1">
        <v>45936</v>
      </c>
      <c r="F416" s="1">
        <v>46600</v>
      </c>
      <c r="G416">
        <f t="shared" ca="1" si="45"/>
        <v>517</v>
      </c>
      <c r="H416" t="str">
        <f t="shared" ca="1" si="46"/>
        <v>Active</v>
      </c>
      <c r="I416">
        <f t="shared" ca="1" si="47"/>
        <v>0</v>
      </c>
      <c r="J416" t="str">
        <f t="shared" si="48"/>
        <v>Environmental</v>
      </c>
    </row>
    <row r="417" spans="1:10">
      <c r="A417" t="str" cm="1">
        <f t="array" ref="A417">INDEX(Vendor_Master!$A$2:$A$401, ROUNDUP((ROW()-1)/4, 0))</f>
        <v>VND-104</v>
      </c>
      <c r="B417" t="str">
        <f t="shared" si="42"/>
        <v>Sustainability Disclosure</v>
      </c>
      <c r="C417" t="str">
        <f t="shared" si="43"/>
        <v>Yes</v>
      </c>
      <c r="D417" t="str">
        <f t="shared" si="44"/>
        <v>Yes</v>
      </c>
      <c r="E417" s="1">
        <v>45555</v>
      </c>
      <c r="F417" s="1">
        <v>46569</v>
      </c>
      <c r="G417">
        <f t="shared" ca="1" si="45"/>
        <v>486</v>
      </c>
      <c r="H417" t="str">
        <f t="shared" ca="1" si="46"/>
        <v>Active</v>
      </c>
      <c r="I417">
        <f t="shared" ca="1" si="47"/>
        <v>0</v>
      </c>
      <c r="J417" t="str">
        <f t="shared" si="48"/>
        <v>Environmental</v>
      </c>
    </row>
    <row r="418" spans="1:10">
      <c r="A418" t="str" cm="1">
        <f t="array" ref="A418">INDEX(Vendor_Master!$A$2:$A$401, ROUNDUP((ROW()-1)/4, 0))</f>
        <v>VND-105</v>
      </c>
      <c r="B418" t="str">
        <f t="shared" si="42"/>
        <v>ISO 14001</v>
      </c>
      <c r="C418" t="str">
        <f t="shared" si="43"/>
        <v>Yes</v>
      </c>
      <c r="D418" t="str">
        <f t="shared" si="44"/>
        <v>Yes</v>
      </c>
      <c r="E418" s="1">
        <v>45602</v>
      </c>
      <c r="F418" s="1">
        <v>46487</v>
      </c>
      <c r="G418">
        <f t="shared" ca="1" si="45"/>
        <v>404</v>
      </c>
      <c r="H418" t="str">
        <f t="shared" ca="1" si="46"/>
        <v>Active</v>
      </c>
      <c r="I418">
        <f t="shared" ca="1" si="47"/>
        <v>0</v>
      </c>
      <c r="J418" t="str">
        <f t="shared" si="48"/>
        <v>Environmental</v>
      </c>
    </row>
    <row r="419" spans="1:10">
      <c r="A419" t="str" cm="1">
        <f t="array" ref="A419">INDEX(Vendor_Master!$A$2:$A$401, ROUNDUP((ROW()-1)/4, 0))</f>
        <v>VND-105</v>
      </c>
      <c r="B419" t="str">
        <f t="shared" si="42"/>
        <v>Safety Certificate</v>
      </c>
      <c r="C419" t="str">
        <f t="shared" si="43"/>
        <v>Yes</v>
      </c>
      <c r="D419" t="str">
        <f t="shared" si="44"/>
        <v>Yes</v>
      </c>
      <c r="E419" s="1">
        <v>46063</v>
      </c>
      <c r="F419" s="1">
        <v>46226</v>
      </c>
      <c r="G419">
        <f t="shared" ca="1" si="45"/>
        <v>143</v>
      </c>
      <c r="H419" t="str">
        <f t="shared" ca="1" si="46"/>
        <v>Active</v>
      </c>
      <c r="I419">
        <f t="shared" ca="1" si="47"/>
        <v>0</v>
      </c>
      <c r="J419" t="str">
        <f t="shared" si="48"/>
        <v>Safety</v>
      </c>
    </row>
    <row r="420" spans="1:10">
      <c r="A420" t="str" cm="1">
        <f t="array" ref="A420">INDEX(Vendor_Master!$A$2:$A$401, ROUNDUP((ROW()-1)/4, 0))</f>
        <v>VND-105</v>
      </c>
      <c r="B420" t="str">
        <f t="shared" si="42"/>
        <v>Environmental Policy</v>
      </c>
      <c r="C420" t="str">
        <f t="shared" si="43"/>
        <v>Yes</v>
      </c>
      <c r="D420" t="str">
        <f t="shared" si="44"/>
        <v>Yes</v>
      </c>
      <c r="E420" s="1">
        <v>45815</v>
      </c>
      <c r="F420" s="1">
        <v>46684</v>
      </c>
      <c r="G420">
        <f t="shared" ca="1" si="45"/>
        <v>601</v>
      </c>
      <c r="H420" t="str">
        <f t="shared" ca="1" si="46"/>
        <v>Active</v>
      </c>
      <c r="I420">
        <f t="shared" ca="1" si="47"/>
        <v>0</v>
      </c>
      <c r="J420" t="str">
        <f t="shared" si="48"/>
        <v>Environmental</v>
      </c>
    </row>
    <row r="421" spans="1:10">
      <c r="A421" t="str" cm="1">
        <f t="array" ref="A421">INDEX(Vendor_Master!$A$2:$A$401, ROUNDUP((ROW()-1)/4, 0))</f>
        <v>VND-105</v>
      </c>
      <c r="B421" t="str">
        <f t="shared" si="42"/>
        <v>Sustainability Disclosure</v>
      </c>
      <c r="C421" t="str">
        <f t="shared" si="43"/>
        <v>Yes</v>
      </c>
      <c r="D421" t="str">
        <f t="shared" si="44"/>
        <v>Yes</v>
      </c>
      <c r="E421" s="1">
        <v>45958</v>
      </c>
      <c r="F421" s="1">
        <v>46362</v>
      </c>
      <c r="G421">
        <f t="shared" ca="1" si="45"/>
        <v>279</v>
      </c>
      <c r="H421" t="str">
        <f t="shared" ca="1" si="46"/>
        <v>Active</v>
      </c>
      <c r="I421">
        <f t="shared" ca="1" si="47"/>
        <v>0</v>
      </c>
      <c r="J421" t="str">
        <f t="shared" si="48"/>
        <v>Environmental</v>
      </c>
    </row>
    <row r="422" spans="1:10">
      <c r="A422" t="str" cm="1">
        <f t="array" ref="A422">INDEX(Vendor_Master!$A$2:$A$401, ROUNDUP((ROW()-1)/4, 0))</f>
        <v>VND-106</v>
      </c>
      <c r="B422" t="str">
        <f t="shared" si="42"/>
        <v>ISO 14001</v>
      </c>
      <c r="C422" t="str">
        <f t="shared" si="43"/>
        <v>Yes</v>
      </c>
      <c r="D422" t="str">
        <f t="shared" si="44"/>
        <v>Yes</v>
      </c>
      <c r="E422" s="1">
        <v>45872</v>
      </c>
      <c r="F422" s="1">
        <v>46451</v>
      </c>
      <c r="G422">
        <f t="shared" ca="1" si="45"/>
        <v>368</v>
      </c>
      <c r="H422" t="str">
        <f t="shared" ca="1" si="46"/>
        <v>Active</v>
      </c>
      <c r="I422">
        <f t="shared" ca="1" si="47"/>
        <v>0</v>
      </c>
      <c r="J422" t="str">
        <f t="shared" si="48"/>
        <v>Environmental</v>
      </c>
    </row>
    <row r="423" spans="1:10">
      <c r="A423" t="str" cm="1">
        <f t="array" ref="A423">INDEX(Vendor_Master!$A$2:$A$401, ROUNDUP((ROW()-1)/4, 0))</f>
        <v>VND-106</v>
      </c>
      <c r="B423" t="str">
        <f t="shared" si="42"/>
        <v>Safety Certificate</v>
      </c>
      <c r="C423" t="str">
        <f t="shared" si="43"/>
        <v>Yes</v>
      </c>
      <c r="D423" t="str">
        <f t="shared" si="44"/>
        <v>Yes</v>
      </c>
      <c r="E423" s="1">
        <v>45494</v>
      </c>
      <c r="F423" s="1">
        <v>46515</v>
      </c>
      <c r="G423">
        <f t="shared" ca="1" si="45"/>
        <v>432</v>
      </c>
      <c r="H423" t="str">
        <f t="shared" ca="1" si="46"/>
        <v>Active</v>
      </c>
      <c r="I423">
        <f t="shared" ca="1" si="47"/>
        <v>0</v>
      </c>
      <c r="J423" t="str">
        <f t="shared" si="48"/>
        <v>Safety</v>
      </c>
    </row>
    <row r="424" spans="1:10">
      <c r="A424" t="str" cm="1">
        <f t="array" ref="A424">INDEX(Vendor_Master!$A$2:$A$401, ROUNDUP((ROW()-1)/4, 0))</f>
        <v>VND-106</v>
      </c>
      <c r="B424" t="str">
        <f t="shared" si="42"/>
        <v>Environmental Policy</v>
      </c>
      <c r="C424" t="str">
        <f t="shared" si="43"/>
        <v>Yes</v>
      </c>
      <c r="D424" t="str">
        <f t="shared" si="44"/>
        <v>Yes</v>
      </c>
      <c r="E424" s="1">
        <v>45791</v>
      </c>
      <c r="F424" s="1">
        <v>46901</v>
      </c>
      <c r="G424">
        <f t="shared" ca="1" si="45"/>
        <v>818</v>
      </c>
      <c r="H424" t="str">
        <f t="shared" ca="1" si="46"/>
        <v>Active</v>
      </c>
      <c r="I424">
        <f t="shared" ca="1" si="47"/>
        <v>0</v>
      </c>
      <c r="J424" t="str">
        <f t="shared" si="48"/>
        <v>Environmental</v>
      </c>
    </row>
    <row r="425" spans="1:10">
      <c r="A425" t="str" cm="1">
        <f t="array" ref="A425">INDEX(Vendor_Master!$A$2:$A$401, ROUNDUP((ROW()-1)/4, 0))</f>
        <v>VND-106</v>
      </c>
      <c r="B425" t="str">
        <f t="shared" si="42"/>
        <v>Sustainability Disclosure</v>
      </c>
      <c r="C425" t="str">
        <f t="shared" si="43"/>
        <v>Yes</v>
      </c>
      <c r="D425" t="str">
        <f t="shared" si="44"/>
        <v>Yes</v>
      </c>
      <c r="E425" s="1">
        <v>45982</v>
      </c>
      <c r="F425" s="1">
        <v>46852</v>
      </c>
      <c r="G425">
        <f t="shared" ca="1" si="45"/>
        <v>769</v>
      </c>
      <c r="H425" t="str">
        <f t="shared" ca="1" si="46"/>
        <v>Active</v>
      </c>
      <c r="I425">
        <f t="shared" ca="1" si="47"/>
        <v>0</v>
      </c>
      <c r="J425" t="str">
        <f t="shared" si="48"/>
        <v>Environmental</v>
      </c>
    </row>
    <row r="426" spans="1:10">
      <c r="A426" t="str" cm="1">
        <f t="array" ref="A426">INDEX(Vendor_Master!$A$2:$A$401, ROUNDUP((ROW()-1)/4, 0))</f>
        <v>VND-107</v>
      </c>
      <c r="B426" t="str">
        <f t="shared" si="42"/>
        <v>ISO 14001</v>
      </c>
      <c r="C426" t="str">
        <f t="shared" si="43"/>
        <v>Yes</v>
      </c>
      <c r="D426" t="str">
        <f t="shared" si="44"/>
        <v>Yes</v>
      </c>
      <c r="E426" s="1">
        <v>45738</v>
      </c>
      <c r="F426" s="1">
        <v>46362</v>
      </c>
      <c r="G426">
        <f t="shared" ca="1" si="45"/>
        <v>279</v>
      </c>
      <c r="H426" t="str">
        <f t="shared" ca="1" si="46"/>
        <v>Active</v>
      </c>
      <c r="I426">
        <f t="shared" ca="1" si="47"/>
        <v>0</v>
      </c>
      <c r="J426" t="str">
        <f t="shared" si="48"/>
        <v>Environmental</v>
      </c>
    </row>
    <row r="427" spans="1:10">
      <c r="A427" t="str" cm="1">
        <f t="array" ref="A427">INDEX(Vendor_Master!$A$2:$A$401, ROUNDUP((ROW()-1)/4, 0))</f>
        <v>VND-107</v>
      </c>
      <c r="B427" t="str">
        <f t="shared" si="42"/>
        <v>Safety Certificate</v>
      </c>
      <c r="C427" t="str">
        <f t="shared" si="43"/>
        <v>Yes</v>
      </c>
      <c r="D427" t="str">
        <f t="shared" si="44"/>
        <v>Yes</v>
      </c>
      <c r="E427" s="1">
        <v>45948</v>
      </c>
      <c r="F427" s="1">
        <v>46376</v>
      </c>
      <c r="G427">
        <f t="shared" ca="1" si="45"/>
        <v>293</v>
      </c>
      <c r="H427" t="str">
        <f t="shared" ca="1" si="46"/>
        <v>Active</v>
      </c>
      <c r="I427">
        <f t="shared" ca="1" si="47"/>
        <v>0</v>
      </c>
      <c r="J427" t="str">
        <f t="shared" si="48"/>
        <v>Safety</v>
      </c>
    </row>
    <row r="428" spans="1:10">
      <c r="A428" t="str" cm="1">
        <f t="array" ref="A428">INDEX(Vendor_Master!$A$2:$A$401, ROUNDUP((ROW()-1)/4, 0))</f>
        <v>VND-107</v>
      </c>
      <c r="B428" t="str">
        <f t="shared" si="42"/>
        <v>Environmental Policy</v>
      </c>
      <c r="C428" t="str">
        <f t="shared" si="43"/>
        <v>Yes</v>
      </c>
      <c r="D428" t="str">
        <f t="shared" si="44"/>
        <v>Yes</v>
      </c>
      <c r="E428" s="1">
        <v>45927</v>
      </c>
      <c r="F428" s="1">
        <v>46270</v>
      </c>
      <c r="G428">
        <f t="shared" ca="1" si="45"/>
        <v>187</v>
      </c>
      <c r="H428" t="str">
        <f t="shared" ca="1" si="46"/>
        <v>Active</v>
      </c>
      <c r="I428">
        <f t="shared" ca="1" si="47"/>
        <v>0</v>
      </c>
      <c r="J428" t="str">
        <f t="shared" si="48"/>
        <v>Environmental</v>
      </c>
    </row>
    <row r="429" spans="1:10">
      <c r="A429" t="str" cm="1">
        <f t="array" ref="A429">INDEX(Vendor_Master!$A$2:$A$401, ROUNDUP((ROW()-1)/4, 0))</f>
        <v>VND-107</v>
      </c>
      <c r="B429" t="str">
        <f t="shared" si="42"/>
        <v>Sustainability Disclosure</v>
      </c>
      <c r="C429" t="str">
        <f t="shared" si="43"/>
        <v>Yes</v>
      </c>
      <c r="D429" t="str">
        <f t="shared" si="44"/>
        <v>Yes</v>
      </c>
      <c r="E429" s="1">
        <v>45495</v>
      </c>
      <c r="F429" s="1">
        <v>46572</v>
      </c>
      <c r="G429">
        <f t="shared" ca="1" si="45"/>
        <v>489</v>
      </c>
      <c r="H429" t="str">
        <f t="shared" ca="1" si="46"/>
        <v>Active</v>
      </c>
      <c r="I429">
        <f t="shared" ca="1" si="47"/>
        <v>0</v>
      </c>
      <c r="J429" t="str">
        <f t="shared" si="48"/>
        <v>Environmental</v>
      </c>
    </row>
    <row r="430" spans="1:10">
      <c r="A430" t="str" cm="1">
        <f t="array" ref="A430">INDEX(Vendor_Master!$A$2:$A$401, ROUNDUP((ROW()-1)/4, 0))</f>
        <v>VND-108</v>
      </c>
      <c r="B430" t="str">
        <f t="shared" si="42"/>
        <v>ISO 14001</v>
      </c>
      <c r="C430" t="str">
        <f t="shared" si="43"/>
        <v>Yes</v>
      </c>
      <c r="D430" t="str">
        <f t="shared" si="44"/>
        <v>Yes</v>
      </c>
      <c r="E430" s="1">
        <v>45409</v>
      </c>
      <c r="F430" s="1">
        <v>46774</v>
      </c>
      <c r="G430">
        <f t="shared" ca="1" si="45"/>
        <v>691</v>
      </c>
      <c r="H430" t="str">
        <f t="shared" ca="1" si="46"/>
        <v>Active</v>
      </c>
      <c r="I430">
        <f t="shared" ca="1" si="47"/>
        <v>0</v>
      </c>
      <c r="J430" t="str">
        <f t="shared" si="48"/>
        <v>Environmental</v>
      </c>
    </row>
    <row r="431" spans="1:10">
      <c r="A431" t="str" cm="1">
        <f t="array" ref="A431">INDEX(Vendor_Master!$A$2:$A$401, ROUNDUP((ROW()-1)/4, 0))</f>
        <v>VND-108</v>
      </c>
      <c r="B431" t="str">
        <f t="shared" si="42"/>
        <v>Safety Certificate</v>
      </c>
      <c r="C431" t="str">
        <f t="shared" si="43"/>
        <v>Yes</v>
      </c>
      <c r="D431" t="str">
        <f t="shared" si="44"/>
        <v>Yes</v>
      </c>
      <c r="E431" s="1">
        <v>45829</v>
      </c>
      <c r="F431" s="1">
        <v>46828</v>
      </c>
      <c r="G431">
        <f t="shared" ca="1" si="45"/>
        <v>745</v>
      </c>
      <c r="H431" t="str">
        <f t="shared" ca="1" si="46"/>
        <v>Active</v>
      </c>
      <c r="I431">
        <f t="shared" ca="1" si="47"/>
        <v>0</v>
      </c>
      <c r="J431" t="str">
        <f t="shared" si="48"/>
        <v>Safety</v>
      </c>
    </row>
    <row r="432" spans="1:10">
      <c r="A432" t="str" cm="1">
        <f t="array" ref="A432">INDEX(Vendor_Master!$A$2:$A$401, ROUNDUP((ROW()-1)/4, 0))</f>
        <v>VND-108</v>
      </c>
      <c r="B432" t="str">
        <f t="shared" si="42"/>
        <v>Environmental Policy</v>
      </c>
      <c r="C432" t="str">
        <f t="shared" si="43"/>
        <v>Yes</v>
      </c>
      <c r="D432" t="str">
        <f t="shared" si="44"/>
        <v>Yes</v>
      </c>
      <c r="E432" s="1">
        <v>45856</v>
      </c>
      <c r="F432" s="1">
        <v>46302</v>
      </c>
      <c r="G432">
        <f t="shared" ca="1" si="45"/>
        <v>219</v>
      </c>
      <c r="H432" t="str">
        <f t="shared" ca="1" si="46"/>
        <v>Active</v>
      </c>
      <c r="I432">
        <f t="shared" ca="1" si="47"/>
        <v>0</v>
      </c>
      <c r="J432" t="str">
        <f t="shared" si="48"/>
        <v>Environmental</v>
      </c>
    </row>
    <row r="433" spans="1:10">
      <c r="A433" t="str" cm="1">
        <f t="array" ref="A433">INDEX(Vendor_Master!$A$2:$A$401, ROUNDUP((ROW()-1)/4, 0))</f>
        <v>VND-108</v>
      </c>
      <c r="B433" t="str">
        <f t="shared" si="42"/>
        <v>Sustainability Disclosure</v>
      </c>
      <c r="C433" t="str">
        <f t="shared" si="43"/>
        <v>Yes</v>
      </c>
      <c r="D433" t="str">
        <f t="shared" si="44"/>
        <v>Yes</v>
      </c>
      <c r="E433" s="1">
        <v>46027</v>
      </c>
      <c r="F433" s="1">
        <v>46655</v>
      </c>
      <c r="G433">
        <f t="shared" ca="1" si="45"/>
        <v>572</v>
      </c>
      <c r="H433" t="str">
        <f t="shared" ca="1" si="46"/>
        <v>Active</v>
      </c>
      <c r="I433">
        <f t="shared" ca="1" si="47"/>
        <v>0</v>
      </c>
      <c r="J433" t="str">
        <f t="shared" si="48"/>
        <v>Environmental</v>
      </c>
    </row>
    <row r="434" spans="1:10">
      <c r="A434" t="str" cm="1">
        <f t="array" ref="A434">INDEX(Vendor_Master!$A$2:$A$401, ROUNDUP((ROW()-1)/4, 0))</f>
        <v>VND-109</v>
      </c>
      <c r="B434" t="str">
        <f t="shared" si="42"/>
        <v>ISO 14001</v>
      </c>
      <c r="C434" t="str">
        <f t="shared" si="43"/>
        <v>Yes</v>
      </c>
      <c r="D434" t="str">
        <f t="shared" si="44"/>
        <v>Yes</v>
      </c>
      <c r="E434" s="1">
        <v>45829</v>
      </c>
      <c r="F434" s="1">
        <v>46558</v>
      </c>
      <c r="G434">
        <f t="shared" ca="1" si="45"/>
        <v>475</v>
      </c>
      <c r="H434" t="str">
        <f t="shared" ca="1" si="46"/>
        <v>Active</v>
      </c>
      <c r="I434">
        <f t="shared" ca="1" si="47"/>
        <v>0</v>
      </c>
      <c r="J434" t="str">
        <f t="shared" si="48"/>
        <v>Environmental</v>
      </c>
    </row>
    <row r="435" spans="1:10">
      <c r="A435" t="str" cm="1">
        <f t="array" ref="A435">INDEX(Vendor_Master!$A$2:$A$401, ROUNDUP((ROW()-1)/4, 0))</f>
        <v>VND-109</v>
      </c>
      <c r="B435" t="str">
        <f t="shared" si="42"/>
        <v>Safety Certificate</v>
      </c>
      <c r="C435" t="str">
        <f t="shared" si="43"/>
        <v>Yes</v>
      </c>
      <c r="D435" t="str">
        <f t="shared" si="44"/>
        <v>Yes</v>
      </c>
      <c r="E435" s="1">
        <v>45502</v>
      </c>
      <c r="F435" s="1">
        <v>46888</v>
      </c>
      <c r="G435">
        <f t="shared" ca="1" si="45"/>
        <v>805</v>
      </c>
      <c r="H435" t="str">
        <f t="shared" ca="1" si="46"/>
        <v>Active</v>
      </c>
      <c r="I435">
        <f t="shared" ca="1" si="47"/>
        <v>0</v>
      </c>
      <c r="J435" t="str">
        <f t="shared" si="48"/>
        <v>Safety</v>
      </c>
    </row>
    <row r="436" spans="1:10">
      <c r="A436" t="str" cm="1">
        <f t="array" ref="A436">INDEX(Vendor_Master!$A$2:$A$401, ROUNDUP((ROW()-1)/4, 0))</f>
        <v>VND-109</v>
      </c>
      <c r="B436" t="str">
        <f t="shared" si="42"/>
        <v>Environmental Policy</v>
      </c>
      <c r="C436" t="str">
        <f t="shared" si="43"/>
        <v>Yes</v>
      </c>
      <c r="D436" t="str">
        <f t="shared" si="44"/>
        <v>Yes</v>
      </c>
      <c r="E436" s="1">
        <v>46064</v>
      </c>
      <c r="F436" s="1">
        <v>46607</v>
      </c>
      <c r="G436">
        <f t="shared" ca="1" si="45"/>
        <v>524</v>
      </c>
      <c r="H436" t="str">
        <f t="shared" ca="1" si="46"/>
        <v>Active</v>
      </c>
      <c r="I436">
        <f t="shared" ca="1" si="47"/>
        <v>0</v>
      </c>
      <c r="J436" t="str">
        <f t="shared" si="48"/>
        <v>Environmental</v>
      </c>
    </row>
    <row r="437" spans="1:10">
      <c r="A437" t="str" cm="1">
        <f t="array" ref="A437">INDEX(Vendor_Master!$A$2:$A$401, ROUNDUP((ROW()-1)/4, 0))</f>
        <v>VND-109</v>
      </c>
      <c r="B437" t="str">
        <f t="shared" si="42"/>
        <v>Sustainability Disclosure</v>
      </c>
      <c r="C437" t="str">
        <f t="shared" si="43"/>
        <v>Yes</v>
      </c>
      <c r="D437" t="str">
        <f t="shared" si="44"/>
        <v>Yes</v>
      </c>
      <c r="E437" s="1">
        <v>45769</v>
      </c>
      <c r="F437" s="1">
        <v>46871</v>
      </c>
      <c r="G437">
        <f t="shared" ca="1" si="45"/>
        <v>788</v>
      </c>
      <c r="H437" t="str">
        <f t="shared" ca="1" si="46"/>
        <v>Active</v>
      </c>
      <c r="I437">
        <f t="shared" ca="1" si="47"/>
        <v>0</v>
      </c>
      <c r="J437" t="str">
        <f t="shared" si="48"/>
        <v>Environmental</v>
      </c>
    </row>
    <row r="438" spans="1:10">
      <c r="A438" t="str" cm="1">
        <f t="array" ref="A438">INDEX(Vendor_Master!$A$2:$A$401, ROUNDUP((ROW()-1)/4, 0))</f>
        <v>VND-110</v>
      </c>
      <c r="B438" t="str">
        <f t="shared" si="42"/>
        <v>ISO 14001</v>
      </c>
      <c r="C438" t="str">
        <f t="shared" si="43"/>
        <v>Yes</v>
      </c>
      <c r="D438" t="str">
        <f t="shared" si="44"/>
        <v>Yes</v>
      </c>
      <c r="E438" s="1">
        <v>45596</v>
      </c>
      <c r="F438" s="1">
        <v>46484</v>
      </c>
      <c r="G438">
        <f t="shared" ca="1" si="45"/>
        <v>401</v>
      </c>
      <c r="H438" t="str">
        <f t="shared" ca="1" si="46"/>
        <v>Active</v>
      </c>
      <c r="I438">
        <f t="shared" ca="1" si="47"/>
        <v>0</v>
      </c>
      <c r="J438" t="str">
        <f t="shared" si="48"/>
        <v>Environmental</v>
      </c>
    </row>
    <row r="439" spans="1:10">
      <c r="A439" t="str" cm="1">
        <f t="array" ref="A439">INDEX(Vendor_Master!$A$2:$A$401, ROUNDUP((ROW()-1)/4, 0))</f>
        <v>VND-110</v>
      </c>
      <c r="B439" t="str">
        <f t="shared" si="42"/>
        <v>Safety Certificate</v>
      </c>
      <c r="C439" t="str">
        <f t="shared" si="43"/>
        <v>Yes</v>
      </c>
      <c r="D439" t="str">
        <f t="shared" si="44"/>
        <v>Yes</v>
      </c>
      <c r="E439" s="1">
        <v>46032</v>
      </c>
      <c r="F439" s="1">
        <v>46457</v>
      </c>
      <c r="G439">
        <f t="shared" ca="1" si="45"/>
        <v>374</v>
      </c>
      <c r="H439" t="str">
        <f t="shared" ca="1" si="46"/>
        <v>Active</v>
      </c>
      <c r="I439">
        <f t="shared" ca="1" si="47"/>
        <v>0</v>
      </c>
      <c r="J439" t="str">
        <f t="shared" si="48"/>
        <v>Safety</v>
      </c>
    </row>
    <row r="440" spans="1:10">
      <c r="A440" t="str" cm="1">
        <f t="array" ref="A440">INDEX(Vendor_Master!$A$2:$A$401, ROUNDUP((ROW()-1)/4, 0))</f>
        <v>VND-110</v>
      </c>
      <c r="B440" t="str">
        <f t="shared" si="42"/>
        <v>Environmental Policy</v>
      </c>
      <c r="C440" t="str">
        <f t="shared" si="43"/>
        <v>Yes</v>
      </c>
      <c r="D440" t="str">
        <f t="shared" si="44"/>
        <v>Yes</v>
      </c>
      <c r="E440" s="1">
        <v>45656</v>
      </c>
      <c r="F440" s="1">
        <v>46499</v>
      </c>
      <c r="G440">
        <f t="shared" ca="1" si="45"/>
        <v>416</v>
      </c>
      <c r="H440" t="str">
        <f t="shared" ca="1" si="46"/>
        <v>Active</v>
      </c>
      <c r="I440">
        <f t="shared" ca="1" si="47"/>
        <v>0</v>
      </c>
      <c r="J440" t="str">
        <f t="shared" si="48"/>
        <v>Environmental</v>
      </c>
    </row>
    <row r="441" spans="1:10">
      <c r="A441" t="str" cm="1">
        <f t="array" ref="A441">INDEX(Vendor_Master!$A$2:$A$401, ROUNDUP((ROW()-1)/4, 0))</f>
        <v>VND-110</v>
      </c>
      <c r="B441" t="str">
        <f t="shared" si="42"/>
        <v>Sustainability Disclosure</v>
      </c>
      <c r="C441" t="str">
        <f t="shared" si="43"/>
        <v>Yes</v>
      </c>
      <c r="D441" t="str">
        <f t="shared" si="44"/>
        <v>Yes</v>
      </c>
      <c r="E441" s="1">
        <v>45689</v>
      </c>
      <c r="F441" s="1">
        <v>46967</v>
      </c>
      <c r="G441">
        <f t="shared" ca="1" si="45"/>
        <v>884</v>
      </c>
      <c r="H441" t="str">
        <f t="shared" ca="1" si="46"/>
        <v>Active</v>
      </c>
      <c r="I441">
        <f t="shared" ca="1" si="47"/>
        <v>0</v>
      </c>
      <c r="J441" t="str">
        <f t="shared" si="48"/>
        <v>Environmental</v>
      </c>
    </row>
    <row r="442" spans="1:10">
      <c r="A442" t="str" cm="1">
        <f t="array" ref="A442">INDEX(Vendor_Master!$A$2:$A$401, ROUNDUP((ROW()-1)/4, 0))</f>
        <v>VND-111</v>
      </c>
      <c r="B442" t="str">
        <f t="shared" si="42"/>
        <v>ISO 14001</v>
      </c>
      <c r="C442" t="str">
        <f t="shared" si="43"/>
        <v>Yes</v>
      </c>
      <c r="D442" t="str">
        <f t="shared" si="44"/>
        <v>Yes</v>
      </c>
      <c r="E442" s="1">
        <v>45396</v>
      </c>
      <c r="F442" s="1">
        <v>46325</v>
      </c>
      <c r="G442">
        <f t="shared" ca="1" si="45"/>
        <v>242</v>
      </c>
      <c r="H442" t="str">
        <f t="shared" ca="1" si="46"/>
        <v>Active</v>
      </c>
      <c r="I442">
        <f t="shared" ca="1" si="47"/>
        <v>0</v>
      </c>
      <c r="J442" t="str">
        <f t="shared" si="48"/>
        <v>Environmental</v>
      </c>
    </row>
    <row r="443" spans="1:10">
      <c r="A443" t="str" cm="1">
        <f t="array" ref="A443">INDEX(Vendor_Master!$A$2:$A$401, ROUNDUP((ROW()-1)/4, 0))</f>
        <v>VND-111</v>
      </c>
      <c r="B443" t="str">
        <f t="shared" si="42"/>
        <v>Safety Certificate</v>
      </c>
      <c r="C443" t="str">
        <f t="shared" si="43"/>
        <v>Yes</v>
      </c>
      <c r="D443" t="str">
        <f t="shared" si="44"/>
        <v>Yes</v>
      </c>
      <c r="E443" s="1">
        <v>46017</v>
      </c>
      <c r="F443" s="1">
        <v>46888</v>
      </c>
      <c r="G443">
        <f t="shared" ca="1" si="45"/>
        <v>805</v>
      </c>
      <c r="H443" t="str">
        <f t="shared" ca="1" si="46"/>
        <v>Active</v>
      </c>
      <c r="I443">
        <f t="shared" ca="1" si="47"/>
        <v>0</v>
      </c>
      <c r="J443" t="str">
        <f t="shared" si="48"/>
        <v>Safety</v>
      </c>
    </row>
    <row r="444" spans="1:10">
      <c r="A444" t="str" cm="1">
        <f t="array" ref="A444">INDEX(Vendor_Master!$A$2:$A$401, ROUNDUP((ROW()-1)/4, 0))</f>
        <v>VND-111</v>
      </c>
      <c r="B444" t="str">
        <f t="shared" si="42"/>
        <v>Environmental Policy</v>
      </c>
      <c r="C444" t="str">
        <f t="shared" si="43"/>
        <v>Yes</v>
      </c>
      <c r="D444" t="str">
        <f t="shared" si="44"/>
        <v>Yes</v>
      </c>
      <c r="E444" s="1">
        <v>45864</v>
      </c>
      <c r="F444" s="1">
        <v>46211</v>
      </c>
      <c r="G444">
        <f t="shared" ca="1" si="45"/>
        <v>128</v>
      </c>
      <c r="H444" t="str">
        <f t="shared" ca="1" si="46"/>
        <v>Active</v>
      </c>
      <c r="I444">
        <f t="shared" ca="1" si="47"/>
        <v>0</v>
      </c>
      <c r="J444" t="str">
        <f t="shared" si="48"/>
        <v>Environmental</v>
      </c>
    </row>
    <row r="445" spans="1:10">
      <c r="A445" t="str" cm="1">
        <f t="array" ref="A445">INDEX(Vendor_Master!$A$2:$A$401, ROUNDUP((ROW()-1)/4, 0))</f>
        <v>VND-111</v>
      </c>
      <c r="B445" t="str">
        <f t="shared" si="42"/>
        <v>Sustainability Disclosure</v>
      </c>
      <c r="C445" t="str">
        <f t="shared" si="43"/>
        <v>Yes</v>
      </c>
      <c r="D445" t="str">
        <f t="shared" si="44"/>
        <v>Yes</v>
      </c>
      <c r="E445" s="1">
        <v>45988</v>
      </c>
      <c r="F445" s="1">
        <v>46589</v>
      </c>
      <c r="G445">
        <f t="shared" ca="1" si="45"/>
        <v>506</v>
      </c>
      <c r="H445" t="str">
        <f t="shared" ca="1" si="46"/>
        <v>Active</v>
      </c>
      <c r="I445">
        <f t="shared" ca="1" si="47"/>
        <v>0</v>
      </c>
      <c r="J445" t="str">
        <f t="shared" si="48"/>
        <v>Environmental</v>
      </c>
    </row>
    <row r="446" spans="1:10">
      <c r="A446" t="str" cm="1">
        <f t="array" ref="A446">INDEX(Vendor_Master!$A$2:$A$401, ROUNDUP((ROW()-1)/4, 0))</f>
        <v>VND-112</v>
      </c>
      <c r="B446" t="str">
        <f t="shared" si="42"/>
        <v>ISO 14001</v>
      </c>
      <c r="C446" t="str">
        <f t="shared" si="43"/>
        <v>Yes</v>
      </c>
      <c r="D446" t="str">
        <f t="shared" si="44"/>
        <v>Yes</v>
      </c>
      <c r="E446" s="1">
        <v>45604</v>
      </c>
      <c r="F446" s="1">
        <v>46304</v>
      </c>
      <c r="G446">
        <f t="shared" ca="1" si="45"/>
        <v>221</v>
      </c>
      <c r="H446" t="str">
        <f t="shared" ca="1" si="46"/>
        <v>Active</v>
      </c>
      <c r="I446">
        <f t="shared" ca="1" si="47"/>
        <v>0</v>
      </c>
      <c r="J446" t="str">
        <f t="shared" si="48"/>
        <v>Environmental</v>
      </c>
    </row>
    <row r="447" spans="1:10">
      <c r="A447" t="str" cm="1">
        <f t="array" ref="A447">INDEX(Vendor_Master!$A$2:$A$401, ROUNDUP((ROW()-1)/4, 0))</f>
        <v>VND-112</v>
      </c>
      <c r="B447" t="str">
        <f t="shared" si="42"/>
        <v>Safety Certificate</v>
      </c>
      <c r="C447" t="str">
        <f t="shared" si="43"/>
        <v>Yes</v>
      </c>
      <c r="D447" t="str">
        <f t="shared" si="44"/>
        <v>Yes</v>
      </c>
      <c r="E447" s="1">
        <v>45989</v>
      </c>
      <c r="F447" s="1">
        <v>46307</v>
      </c>
      <c r="G447">
        <f t="shared" ca="1" si="45"/>
        <v>224</v>
      </c>
      <c r="H447" t="str">
        <f t="shared" ca="1" si="46"/>
        <v>Active</v>
      </c>
      <c r="I447">
        <f t="shared" ca="1" si="47"/>
        <v>0</v>
      </c>
      <c r="J447" t="str">
        <f t="shared" si="48"/>
        <v>Safety</v>
      </c>
    </row>
    <row r="448" spans="1:10">
      <c r="A448" t="str" cm="1">
        <f t="array" ref="A448">INDEX(Vendor_Master!$A$2:$A$401, ROUNDUP((ROW()-1)/4, 0))</f>
        <v>VND-112</v>
      </c>
      <c r="B448" t="str">
        <f t="shared" si="42"/>
        <v>Environmental Policy</v>
      </c>
      <c r="C448" t="str">
        <f t="shared" si="43"/>
        <v>Yes</v>
      </c>
      <c r="D448" t="str">
        <f t="shared" si="44"/>
        <v>Yes</v>
      </c>
      <c r="E448" s="1">
        <v>45608</v>
      </c>
      <c r="F448" s="1">
        <v>46957</v>
      </c>
      <c r="G448">
        <f t="shared" ca="1" si="45"/>
        <v>874</v>
      </c>
      <c r="H448" t="str">
        <f t="shared" ca="1" si="46"/>
        <v>Active</v>
      </c>
      <c r="I448">
        <f t="shared" ca="1" si="47"/>
        <v>0</v>
      </c>
      <c r="J448" t="str">
        <f t="shared" si="48"/>
        <v>Environmental</v>
      </c>
    </row>
    <row r="449" spans="1:10">
      <c r="A449" t="str" cm="1">
        <f t="array" ref="A449">INDEX(Vendor_Master!$A$2:$A$401, ROUNDUP((ROW()-1)/4, 0))</f>
        <v>VND-112</v>
      </c>
      <c r="B449" t="str">
        <f t="shared" si="42"/>
        <v>Sustainability Disclosure</v>
      </c>
      <c r="C449" t="str">
        <f t="shared" si="43"/>
        <v>Yes</v>
      </c>
      <c r="D449" t="str">
        <f t="shared" si="44"/>
        <v>Yes</v>
      </c>
      <c r="E449" s="1">
        <v>45532</v>
      </c>
      <c r="F449" s="1">
        <v>46302</v>
      </c>
      <c r="G449">
        <f t="shared" ca="1" si="45"/>
        <v>219</v>
      </c>
      <c r="H449" t="str">
        <f t="shared" ca="1" si="46"/>
        <v>Active</v>
      </c>
      <c r="I449">
        <f t="shared" ca="1" si="47"/>
        <v>0</v>
      </c>
      <c r="J449" t="str">
        <f t="shared" si="48"/>
        <v>Environmental</v>
      </c>
    </row>
    <row r="450" spans="1:10">
      <c r="A450" t="str" cm="1">
        <f t="array" ref="A450">INDEX(Vendor_Master!$A$2:$A$401, ROUNDUP((ROW()-1)/4, 0))</f>
        <v>VND-113</v>
      </c>
      <c r="B450" t="str">
        <f t="shared" si="42"/>
        <v>ISO 14001</v>
      </c>
      <c r="C450" t="str">
        <f t="shared" si="43"/>
        <v>Yes</v>
      </c>
      <c r="D450" t="str">
        <f t="shared" si="44"/>
        <v>Yes</v>
      </c>
      <c r="E450" s="1">
        <v>45441</v>
      </c>
      <c r="F450" s="1">
        <v>46286</v>
      </c>
      <c r="G450">
        <f t="shared" ca="1" si="45"/>
        <v>203</v>
      </c>
      <c r="H450" t="str">
        <f t="shared" ca="1" si="46"/>
        <v>Active</v>
      </c>
      <c r="I450">
        <f t="shared" ca="1" si="47"/>
        <v>0</v>
      </c>
      <c r="J450" t="str">
        <f t="shared" si="48"/>
        <v>Environmental</v>
      </c>
    </row>
    <row r="451" spans="1:10">
      <c r="A451" t="str" cm="1">
        <f t="array" ref="A451">INDEX(Vendor_Master!$A$2:$A$401, ROUNDUP((ROW()-1)/4, 0))</f>
        <v>VND-113</v>
      </c>
      <c r="B451" t="str">
        <f t="shared" ref="B451:B514" si="49">CHOOSE(MOD(ROW()-2,4)+1,"ISO 14001","Safety Certificate","Environmental Policy","Sustainability Disclosure")</f>
        <v>Safety Certificate</v>
      </c>
      <c r="C451" t="str">
        <f t="shared" ref="C451:C514" si="50">"Yes"</f>
        <v>Yes</v>
      </c>
      <c r="D451" t="str">
        <f t="shared" ref="D451:D514" si="51">IF(ROW()-1&lt;=1280,"Yes","No")</f>
        <v>Yes</v>
      </c>
      <c r="E451" s="1">
        <v>46062</v>
      </c>
      <c r="F451" s="1">
        <v>46556</v>
      </c>
      <c r="G451">
        <f t="shared" ref="G451:G514" ca="1" si="52">IF($F451="","",$F451-TODAY())</f>
        <v>473</v>
      </c>
      <c r="H451" t="str">
        <f t="shared" ref="H451:H514" ca="1" si="53">IF($C451="No","Not Required",
IF($D451="No","Missing",
IF($F451&lt;TODAY(),"Expired",
IF($F451&lt;=TODAY()+30,"Expiring Soon","Active"))))</f>
        <v>Active</v>
      </c>
      <c r="I451">
        <f t="shared" ref="I451:I514" ca="1" si="54">IF(OR($H451="Missing",$H451="Expired",$H451="Expiring Soon"),1,0)</f>
        <v>0</v>
      </c>
      <c r="J451" t="str">
        <f t="shared" ref="J451:J514" si="55">IF(B451="ISO 14001","Environmental",
 IF(B451="Environmental Policy","Environmental",
 IF(B451="Sustainability Disclosure","Environmental",
 IF(B451="Safety Certificate","Safety","Regulatory"))))</f>
        <v>Safety</v>
      </c>
    </row>
    <row r="452" spans="1:10">
      <c r="A452" t="str" cm="1">
        <f t="array" ref="A452">INDEX(Vendor_Master!$A$2:$A$401, ROUNDUP((ROW()-1)/4, 0))</f>
        <v>VND-113</v>
      </c>
      <c r="B452" t="str">
        <f t="shared" si="49"/>
        <v>Environmental Policy</v>
      </c>
      <c r="C452" t="str">
        <f t="shared" si="50"/>
        <v>Yes</v>
      </c>
      <c r="D452" t="str">
        <f t="shared" si="51"/>
        <v>Yes</v>
      </c>
      <c r="E452" s="1">
        <v>45814</v>
      </c>
      <c r="F452" s="1">
        <v>46212</v>
      </c>
      <c r="G452">
        <f t="shared" ca="1" si="52"/>
        <v>129</v>
      </c>
      <c r="H452" t="str">
        <f t="shared" ca="1" si="53"/>
        <v>Active</v>
      </c>
      <c r="I452">
        <f t="shared" ca="1" si="54"/>
        <v>0</v>
      </c>
      <c r="J452" t="str">
        <f t="shared" si="55"/>
        <v>Environmental</v>
      </c>
    </row>
    <row r="453" spans="1:10">
      <c r="A453" t="str" cm="1">
        <f t="array" ref="A453">INDEX(Vendor_Master!$A$2:$A$401, ROUNDUP((ROW()-1)/4, 0))</f>
        <v>VND-113</v>
      </c>
      <c r="B453" t="str">
        <f t="shared" si="49"/>
        <v>Sustainability Disclosure</v>
      </c>
      <c r="C453" t="str">
        <f t="shared" si="50"/>
        <v>Yes</v>
      </c>
      <c r="D453" t="str">
        <f t="shared" si="51"/>
        <v>Yes</v>
      </c>
      <c r="E453" s="1">
        <v>46019</v>
      </c>
      <c r="F453" s="1">
        <v>46866</v>
      </c>
      <c r="G453">
        <f t="shared" ca="1" si="52"/>
        <v>783</v>
      </c>
      <c r="H453" t="str">
        <f t="shared" ca="1" si="53"/>
        <v>Active</v>
      </c>
      <c r="I453">
        <f t="shared" ca="1" si="54"/>
        <v>0</v>
      </c>
      <c r="J453" t="str">
        <f t="shared" si="55"/>
        <v>Environmental</v>
      </c>
    </row>
    <row r="454" spans="1:10">
      <c r="A454" t="str" cm="1">
        <f t="array" ref="A454">INDEX(Vendor_Master!$A$2:$A$401, ROUNDUP((ROW()-1)/4, 0))</f>
        <v>VND-114</v>
      </c>
      <c r="B454" t="str">
        <f t="shared" si="49"/>
        <v>ISO 14001</v>
      </c>
      <c r="C454" t="str">
        <f t="shared" si="50"/>
        <v>Yes</v>
      </c>
      <c r="D454" t="str">
        <f t="shared" si="51"/>
        <v>Yes</v>
      </c>
      <c r="E454" s="1">
        <v>45697</v>
      </c>
      <c r="F454" s="1">
        <v>46667</v>
      </c>
      <c r="G454">
        <f t="shared" ca="1" si="52"/>
        <v>584</v>
      </c>
      <c r="H454" t="str">
        <f t="shared" ca="1" si="53"/>
        <v>Active</v>
      </c>
      <c r="I454">
        <f t="shared" ca="1" si="54"/>
        <v>0</v>
      </c>
      <c r="J454" t="str">
        <f t="shared" si="55"/>
        <v>Environmental</v>
      </c>
    </row>
    <row r="455" spans="1:10">
      <c r="A455" t="str" cm="1">
        <f t="array" ref="A455">INDEX(Vendor_Master!$A$2:$A$401, ROUNDUP((ROW()-1)/4, 0))</f>
        <v>VND-114</v>
      </c>
      <c r="B455" t="str">
        <f t="shared" si="49"/>
        <v>Safety Certificate</v>
      </c>
      <c r="C455" t="str">
        <f t="shared" si="50"/>
        <v>Yes</v>
      </c>
      <c r="D455" t="str">
        <f t="shared" si="51"/>
        <v>Yes</v>
      </c>
      <c r="E455" s="1">
        <v>45886</v>
      </c>
      <c r="F455" s="1">
        <v>46763</v>
      </c>
      <c r="G455">
        <f t="shared" ca="1" si="52"/>
        <v>680</v>
      </c>
      <c r="H455" t="str">
        <f t="shared" ca="1" si="53"/>
        <v>Active</v>
      </c>
      <c r="I455">
        <f t="shared" ca="1" si="54"/>
        <v>0</v>
      </c>
      <c r="J455" t="str">
        <f t="shared" si="55"/>
        <v>Safety</v>
      </c>
    </row>
    <row r="456" spans="1:10">
      <c r="A456" t="str" cm="1">
        <f t="array" ref="A456">INDEX(Vendor_Master!$A$2:$A$401, ROUNDUP((ROW()-1)/4, 0))</f>
        <v>VND-114</v>
      </c>
      <c r="B456" t="str">
        <f t="shared" si="49"/>
        <v>Environmental Policy</v>
      </c>
      <c r="C456" t="str">
        <f t="shared" si="50"/>
        <v>Yes</v>
      </c>
      <c r="D456" t="str">
        <f t="shared" si="51"/>
        <v>Yes</v>
      </c>
      <c r="E456" s="1">
        <v>45554</v>
      </c>
      <c r="F456" s="1">
        <v>46554</v>
      </c>
      <c r="G456">
        <f t="shared" ca="1" si="52"/>
        <v>471</v>
      </c>
      <c r="H456" t="str">
        <f t="shared" ca="1" si="53"/>
        <v>Active</v>
      </c>
      <c r="I456">
        <f t="shared" ca="1" si="54"/>
        <v>0</v>
      </c>
      <c r="J456" t="str">
        <f t="shared" si="55"/>
        <v>Environmental</v>
      </c>
    </row>
    <row r="457" spans="1:10">
      <c r="A457" t="str" cm="1">
        <f t="array" ref="A457">INDEX(Vendor_Master!$A$2:$A$401, ROUNDUP((ROW()-1)/4, 0))</f>
        <v>VND-114</v>
      </c>
      <c r="B457" t="str">
        <f t="shared" si="49"/>
        <v>Sustainability Disclosure</v>
      </c>
      <c r="C457" t="str">
        <f t="shared" si="50"/>
        <v>Yes</v>
      </c>
      <c r="D457" t="str">
        <f t="shared" si="51"/>
        <v>Yes</v>
      </c>
      <c r="E457" s="1">
        <v>45953</v>
      </c>
      <c r="F457" s="1">
        <v>46479</v>
      </c>
      <c r="G457">
        <f t="shared" ca="1" si="52"/>
        <v>396</v>
      </c>
      <c r="H457" t="str">
        <f t="shared" ca="1" si="53"/>
        <v>Active</v>
      </c>
      <c r="I457">
        <f t="shared" ca="1" si="54"/>
        <v>0</v>
      </c>
      <c r="J457" t="str">
        <f t="shared" si="55"/>
        <v>Environmental</v>
      </c>
    </row>
    <row r="458" spans="1:10">
      <c r="A458" t="str" cm="1">
        <f t="array" ref="A458">INDEX(Vendor_Master!$A$2:$A$401, ROUNDUP((ROW()-1)/4, 0))</f>
        <v>VND-115</v>
      </c>
      <c r="B458" t="str">
        <f t="shared" si="49"/>
        <v>ISO 14001</v>
      </c>
      <c r="C458" t="str">
        <f t="shared" si="50"/>
        <v>Yes</v>
      </c>
      <c r="D458" t="str">
        <f t="shared" si="51"/>
        <v>Yes</v>
      </c>
      <c r="E458" s="1">
        <v>45678</v>
      </c>
      <c r="F458" s="1">
        <v>46735</v>
      </c>
      <c r="G458">
        <f t="shared" ca="1" si="52"/>
        <v>652</v>
      </c>
      <c r="H458" t="str">
        <f t="shared" ca="1" si="53"/>
        <v>Active</v>
      </c>
      <c r="I458">
        <f t="shared" ca="1" si="54"/>
        <v>0</v>
      </c>
      <c r="J458" t="str">
        <f t="shared" si="55"/>
        <v>Environmental</v>
      </c>
    </row>
    <row r="459" spans="1:10">
      <c r="A459" t="str" cm="1">
        <f t="array" ref="A459">INDEX(Vendor_Master!$A$2:$A$401, ROUNDUP((ROW()-1)/4, 0))</f>
        <v>VND-115</v>
      </c>
      <c r="B459" t="str">
        <f t="shared" si="49"/>
        <v>Safety Certificate</v>
      </c>
      <c r="C459" t="str">
        <f t="shared" si="50"/>
        <v>Yes</v>
      </c>
      <c r="D459" t="str">
        <f t="shared" si="51"/>
        <v>Yes</v>
      </c>
      <c r="E459" s="1">
        <v>45439</v>
      </c>
      <c r="F459" s="1">
        <v>46268</v>
      </c>
      <c r="G459">
        <f t="shared" ca="1" si="52"/>
        <v>185</v>
      </c>
      <c r="H459" t="str">
        <f t="shared" ca="1" si="53"/>
        <v>Active</v>
      </c>
      <c r="I459">
        <f t="shared" ca="1" si="54"/>
        <v>0</v>
      </c>
      <c r="J459" t="str">
        <f t="shared" si="55"/>
        <v>Safety</v>
      </c>
    </row>
    <row r="460" spans="1:10">
      <c r="A460" t="str" cm="1">
        <f t="array" ref="A460">INDEX(Vendor_Master!$A$2:$A$401, ROUNDUP((ROW()-1)/4, 0))</f>
        <v>VND-115</v>
      </c>
      <c r="B460" t="str">
        <f t="shared" si="49"/>
        <v>Environmental Policy</v>
      </c>
      <c r="C460" t="str">
        <f t="shared" si="50"/>
        <v>Yes</v>
      </c>
      <c r="D460" t="str">
        <f t="shared" si="51"/>
        <v>Yes</v>
      </c>
      <c r="E460" s="1">
        <v>46042</v>
      </c>
      <c r="F460" s="1">
        <v>46662</v>
      </c>
      <c r="G460">
        <f t="shared" ca="1" si="52"/>
        <v>579</v>
      </c>
      <c r="H460" t="str">
        <f t="shared" ca="1" si="53"/>
        <v>Active</v>
      </c>
      <c r="I460">
        <f t="shared" ca="1" si="54"/>
        <v>0</v>
      </c>
      <c r="J460" t="str">
        <f t="shared" si="55"/>
        <v>Environmental</v>
      </c>
    </row>
    <row r="461" spans="1:10">
      <c r="A461" t="str" cm="1">
        <f t="array" ref="A461">INDEX(Vendor_Master!$A$2:$A$401, ROUNDUP((ROW()-1)/4, 0))</f>
        <v>VND-115</v>
      </c>
      <c r="B461" t="str">
        <f t="shared" si="49"/>
        <v>Sustainability Disclosure</v>
      </c>
      <c r="C461" t="str">
        <f t="shared" si="50"/>
        <v>Yes</v>
      </c>
      <c r="D461" t="str">
        <f t="shared" si="51"/>
        <v>Yes</v>
      </c>
      <c r="E461" s="1">
        <v>45941</v>
      </c>
      <c r="F461" s="1">
        <v>46581</v>
      </c>
      <c r="G461">
        <f t="shared" ca="1" si="52"/>
        <v>498</v>
      </c>
      <c r="H461" t="str">
        <f t="shared" ca="1" si="53"/>
        <v>Active</v>
      </c>
      <c r="I461">
        <f t="shared" ca="1" si="54"/>
        <v>0</v>
      </c>
      <c r="J461" t="str">
        <f t="shared" si="55"/>
        <v>Environmental</v>
      </c>
    </row>
    <row r="462" spans="1:10">
      <c r="A462" t="str" cm="1">
        <f t="array" ref="A462">INDEX(Vendor_Master!$A$2:$A$401, ROUNDUP((ROW()-1)/4, 0))</f>
        <v>VND-116</v>
      </c>
      <c r="B462" t="str">
        <f t="shared" si="49"/>
        <v>ISO 14001</v>
      </c>
      <c r="C462" t="str">
        <f t="shared" si="50"/>
        <v>Yes</v>
      </c>
      <c r="D462" t="str">
        <f t="shared" si="51"/>
        <v>Yes</v>
      </c>
      <c r="E462" s="1">
        <v>45740</v>
      </c>
      <c r="F462" s="1">
        <v>46368</v>
      </c>
      <c r="G462">
        <f t="shared" ca="1" si="52"/>
        <v>285</v>
      </c>
      <c r="H462" t="str">
        <f t="shared" ca="1" si="53"/>
        <v>Active</v>
      </c>
      <c r="I462">
        <f t="shared" ca="1" si="54"/>
        <v>0</v>
      </c>
      <c r="J462" t="str">
        <f t="shared" si="55"/>
        <v>Environmental</v>
      </c>
    </row>
    <row r="463" spans="1:10">
      <c r="A463" t="str" cm="1">
        <f t="array" ref="A463">INDEX(Vendor_Master!$A$2:$A$401, ROUNDUP((ROW()-1)/4, 0))</f>
        <v>VND-116</v>
      </c>
      <c r="B463" t="str">
        <f t="shared" si="49"/>
        <v>Safety Certificate</v>
      </c>
      <c r="C463" t="str">
        <f t="shared" si="50"/>
        <v>Yes</v>
      </c>
      <c r="D463" t="str">
        <f t="shared" si="51"/>
        <v>Yes</v>
      </c>
      <c r="E463" s="1">
        <v>45395</v>
      </c>
      <c r="F463" s="1">
        <v>46914</v>
      </c>
      <c r="G463">
        <f t="shared" ca="1" si="52"/>
        <v>831</v>
      </c>
      <c r="H463" t="str">
        <f t="shared" ca="1" si="53"/>
        <v>Active</v>
      </c>
      <c r="I463">
        <f t="shared" ca="1" si="54"/>
        <v>0</v>
      </c>
      <c r="J463" t="str">
        <f t="shared" si="55"/>
        <v>Safety</v>
      </c>
    </row>
    <row r="464" spans="1:10">
      <c r="A464" t="str" cm="1">
        <f t="array" ref="A464">INDEX(Vendor_Master!$A$2:$A$401, ROUNDUP((ROW()-1)/4, 0))</f>
        <v>VND-116</v>
      </c>
      <c r="B464" t="str">
        <f t="shared" si="49"/>
        <v>Environmental Policy</v>
      </c>
      <c r="C464" t="str">
        <f t="shared" si="50"/>
        <v>Yes</v>
      </c>
      <c r="D464" t="str">
        <f t="shared" si="51"/>
        <v>Yes</v>
      </c>
      <c r="E464" s="1">
        <v>45635</v>
      </c>
      <c r="F464" s="1">
        <v>46837</v>
      </c>
      <c r="G464">
        <f t="shared" ca="1" si="52"/>
        <v>754</v>
      </c>
      <c r="H464" t="str">
        <f t="shared" ca="1" si="53"/>
        <v>Active</v>
      </c>
      <c r="I464">
        <f t="shared" ca="1" si="54"/>
        <v>0</v>
      </c>
      <c r="J464" t="str">
        <f t="shared" si="55"/>
        <v>Environmental</v>
      </c>
    </row>
    <row r="465" spans="1:10">
      <c r="A465" t="str" cm="1">
        <f t="array" ref="A465">INDEX(Vendor_Master!$A$2:$A$401, ROUNDUP((ROW()-1)/4, 0))</f>
        <v>VND-116</v>
      </c>
      <c r="B465" t="str">
        <f t="shared" si="49"/>
        <v>Sustainability Disclosure</v>
      </c>
      <c r="C465" t="str">
        <f t="shared" si="50"/>
        <v>Yes</v>
      </c>
      <c r="D465" t="str">
        <f t="shared" si="51"/>
        <v>Yes</v>
      </c>
      <c r="E465" s="1">
        <v>45961</v>
      </c>
      <c r="F465" s="1">
        <v>46686</v>
      </c>
      <c r="G465">
        <f t="shared" ca="1" si="52"/>
        <v>603</v>
      </c>
      <c r="H465" t="str">
        <f t="shared" ca="1" si="53"/>
        <v>Active</v>
      </c>
      <c r="I465">
        <f t="shared" ca="1" si="54"/>
        <v>0</v>
      </c>
      <c r="J465" t="str">
        <f t="shared" si="55"/>
        <v>Environmental</v>
      </c>
    </row>
    <row r="466" spans="1:10">
      <c r="A466" t="str" cm="1">
        <f t="array" ref="A466">INDEX(Vendor_Master!$A$2:$A$401, ROUNDUP((ROW()-1)/4, 0))</f>
        <v>VND-117</v>
      </c>
      <c r="B466" t="str">
        <f t="shared" si="49"/>
        <v>ISO 14001</v>
      </c>
      <c r="C466" t="str">
        <f t="shared" si="50"/>
        <v>Yes</v>
      </c>
      <c r="D466" t="str">
        <f t="shared" si="51"/>
        <v>Yes</v>
      </c>
      <c r="E466" s="1">
        <v>45946</v>
      </c>
      <c r="F466" s="1">
        <v>46964</v>
      </c>
      <c r="G466">
        <f t="shared" ca="1" si="52"/>
        <v>881</v>
      </c>
      <c r="H466" t="str">
        <f t="shared" ca="1" si="53"/>
        <v>Active</v>
      </c>
      <c r="I466">
        <f t="shared" ca="1" si="54"/>
        <v>0</v>
      </c>
      <c r="J466" t="str">
        <f t="shared" si="55"/>
        <v>Environmental</v>
      </c>
    </row>
    <row r="467" spans="1:10">
      <c r="A467" t="str" cm="1">
        <f t="array" ref="A467">INDEX(Vendor_Master!$A$2:$A$401, ROUNDUP((ROW()-1)/4, 0))</f>
        <v>VND-117</v>
      </c>
      <c r="B467" t="str">
        <f t="shared" si="49"/>
        <v>Safety Certificate</v>
      </c>
      <c r="C467" t="str">
        <f t="shared" si="50"/>
        <v>Yes</v>
      </c>
      <c r="D467" t="str">
        <f t="shared" si="51"/>
        <v>Yes</v>
      </c>
      <c r="E467" s="1">
        <v>45636</v>
      </c>
      <c r="F467" s="1">
        <v>46930</v>
      </c>
      <c r="G467">
        <f t="shared" ca="1" si="52"/>
        <v>847</v>
      </c>
      <c r="H467" t="str">
        <f t="shared" ca="1" si="53"/>
        <v>Active</v>
      </c>
      <c r="I467">
        <f t="shared" ca="1" si="54"/>
        <v>0</v>
      </c>
      <c r="J467" t="str">
        <f t="shared" si="55"/>
        <v>Safety</v>
      </c>
    </row>
    <row r="468" spans="1:10">
      <c r="A468" t="str" cm="1">
        <f t="array" ref="A468">INDEX(Vendor_Master!$A$2:$A$401, ROUNDUP((ROW()-1)/4, 0))</f>
        <v>VND-117</v>
      </c>
      <c r="B468" t="str">
        <f t="shared" si="49"/>
        <v>Environmental Policy</v>
      </c>
      <c r="C468" t="str">
        <f t="shared" si="50"/>
        <v>Yes</v>
      </c>
      <c r="D468" t="str">
        <f t="shared" si="51"/>
        <v>Yes</v>
      </c>
      <c r="E468" s="1">
        <v>45960</v>
      </c>
      <c r="F468" s="1">
        <v>46701</v>
      </c>
      <c r="G468">
        <f t="shared" ca="1" si="52"/>
        <v>618</v>
      </c>
      <c r="H468" t="str">
        <f t="shared" ca="1" si="53"/>
        <v>Active</v>
      </c>
      <c r="I468">
        <f t="shared" ca="1" si="54"/>
        <v>0</v>
      </c>
      <c r="J468" t="str">
        <f t="shared" si="55"/>
        <v>Environmental</v>
      </c>
    </row>
    <row r="469" spans="1:10">
      <c r="A469" t="str" cm="1">
        <f t="array" ref="A469">INDEX(Vendor_Master!$A$2:$A$401, ROUNDUP((ROW()-1)/4, 0))</f>
        <v>VND-117</v>
      </c>
      <c r="B469" t="str">
        <f t="shared" si="49"/>
        <v>Sustainability Disclosure</v>
      </c>
      <c r="C469" t="str">
        <f t="shared" si="50"/>
        <v>Yes</v>
      </c>
      <c r="D469" t="str">
        <f t="shared" si="51"/>
        <v>Yes</v>
      </c>
      <c r="E469" s="1">
        <v>45967</v>
      </c>
      <c r="F469" s="1">
        <v>46907</v>
      </c>
      <c r="G469">
        <f t="shared" ca="1" si="52"/>
        <v>824</v>
      </c>
      <c r="H469" t="str">
        <f t="shared" ca="1" si="53"/>
        <v>Active</v>
      </c>
      <c r="I469">
        <f t="shared" ca="1" si="54"/>
        <v>0</v>
      </c>
      <c r="J469" t="str">
        <f t="shared" si="55"/>
        <v>Environmental</v>
      </c>
    </row>
    <row r="470" spans="1:10">
      <c r="A470" t="str" cm="1">
        <f t="array" ref="A470">INDEX(Vendor_Master!$A$2:$A$401, ROUNDUP((ROW()-1)/4, 0))</f>
        <v>VND-118</v>
      </c>
      <c r="B470" t="str">
        <f t="shared" si="49"/>
        <v>ISO 14001</v>
      </c>
      <c r="C470" t="str">
        <f t="shared" si="50"/>
        <v>Yes</v>
      </c>
      <c r="D470" t="str">
        <f t="shared" si="51"/>
        <v>Yes</v>
      </c>
      <c r="E470" s="1">
        <v>45723</v>
      </c>
      <c r="F470" s="1">
        <v>46288</v>
      </c>
      <c r="G470">
        <f t="shared" ca="1" si="52"/>
        <v>205</v>
      </c>
      <c r="H470" t="str">
        <f t="shared" ca="1" si="53"/>
        <v>Active</v>
      </c>
      <c r="I470">
        <f t="shared" ca="1" si="54"/>
        <v>0</v>
      </c>
      <c r="J470" t="str">
        <f t="shared" si="55"/>
        <v>Environmental</v>
      </c>
    </row>
    <row r="471" spans="1:10">
      <c r="A471" t="str" cm="1">
        <f t="array" ref="A471">INDEX(Vendor_Master!$A$2:$A$401, ROUNDUP((ROW()-1)/4, 0))</f>
        <v>VND-118</v>
      </c>
      <c r="B471" t="str">
        <f t="shared" si="49"/>
        <v>Safety Certificate</v>
      </c>
      <c r="C471" t="str">
        <f t="shared" si="50"/>
        <v>Yes</v>
      </c>
      <c r="D471" t="str">
        <f t="shared" si="51"/>
        <v>Yes</v>
      </c>
      <c r="E471" s="1">
        <v>45635</v>
      </c>
      <c r="F471" s="1">
        <v>46421</v>
      </c>
      <c r="G471">
        <f t="shared" ca="1" si="52"/>
        <v>338</v>
      </c>
      <c r="H471" t="str">
        <f t="shared" ca="1" si="53"/>
        <v>Active</v>
      </c>
      <c r="I471">
        <f t="shared" ca="1" si="54"/>
        <v>0</v>
      </c>
      <c r="J471" t="str">
        <f t="shared" si="55"/>
        <v>Safety</v>
      </c>
    </row>
    <row r="472" spans="1:10">
      <c r="A472" t="str" cm="1">
        <f t="array" ref="A472">INDEX(Vendor_Master!$A$2:$A$401, ROUNDUP((ROW()-1)/4, 0))</f>
        <v>VND-118</v>
      </c>
      <c r="B472" t="str">
        <f t="shared" si="49"/>
        <v>Environmental Policy</v>
      </c>
      <c r="C472" t="str">
        <f t="shared" si="50"/>
        <v>Yes</v>
      </c>
      <c r="D472" t="str">
        <f t="shared" si="51"/>
        <v>Yes</v>
      </c>
      <c r="E472" s="1">
        <v>45656</v>
      </c>
      <c r="F472" s="1">
        <v>46778</v>
      </c>
      <c r="G472">
        <f t="shared" ca="1" si="52"/>
        <v>695</v>
      </c>
      <c r="H472" t="str">
        <f t="shared" ca="1" si="53"/>
        <v>Active</v>
      </c>
      <c r="I472">
        <f t="shared" ca="1" si="54"/>
        <v>0</v>
      </c>
      <c r="J472" t="str">
        <f t="shared" si="55"/>
        <v>Environmental</v>
      </c>
    </row>
    <row r="473" spans="1:10">
      <c r="A473" t="str" cm="1">
        <f t="array" ref="A473">INDEX(Vendor_Master!$A$2:$A$401, ROUNDUP((ROW()-1)/4, 0))</f>
        <v>VND-118</v>
      </c>
      <c r="B473" t="str">
        <f t="shared" si="49"/>
        <v>Sustainability Disclosure</v>
      </c>
      <c r="C473" t="str">
        <f t="shared" si="50"/>
        <v>Yes</v>
      </c>
      <c r="D473" t="str">
        <f t="shared" si="51"/>
        <v>Yes</v>
      </c>
      <c r="E473" s="1">
        <v>45950</v>
      </c>
      <c r="F473" s="1">
        <v>46747</v>
      </c>
      <c r="G473">
        <f t="shared" ca="1" si="52"/>
        <v>664</v>
      </c>
      <c r="H473" t="str">
        <f t="shared" ca="1" si="53"/>
        <v>Active</v>
      </c>
      <c r="I473">
        <f t="shared" ca="1" si="54"/>
        <v>0</v>
      </c>
      <c r="J473" t="str">
        <f t="shared" si="55"/>
        <v>Environmental</v>
      </c>
    </row>
    <row r="474" spans="1:10">
      <c r="A474" t="str" cm="1">
        <f t="array" ref="A474">INDEX(Vendor_Master!$A$2:$A$401, ROUNDUP((ROW()-1)/4, 0))</f>
        <v>VND-119</v>
      </c>
      <c r="B474" t="str">
        <f t="shared" si="49"/>
        <v>ISO 14001</v>
      </c>
      <c r="C474" t="str">
        <f t="shared" si="50"/>
        <v>Yes</v>
      </c>
      <c r="D474" t="str">
        <f t="shared" si="51"/>
        <v>Yes</v>
      </c>
      <c r="E474" s="1">
        <v>45521</v>
      </c>
      <c r="F474" s="1">
        <v>46674</v>
      </c>
      <c r="G474">
        <f t="shared" ca="1" si="52"/>
        <v>591</v>
      </c>
      <c r="H474" t="str">
        <f t="shared" ca="1" si="53"/>
        <v>Active</v>
      </c>
      <c r="I474">
        <f t="shared" ca="1" si="54"/>
        <v>0</v>
      </c>
      <c r="J474" t="str">
        <f t="shared" si="55"/>
        <v>Environmental</v>
      </c>
    </row>
    <row r="475" spans="1:10">
      <c r="A475" t="str" cm="1">
        <f t="array" ref="A475">INDEX(Vendor_Master!$A$2:$A$401, ROUNDUP((ROW()-1)/4, 0))</f>
        <v>VND-119</v>
      </c>
      <c r="B475" t="str">
        <f t="shared" si="49"/>
        <v>Safety Certificate</v>
      </c>
      <c r="C475" t="str">
        <f t="shared" si="50"/>
        <v>Yes</v>
      </c>
      <c r="D475" t="str">
        <f t="shared" si="51"/>
        <v>Yes</v>
      </c>
      <c r="E475" s="1">
        <v>45819</v>
      </c>
      <c r="F475" s="1">
        <v>46540</v>
      </c>
      <c r="G475">
        <f t="shared" ca="1" si="52"/>
        <v>457</v>
      </c>
      <c r="H475" t="str">
        <f t="shared" ca="1" si="53"/>
        <v>Active</v>
      </c>
      <c r="I475">
        <f t="shared" ca="1" si="54"/>
        <v>0</v>
      </c>
      <c r="J475" t="str">
        <f t="shared" si="55"/>
        <v>Safety</v>
      </c>
    </row>
    <row r="476" spans="1:10">
      <c r="A476" t="str" cm="1">
        <f t="array" ref="A476">INDEX(Vendor_Master!$A$2:$A$401, ROUNDUP((ROW()-1)/4, 0))</f>
        <v>VND-119</v>
      </c>
      <c r="B476" t="str">
        <f t="shared" si="49"/>
        <v>Environmental Policy</v>
      </c>
      <c r="C476" t="str">
        <f t="shared" si="50"/>
        <v>Yes</v>
      </c>
      <c r="D476" t="str">
        <f t="shared" si="51"/>
        <v>Yes</v>
      </c>
      <c r="E476" s="1">
        <v>45480</v>
      </c>
      <c r="F476" s="1">
        <v>46944</v>
      </c>
      <c r="G476">
        <f t="shared" ca="1" si="52"/>
        <v>861</v>
      </c>
      <c r="H476" t="str">
        <f t="shared" ca="1" si="53"/>
        <v>Active</v>
      </c>
      <c r="I476">
        <f t="shared" ca="1" si="54"/>
        <v>0</v>
      </c>
      <c r="J476" t="str">
        <f t="shared" si="55"/>
        <v>Environmental</v>
      </c>
    </row>
    <row r="477" spans="1:10">
      <c r="A477" t="str" cm="1">
        <f t="array" ref="A477">INDEX(Vendor_Master!$A$2:$A$401, ROUNDUP((ROW()-1)/4, 0))</f>
        <v>VND-119</v>
      </c>
      <c r="B477" t="str">
        <f t="shared" si="49"/>
        <v>Sustainability Disclosure</v>
      </c>
      <c r="C477" t="str">
        <f t="shared" si="50"/>
        <v>Yes</v>
      </c>
      <c r="D477" t="str">
        <f t="shared" si="51"/>
        <v>Yes</v>
      </c>
      <c r="E477" s="1">
        <v>45753</v>
      </c>
      <c r="F477" s="1">
        <v>46704</v>
      </c>
      <c r="G477">
        <f t="shared" ca="1" si="52"/>
        <v>621</v>
      </c>
      <c r="H477" t="str">
        <f t="shared" ca="1" si="53"/>
        <v>Active</v>
      </c>
      <c r="I477">
        <f t="shared" ca="1" si="54"/>
        <v>0</v>
      </c>
      <c r="J477" t="str">
        <f t="shared" si="55"/>
        <v>Environmental</v>
      </c>
    </row>
    <row r="478" spans="1:10">
      <c r="A478" t="str" cm="1">
        <f t="array" ref="A478">INDEX(Vendor_Master!$A$2:$A$401, ROUNDUP((ROW()-1)/4, 0))</f>
        <v>VND-120</v>
      </c>
      <c r="B478" t="str">
        <f t="shared" si="49"/>
        <v>ISO 14001</v>
      </c>
      <c r="C478" t="str">
        <f t="shared" si="50"/>
        <v>Yes</v>
      </c>
      <c r="D478" t="str">
        <f t="shared" si="51"/>
        <v>Yes</v>
      </c>
      <c r="E478" s="1">
        <v>46070</v>
      </c>
      <c r="F478" s="1">
        <v>46635</v>
      </c>
      <c r="G478">
        <f t="shared" ca="1" si="52"/>
        <v>552</v>
      </c>
      <c r="H478" t="str">
        <f t="shared" ca="1" si="53"/>
        <v>Active</v>
      </c>
      <c r="I478">
        <f t="shared" ca="1" si="54"/>
        <v>0</v>
      </c>
      <c r="J478" t="str">
        <f t="shared" si="55"/>
        <v>Environmental</v>
      </c>
    </row>
    <row r="479" spans="1:10">
      <c r="A479" t="str" cm="1">
        <f t="array" ref="A479">INDEX(Vendor_Master!$A$2:$A$401, ROUNDUP((ROW()-1)/4, 0))</f>
        <v>VND-120</v>
      </c>
      <c r="B479" t="str">
        <f t="shared" si="49"/>
        <v>Safety Certificate</v>
      </c>
      <c r="C479" t="str">
        <f t="shared" si="50"/>
        <v>Yes</v>
      </c>
      <c r="D479" t="str">
        <f t="shared" si="51"/>
        <v>Yes</v>
      </c>
      <c r="E479" s="1">
        <v>45770</v>
      </c>
      <c r="F479" s="1">
        <v>46244</v>
      </c>
      <c r="G479">
        <f t="shared" ca="1" si="52"/>
        <v>161</v>
      </c>
      <c r="H479" t="str">
        <f t="shared" ca="1" si="53"/>
        <v>Active</v>
      </c>
      <c r="I479">
        <f t="shared" ca="1" si="54"/>
        <v>0</v>
      </c>
      <c r="J479" t="str">
        <f t="shared" si="55"/>
        <v>Safety</v>
      </c>
    </row>
    <row r="480" spans="1:10">
      <c r="A480" t="str" cm="1">
        <f t="array" ref="A480">INDEX(Vendor_Master!$A$2:$A$401, ROUNDUP((ROW()-1)/4, 0))</f>
        <v>VND-120</v>
      </c>
      <c r="B480" t="str">
        <f t="shared" si="49"/>
        <v>Environmental Policy</v>
      </c>
      <c r="C480" t="str">
        <f t="shared" si="50"/>
        <v>Yes</v>
      </c>
      <c r="D480" t="str">
        <f t="shared" si="51"/>
        <v>Yes</v>
      </c>
      <c r="E480" s="1">
        <v>45406</v>
      </c>
      <c r="F480" s="1">
        <v>46972</v>
      </c>
      <c r="G480">
        <f t="shared" ca="1" si="52"/>
        <v>889</v>
      </c>
      <c r="H480" t="str">
        <f t="shared" ca="1" si="53"/>
        <v>Active</v>
      </c>
      <c r="I480">
        <f t="shared" ca="1" si="54"/>
        <v>0</v>
      </c>
      <c r="J480" t="str">
        <f t="shared" si="55"/>
        <v>Environmental</v>
      </c>
    </row>
    <row r="481" spans="1:10">
      <c r="A481" t="str" cm="1">
        <f t="array" ref="A481">INDEX(Vendor_Master!$A$2:$A$401, ROUNDUP((ROW()-1)/4, 0))</f>
        <v>VND-120</v>
      </c>
      <c r="B481" t="str">
        <f t="shared" si="49"/>
        <v>Sustainability Disclosure</v>
      </c>
      <c r="C481" t="str">
        <f t="shared" si="50"/>
        <v>Yes</v>
      </c>
      <c r="D481" t="str">
        <f t="shared" si="51"/>
        <v>Yes</v>
      </c>
      <c r="E481" s="1">
        <v>45455</v>
      </c>
      <c r="F481" s="1">
        <v>46567</v>
      </c>
      <c r="G481">
        <f t="shared" ca="1" si="52"/>
        <v>484</v>
      </c>
      <c r="H481" t="str">
        <f t="shared" ca="1" si="53"/>
        <v>Active</v>
      </c>
      <c r="I481">
        <f t="shared" ca="1" si="54"/>
        <v>0</v>
      </c>
      <c r="J481" t="str">
        <f t="shared" si="55"/>
        <v>Environmental</v>
      </c>
    </row>
    <row r="482" spans="1:10">
      <c r="A482" t="str" cm="1">
        <f t="array" ref="A482">INDEX(Vendor_Master!$A$2:$A$401, ROUNDUP((ROW()-1)/4, 0))</f>
        <v>VND-121</v>
      </c>
      <c r="B482" t="str">
        <f t="shared" si="49"/>
        <v>ISO 14001</v>
      </c>
      <c r="C482" t="str">
        <f t="shared" si="50"/>
        <v>Yes</v>
      </c>
      <c r="D482" t="str">
        <f t="shared" si="51"/>
        <v>Yes</v>
      </c>
      <c r="E482" s="1">
        <v>45705</v>
      </c>
      <c r="F482" s="1">
        <v>46254</v>
      </c>
      <c r="G482">
        <f t="shared" ca="1" si="52"/>
        <v>171</v>
      </c>
      <c r="H482" t="str">
        <f t="shared" ca="1" si="53"/>
        <v>Active</v>
      </c>
      <c r="I482">
        <f t="shared" ca="1" si="54"/>
        <v>0</v>
      </c>
      <c r="J482" t="str">
        <f t="shared" si="55"/>
        <v>Environmental</v>
      </c>
    </row>
    <row r="483" spans="1:10">
      <c r="A483" t="str" cm="1">
        <f t="array" ref="A483">INDEX(Vendor_Master!$A$2:$A$401, ROUNDUP((ROW()-1)/4, 0))</f>
        <v>VND-121</v>
      </c>
      <c r="B483" t="str">
        <f t="shared" si="49"/>
        <v>Safety Certificate</v>
      </c>
      <c r="C483" t="str">
        <f t="shared" si="50"/>
        <v>Yes</v>
      </c>
      <c r="D483" t="str">
        <f t="shared" si="51"/>
        <v>Yes</v>
      </c>
      <c r="E483" s="1">
        <v>45902</v>
      </c>
      <c r="F483" s="1">
        <v>46395</v>
      </c>
      <c r="G483">
        <f t="shared" ca="1" si="52"/>
        <v>312</v>
      </c>
      <c r="H483" t="str">
        <f t="shared" ca="1" si="53"/>
        <v>Active</v>
      </c>
      <c r="I483">
        <f t="shared" ca="1" si="54"/>
        <v>0</v>
      </c>
      <c r="J483" t="str">
        <f t="shared" si="55"/>
        <v>Safety</v>
      </c>
    </row>
    <row r="484" spans="1:10">
      <c r="A484" t="str" cm="1">
        <f t="array" ref="A484">INDEX(Vendor_Master!$A$2:$A$401, ROUNDUP((ROW()-1)/4, 0))</f>
        <v>VND-121</v>
      </c>
      <c r="B484" t="str">
        <f t="shared" si="49"/>
        <v>Environmental Policy</v>
      </c>
      <c r="C484" t="str">
        <f t="shared" si="50"/>
        <v>Yes</v>
      </c>
      <c r="D484" t="str">
        <f t="shared" si="51"/>
        <v>Yes</v>
      </c>
      <c r="E484" s="1">
        <v>45911</v>
      </c>
      <c r="F484" s="1">
        <v>46845</v>
      </c>
      <c r="G484">
        <f t="shared" ca="1" si="52"/>
        <v>762</v>
      </c>
      <c r="H484" t="str">
        <f t="shared" ca="1" si="53"/>
        <v>Active</v>
      </c>
      <c r="I484">
        <f t="shared" ca="1" si="54"/>
        <v>0</v>
      </c>
      <c r="J484" t="str">
        <f t="shared" si="55"/>
        <v>Environmental</v>
      </c>
    </row>
    <row r="485" spans="1:10">
      <c r="A485" t="str" cm="1">
        <f t="array" ref="A485">INDEX(Vendor_Master!$A$2:$A$401, ROUNDUP((ROW()-1)/4, 0))</f>
        <v>VND-121</v>
      </c>
      <c r="B485" t="str">
        <f t="shared" si="49"/>
        <v>Sustainability Disclosure</v>
      </c>
      <c r="C485" t="str">
        <f t="shared" si="50"/>
        <v>Yes</v>
      </c>
      <c r="D485" t="str">
        <f t="shared" si="51"/>
        <v>Yes</v>
      </c>
      <c r="E485" s="1">
        <v>45522</v>
      </c>
      <c r="F485" s="1">
        <v>46947</v>
      </c>
      <c r="G485">
        <f t="shared" ca="1" si="52"/>
        <v>864</v>
      </c>
      <c r="H485" t="str">
        <f t="shared" ca="1" si="53"/>
        <v>Active</v>
      </c>
      <c r="I485">
        <f t="shared" ca="1" si="54"/>
        <v>0</v>
      </c>
      <c r="J485" t="str">
        <f t="shared" si="55"/>
        <v>Environmental</v>
      </c>
    </row>
    <row r="486" spans="1:10">
      <c r="A486" t="str" cm="1">
        <f t="array" ref="A486">INDEX(Vendor_Master!$A$2:$A$401, ROUNDUP((ROW()-1)/4, 0))</f>
        <v>VND-122</v>
      </c>
      <c r="B486" t="str">
        <f t="shared" si="49"/>
        <v>ISO 14001</v>
      </c>
      <c r="C486" t="str">
        <f t="shared" si="50"/>
        <v>Yes</v>
      </c>
      <c r="D486" t="str">
        <f t="shared" si="51"/>
        <v>Yes</v>
      </c>
      <c r="E486" s="1">
        <v>45444</v>
      </c>
      <c r="F486" s="1">
        <v>46487</v>
      </c>
      <c r="G486">
        <f t="shared" ca="1" si="52"/>
        <v>404</v>
      </c>
      <c r="H486" t="str">
        <f t="shared" ca="1" si="53"/>
        <v>Active</v>
      </c>
      <c r="I486">
        <f t="shared" ca="1" si="54"/>
        <v>0</v>
      </c>
      <c r="J486" t="str">
        <f t="shared" si="55"/>
        <v>Environmental</v>
      </c>
    </row>
    <row r="487" spans="1:10">
      <c r="A487" t="str" cm="1">
        <f t="array" ref="A487">INDEX(Vendor_Master!$A$2:$A$401, ROUNDUP((ROW()-1)/4, 0))</f>
        <v>VND-122</v>
      </c>
      <c r="B487" t="str">
        <f t="shared" si="49"/>
        <v>Safety Certificate</v>
      </c>
      <c r="C487" t="str">
        <f t="shared" si="50"/>
        <v>Yes</v>
      </c>
      <c r="D487" t="str">
        <f t="shared" si="51"/>
        <v>Yes</v>
      </c>
      <c r="E487" s="1">
        <v>45639</v>
      </c>
      <c r="F487" s="1">
        <v>46777</v>
      </c>
      <c r="G487">
        <f t="shared" ca="1" si="52"/>
        <v>694</v>
      </c>
      <c r="H487" t="str">
        <f t="shared" ca="1" si="53"/>
        <v>Active</v>
      </c>
      <c r="I487">
        <f t="shared" ca="1" si="54"/>
        <v>0</v>
      </c>
      <c r="J487" t="str">
        <f t="shared" si="55"/>
        <v>Safety</v>
      </c>
    </row>
    <row r="488" spans="1:10">
      <c r="A488" t="str" cm="1">
        <f t="array" ref="A488">INDEX(Vendor_Master!$A$2:$A$401, ROUNDUP((ROW()-1)/4, 0))</f>
        <v>VND-122</v>
      </c>
      <c r="B488" t="str">
        <f t="shared" si="49"/>
        <v>Environmental Policy</v>
      </c>
      <c r="C488" t="str">
        <f t="shared" si="50"/>
        <v>Yes</v>
      </c>
      <c r="D488" t="str">
        <f t="shared" si="51"/>
        <v>Yes</v>
      </c>
      <c r="E488" s="1">
        <v>45460</v>
      </c>
      <c r="F488" s="1">
        <v>46917</v>
      </c>
      <c r="G488">
        <f t="shared" ca="1" si="52"/>
        <v>834</v>
      </c>
      <c r="H488" t="str">
        <f t="shared" ca="1" si="53"/>
        <v>Active</v>
      </c>
      <c r="I488">
        <f t="shared" ca="1" si="54"/>
        <v>0</v>
      </c>
      <c r="J488" t="str">
        <f t="shared" si="55"/>
        <v>Environmental</v>
      </c>
    </row>
    <row r="489" spans="1:10">
      <c r="A489" t="str" cm="1">
        <f t="array" ref="A489">INDEX(Vendor_Master!$A$2:$A$401, ROUNDUP((ROW()-1)/4, 0))</f>
        <v>VND-122</v>
      </c>
      <c r="B489" t="str">
        <f t="shared" si="49"/>
        <v>Sustainability Disclosure</v>
      </c>
      <c r="C489" t="str">
        <f t="shared" si="50"/>
        <v>Yes</v>
      </c>
      <c r="D489" t="str">
        <f t="shared" si="51"/>
        <v>Yes</v>
      </c>
      <c r="E489" s="1">
        <v>45608</v>
      </c>
      <c r="F489" s="1">
        <v>46444</v>
      </c>
      <c r="G489">
        <f t="shared" ca="1" si="52"/>
        <v>361</v>
      </c>
      <c r="H489" t="str">
        <f t="shared" ca="1" si="53"/>
        <v>Active</v>
      </c>
      <c r="I489">
        <f t="shared" ca="1" si="54"/>
        <v>0</v>
      </c>
      <c r="J489" t="str">
        <f t="shared" si="55"/>
        <v>Environmental</v>
      </c>
    </row>
    <row r="490" spans="1:10">
      <c r="A490" t="str" cm="1">
        <f t="array" ref="A490">INDEX(Vendor_Master!$A$2:$A$401, ROUNDUP((ROW()-1)/4, 0))</f>
        <v>VND-123</v>
      </c>
      <c r="B490" t="str">
        <f t="shared" si="49"/>
        <v>ISO 14001</v>
      </c>
      <c r="C490" t="str">
        <f t="shared" si="50"/>
        <v>Yes</v>
      </c>
      <c r="D490" t="str">
        <f t="shared" si="51"/>
        <v>Yes</v>
      </c>
      <c r="E490" s="1">
        <v>45430</v>
      </c>
      <c r="F490" s="1">
        <v>46814</v>
      </c>
      <c r="G490">
        <f t="shared" ca="1" si="52"/>
        <v>731</v>
      </c>
      <c r="H490" t="str">
        <f t="shared" ca="1" si="53"/>
        <v>Active</v>
      </c>
      <c r="I490">
        <f t="shared" ca="1" si="54"/>
        <v>0</v>
      </c>
      <c r="J490" t="str">
        <f t="shared" si="55"/>
        <v>Environmental</v>
      </c>
    </row>
    <row r="491" spans="1:10">
      <c r="A491" t="str" cm="1">
        <f t="array" ref="A491">INDEX(Vendor_Master!$A$2:$A$401, ROUNDUP((ROW()-1)/4, 0))</f>
        <v>VND-123</v>
      </c>
      <c r="B491" t="str">
        <f t="shared" si="49"/>
        <v>Safety Certificate</v>
      </c>
      <c r="C491" t="str">
        <f t="shared" si="50"/>
        <v>Yes</v>
      </c>
      <c r="D491" t="str">
        <f t="shared" si="51"/>
        <v>Yes</v>
      </c>
      <c r="E491" s="1">
        <v>45643</v>
      </c>
      <c r="F491" s="1">
        <v>46288</v>
      </c>
      <c r="G491">
        <f t="shared" ca="1" si="52"/>
        <v>205</v>
      </c>
      <c r="H491" t="str">
        <f t="shared" ca="1" si="53"/>
        <v>Active</v>
      </c>
      <c r="I491">
        <f t="shared" ca="1" si="54"/>
        <v>0</v>
      </c>
      <c r="J491" t="str">
        <f t="shared" si="55"/>
        <v>Safety</v>
      </c>
    </row>
    <row r="492" spans="1:10">
      <c r="A492" t="str" cm="1">
        <f t="array" ref="A492">INDEX(Vendor_Master!$A$2:$A$401, ROUNDUP((ROW()-1)/4, 0))</f>
        <v>VND-123</v>
      </c>
      <c r="B492" t="str">
        <f t="shared" si="49"/>
        <v>Environmental Policy</v>
      </c>
      <c r="C492" t="str">
        <f t="shared" si="50"/>
        <v>Yes</v>
      </c>
      <c r="D492" t="str">
        <f t="shared" si="51"/>
        <v>Yes</v>
      </c>
      <c r="E492" s="1">
        <v>45445</v>
      </c>
      <c r="F492" s="1">
        <v>46567</v>
      </c>
      <c r="G492">
        <f t="shared" ca="1" si="52"/>
        <v>484</v>
      </c>
      <c r="H492" t="str">
        <f t="shared" ca="1" si="53"/>
        <v>Active</v>
      </c>
      <c r="I492">
        <f t="shared" ca="1" si="54"/>
        <v>0</v>
      </c>
      <c r="J492" t="str">
        <f t="shared" si="55"/>
        <v>Environmental</v>
      </c>
    </row>
    <row r="493" spans="1:10">
      <c r="A493" t="str" cm="1">
        <f t="array" ref="A493">INDEX(Vendor_Master!$A$2:$A$401, ROUNDUP((ROW()-1)/4, 0))</f>
        <v>VND-123</v>
      </c>
      <c r="B493" t="str">
        <f t="shared" si="49"/>
        <v>Sustainability Disclosure</v>
      </c>
      <c r="C493" t="str">
        <f t="shared" si="50"/>
        <v>Yes</v>
      </c>
      <c r="D493" t="str">
        <f t="shared" si="51"/>
        <v>Yes</v>
      </c>
      <c r="E493" s="1">
        <v>45565</v>
      </c>
      <c r="F493" s="1">
        <v>46269</v>
      </c>
      <c r="G493">
        <f t="shared" ca="1" si="52"/>
        <v>186</v>
      </c>
      <c r="H493" t="str">
        <f t="shared" ca="1" si="53"/>
        <v>Active</v>
      </c>
      <c r="I493">
        <f t="shared" ca="1" si="54"/>
        <v>0</v>
      </c>
      <c r="J493" t="str">
        <f t="shared" si="55"/>
        <v>Environmental</v>
      </c>
    </row>
    <row r="494" spans="1:10">
      <c r="A494" t="str" cm="1">
        <f t="array" ref="A494">INDEX(Vendor_Master!$A$2:$A$401, ROUNDUP((ROW()-1)/4, 0))</f>
        <v>VND-124</v>
      </c>
      <c r="B494" t="str">
        <f t="shared" si="49"/>
        <v>ISO 14001</v>
      </c>
      <c r="C494" t="str">
        <f t="shared" si="50"/>
        <v>Yes</v>
      </c>
      <c r="D494" t="str">
        <f t="shared" si="51"/>
        <v>Yes</v>
      </c>
      <c r="E494" s="1">
        <v>45920</v>
      </c>
      <c r="F494" s="1">
        <v>46371</v>
      </c>
      <c r="G494">
        <f t="shared" ca="1" si="52"/>
        <v>288</v>
      </c>
      <c r="H494" t="str">
        <f t="shared" ca="1" si="53"/>
        <v>Active</v>
      </c>
      <c r="I494">
        <f t="shared" ca="1" si="54"/>
        <v>0</v>
      </c>
      <c r="J494" t="str">
        <f t="shared" si="55"/>
        <v>Environmental</v>
      </c>
    </row>
    <row r="495" spans="1:10">
      <c r="A495" t="str" cm="1">
        <f t="array" ref="A495">INDEX(Vendor_Master!$A$2:$A$401, ROUNDUP((ROW()-1)/4, 0))</f>
        <v>VND-124</v>
      </c>
      <c r="B495" t="str">
        <f t="shared" si="49"/>
        <v>Safety Certificate</v>
      </c>
      <c r="C495" t="str">
        <f t="shared" si="50"/>
        <v>Yes</v>
      </c>
      <c r="D495" t="str">
        <f t="shared" si="51"/>
        <v>Yes</v>
      </c>
      <c r="E495" s="1">
        <v>45596</v>
      </c>
      <c r="F495" s="1">
        <v>46235</v>
      </c>
      <c r="G495">
        <f t="shared" ca="1" si="52"/>
        <v>152</v>
      </c>
      <c r="H495" t="str">
        <f t="shared" ca="1" si="53"/>
        <v>Active</v>
      </c>
      <c r="I495">
        <f t="shared" ca="1" si="54"/>
        <v>0</v>
      </c>
      <c r="J495" t="str">
        <f t="shared" si="55"/>
        <v>Safety</v>
      </c>
    </row>
    <row r="496" spans="1:10">
      <c r="A496" t="str" cm="1">
        <f t="array" ref="A496">INDEX(Vendor_Master!$A$2:$A$401, ROUNDUP((ROW()-1)/4, 0))</f>
        <v>VND-124</v>
      </c>
      <c r="B496" t="str">
        <f t="shared" si="49"/>
        <v>Environmental Policy</v>
      </c>
      <c r="C496" t="str">
        <f t="shared" si="50"/>
        <v>Yes</v>
      </c>
      <c r="D496" t="str">
        <f t="shared" si="51"/>
        <v>Yes</v>
      </c>
      <c r="E496" s="1">
        <v>45685</v>
      </c>
      <c r="F496" s="1">
        <v>46362</v>
      </c>
      <c r="G496">
        <f t="shared" ca="1" si="52"/>
        <v>279</v>
      </c>
      <c r="H496" t="str">
        <f t="shared" ca="1" si="53"/>
        <v>Active</v>
      </c>
      <c r="I496">
        <f t="shared" ca="1" si="54"/>
        <v>0</v>
      </c>
      <c r="J496" t="str">
        <f t="shared" si="55"/>
        <v>Environmental</v>
      </c>
    </row>
    <row r="497" spans="1:10">
      <c r="A497" t="str" cm="1">
        <f t="array" ref="A497">INDEX(Vendor_Master!$A$2:$A$401, ROUNDUP((ROW()-1)/4, 0))</f>
        <v>VND-124</v>
      </c>
      <c r="B497" t="str">
        <f t="shared" si="49"/>
        <v>Sustainability Disclosure</v>
      </c>
      <c r="C497" t="str">
        <f t="shared" si="50"/>
        <v>Yes</v>
      </c>
      <c r="D497" t="str">
        <f t="shared" si="51"/>
        <v>Yes</v>
      </c>
      <c r="E497" s="1">
        <v>45731</v>
      </c>
      <c r="F497" s="1">
        <v>46777</v>
      </c>
      <c r="G497">
        <f t="shared" ca="1" si="52"/>
        <v>694</v>
      </c>
      <c r="H497" t="str">
        <f t="shared" ca="1" si="53"/>
        <v>Active</v>
      </c>
      <c r="I497">
        <f t="shared" ca="1" si="54"/>
        <v>0</v>
      </c>
      <c r="J497" t="str">
        <f t="shared" si="55"/>
        <v>Environmental</v>
      </c>
    </row>
    <row r="498" spans="1:10">
      <c r="A498" t="str" cm="1">
        <f t="array" ref="A498">INDEX(Vendor_Master!$A$2:$A$401, ROUNDUP((ROW()-1)/4, 0))</f>
        <v>VND-125</v>
      </c>
      <c r="B498" t="str">
        <f t="shared" si="49"/>
        <v>ISO 14001</v>
      </c>
      <c r="C498" t="str">
        <f t="shared" si="50"/>
        <v>Yes</v>
      </c>
      <c r="D498" t="str">
        <f t="shared" si="51"/>
        <v>Yes</v>
      </c>
      <c r="E498" s="1">
        <v>45532</v>
      </c>
      <c r="F498" s="1">
        <v>46423</v>
      </c>
      <c r="G498">
        <f t="shared" ca="1" si="52"/>
        <v>340</v>
      </c>
      <c r="H498" t="str">
        <f t="shared" ca="1" si="53"/>
        <v>Active</v>
      </c>
      <c r="I498">
        <f t="shared" ca="1" si="54"/>
        <v>0</v>
      </c>
      <c r="J498" t="str">
        <f t="shared" si="55"/>
        <v>Environmental</v>
      </c>
    </row>
    <row r="499" spans="1:10">
      <c r="A499" t="str" cm="1">
        <f t="array" ref="A499">INDEX(Vendor_Master!$A$2:$A$401, ROUNDUP((ROW()-1)/4, 0))</f>
        <v>VND-125</v>
      </c>
      <c r="B499" t="str">
        <f t="shared" si="49"/>
        <v>Safety Certificate</v>
      </c>
      <c r="C499" t="str">
        <f t="shared" si="50"/>
        <v>Yes</v>
      </c>
      <c r="D499" t="str">
        <f t="shared" si="51"/>
        <v>Yes</v>
      </c>
      <c r="E499" s="1">
        <v>45811</v>
      </c>
      <c r="F499" s="1">
        <v>46550</v>
      </c>
      <c r="G499">
        <f t="shared" ca="1" si="52"/>
        <v>467</v>
      </c>
      <c r="H499" t="str">
        <f t="shared" ca="1" si="53"/>
        <v>Active</v>
      </c>
      <c r="I499">
        <f t="shared" ca="1" si="54"/>
        <v>0</v>
      </c>
      <c r="J499" t="str">
        <f t="shared" si="55"/>
        <v>Safety</v>
      </c>
    </row>
    <row r="500" spans="1:10">
      <c r="A500" t="str" cm="1">
        <f t="array" ref="A500">INDEX(Vendor_Master!$A$2:$A$401, ROUNDUP((ROW()-1)/4, 0))</f>
        <v>VND-125</v>
      </c>
      <c r="B500" t="str">
        <f t="shared" si="49"/>
        <v>Environmental Policy</v>
      </c>
      <c r="C500" t="str">
        <f t="shared" si="50"/>
        <v>Yes</v>
      </c>
      <c r="D500" t="str">
        <f t="shared" si="51"/>
        <v>Yes</v>
      </c>
      <c r="E500" s="1">
        <v>45386</v>
      </c>
      <c r="F500" s="1">
        <v>46794</v>
      </c>
      <c r="G500">
        <f t="shared" ca="1" si="52"/>
        <v>711</v>
      </c>
      <c r="H500" t="str">
        <f t="shared" ca="1" si="53"/>
        <v>Active</v>
      </c>
      <c r="I500">
        <f t="shared" ca="1" si="54"/>
        <v>0</v>
      </c>
      <c r="J500" t="str">
        <f t="shared" si="55"/>
        <v>Environmental</v>
      </c>
    </row>
    <row r="501" spans="1:10">
      <c r="A501" t="str" cm="1">
        <f t="array" ref="A501">INDEX(Vendor_Master!$A$2:$A$401, ROUNDUP((ROW()-1)/4, 0))</f>
        <v>VND-125</v>
      </c>
      <c r="B501" t="str">
        <f t="shared" si="49"/>
        <v>Sustainability Disclosure</v>
      </c>
      <c r="C501" t="str">
        <f t="shared" si="50"/>
        <v>Yes</v>
      </c>
      <c r="D501" t="str">
        <f t="shared" si="51"/>
        <v>Yes</v>
      </c>
      <c r="E501" s="1">
        <v>45519</v>
      </c>
      <c r="F501" s="1">
        <v>46260</v>
      </c>
      <c r="G501">
        <f t="shared" ca="1" si="52"/>
        <v>177</v>
      </c>
      <c r="H501" t="str">
        <f t="shared" ca="1" si="53"/>
        <v>Active</v>
      </c>
      <c r="I501">
        <f t="shared" ca="1" si="54"/>
        <v>0</v>
      </c>
      <c r="J501" t="str">
        <f t="shared" si="55"/>
        <v>Environmental</v>
      </c>
    </row>
    <row r="502" spans="1:10">
      <c r="A502" t="str" cm="1">
        <f t="array" ref="A502">INDEX(Vendor_Master!$A$2:$A$401, ROUNDUP((ROW()-1)/4, 0))</f>
        <v>VND-126</v>
      </c>
      <c r="B502" t="str">
        <f t="shared" si="49"/>
        <v>ISO 14001</v>
      </c>
      <c r="C502" t="str">
        <f t="shared" si="50"/>
        <v>Yes</v>
      </c>
      <c r="D502" t="str">
        <f t="shared" si="51"/>
        <v>Yes</v>
      </c>
      <c r="E502" s="1">
        <v>45394</v>
      </c>
      <c r="F502" s="1">
        <v>46543</v>
      </c>
      <c r="G502">
        <f t="shared" ca="1" si="52"/>
        <v>460</v>
      </c>
      <c r="H502" t="str">
        <f t="shared" ca="1" si="53"/>
        <v>Active</v>
      </c>
      <c r="I502">
        <f t="shared" ca="1" si="54"/>
        <v>0</v>
      </c>
      <c r="J502" t="str">
        <f t="shared" si="55"/>
        <v>Environmental</v>
      </c>
    </row>
    <row r="503" spans="1:10">
      <c r="A503" t="str" cm="1">
        <f t="array" ref="A503">INDEX(Vendor_Master!$A$2:$A$401, ROUNDUP((ROW()-1)/4, 0))</f>
        <v>VND-126</v>
      </c>
      <c r="B503" t="str">
        <f t="shared" si="49"/>
        <v>Safety Certificate</v>
      </c>
      <c r="C503" t="str">
        <f t="shared" si="50"/>
        <v>Yes</v>
      </c>
      <c r="D503" t="str">
        <f t="shared" si="51"/>
        <v>Yes</v>
      </c>
      <c r="E503" s="1">
        <v>45829</v>
      </c>
      <c r="F503" s="1">
        <v>46963</v>
      </c>
      <c r="G503">
        <f t="shared" ca="1" si="52"/>
        <v>880</v>
      </c>
      <c r="H503" t="str">
        <f t="shared" ca="1" si="53"/>
        <v>Active</v>
      </c>
      <c r="I503">
        <f t="shared" ca="1" si="54"/>
        <v>0</v>
      </c>
      <c r="J503" t="str">
        <f t="shared" si="55"/>
        <v>Safety</v>
      </c>
    </row>
    <row r="504" spans="1:10">
      <c r="A504" t="str" cm="1">
        <f t="array" ref="A504">INDEX(Vendor_Master!$A$2:$A$401, ROUNDUP((ROW()-1)/4, 0))</f>
        <v>VND-126</v>
      </c>
      <c r="B504" t="str">
        <f t="shared" si="49"/>
        <v>Environmental Policy</v>
      </c>
      <c r="C504" t="str">
        <f t="shared" si="50"/>
        <v>Yes</v>
      </c>
      <c r="D504" t="str">
        <f t="shared" si="51"/>
        <v>Yes</v>
      </c>
      <c r="E504" s="1">
        <v>45954</v>
      </c>
      <c r="F504" s="1">
        <v>46411</v>
      </c>
      <c r="G504">
        <f t="shared" ca="1" si="52"/>
        <v>328</v>
      </c>
      <c r="H504" t="str">
        <f t="shared" ca="1" si="53"/>
        <v>Active</v>
      </c>
      <c r="I504">
        <f t="shared" ca="1" si="54"/>
        <v>0</v>
      </c>
      <c r="J504" t="str">
        <f t="shared" si="55"/>
        <v>Environmental</v>
      </c>
    </row>
    <row r="505" spans="1:10">
      <c r="A505" t="str" cm="1">
        <f t="array" ref="A505">INDEX(Vendor_Master!$A$2:$A$401, ROUNDUP((ROW()-1)/4, 0))</f>
        <v>VND-126</v>
      </c>
      <c r="B505" t="str">
        <f t="shared" si="49"/>
        <v>Sustainability Disclosure</v>
      </c>
      <c r="C505" t="str">
        <f t="shared" si="50"/>
        <v>Yes</v>
      </c>
      <c r="D505" t="str">
        <f t="shared" si="51"/>
        <v>Yes</v>
      </c>
      <c r="E505" s="1">
        <v>45924</v>
      </c>
      <c r="F505" s="1">
        <v>46683</v>
      </c>
      <c r="G505">
        <f t="shared" ca="1" si="52"/>
        <v>600</v>
      </c>
      <c r="H505" t="str">
        <f t="shared" ca="1" si="53"/>
        <v>Active</v>
      </c>
      <c r="I505">
        <f t="shared" ca="1" si="54"/>
        <v>0</v>
      </c>
      <c r="J505" t="str">
        <f t="shared" si="55"/>
        <v>Environmental</v>
      </c>
    </row>
    <row r="506" spans="1:10">
      <c r="A506" t="str" cm="1">
        <f t="array" ref="A506">INDEX(Vendor_Master!$A$2:$A$401, ROUNDUP((ROW()-1)/4, 0))</f>
        <v>VND-127</v>
      </c>
      <c r="B506" t="str">
        <f t="shared" si="49"/>
        <v>ISO 14001</v>
      </c>
      <c r="C506" t="str">
        <f t="shared" si="50"/>
        <v>Yes</v>
      </c>
      <c r="D506" t="str">
        <f t="shared" si="51"/>
        <v>Yes</v>
      </c>
      <c r="E506" s="1">
        <v>45534</v>
      </c>
      <c r="F506" s="1">
        <v>46845</v>
      </c>
      <c r="G506">
        <f t="shared" ca="1" si="52"/>
        <v>762</v>
      </c>
      <c r="H506" t="str">
        <f t="shared" ca="1" si="53"/>
        <v>Active</v>
      </c>
      <c r="I506">
        <f t="shared" ca="1" si="54"/>
        <v>0</v>
      </c>
      <c r="J506" t="str">
        <f t="shared" si="55"/>
        <v>Environmental</v>
      </c>
    </row>
    <row r="507" spans="1:10">
      <c r="A507" t="str" cm="1">
        <f t="array" ref="A507">INDEX(Vendor_Master!$A$2:$A$401, ROUNDUP((ROW()-1)/4, 0))</f>
        <v>VND-127</v>
      </c>
      <c r="B507" t="str">
        <f t="shared" si="49"/>
        <v>Safety Certificate</v>
      </c>
      <c r="C507" t="str">
        <f t="shared" si="50"/>
        <v>Yes</v>
      </c>
      <c r="D507" t="str">
        <f t="shared" si="51"/>
        <v>Yes</v>
      </c>
      <c r="E507" s="1">
        <v>45824</v>
      </c>
      <c r="F507" s="1">
        <v>46771</v>
      </c>
      <c r="G507">
        <f t="shared" ca="1" si="52"/>
        <v>688</v>
      </c>
      <c r="H507" t="str">
        <f t="shared" ca="1" si="53"/>
        <v>Active</v>
      </c>
      <c r="I507">
        <f t="shared" ca="1" si="54"/>
        <v>0</v>
      </c>
      <c r="J507" t="str">
        <f t="shared" si="55"/>
        <v>Safety</v>
      </c>
    </row>
    <row r="508" spans="1:10">
      <c r="A508" t="str" cm="1">
        <f t="array" ref="A508">INDEX(Vendor_Master!$A$2:$A$401, ROUNDUP((ROW()-1)/4, 0))</f>
        <v>VND-127</v>
      </c>
      <c r="B508" t="str">
        <f t="shared" si="49"/>
        <v>Environmental Policy</v>
      </c>
      <c r="C508" t="str">
        <f t="shared" si="50"/>
        <v>Yes</v>
      </c>
      <c r="D508" t="str">
        <f t="shared" si="51"/>
        <v>Yes</v>
      </c>
      <c r="E508" s="1">
        <v>46060</v>
      </c>
      <c r="F508" s="1">
        <v>46981</v>
      </c>
      <c r="G508">
        <f t="shared" ca="1" si="52"/>
        <v>898</v>
      </c>
      <c r="H508" t="str">
        <f t="shared" ca="1" si="53"/>
        <v>Active</v>
      </c>
      <c r="I508">
        <f t="shared" ca="1" si="54"/>
        <v>0</v>
      </c>
      <c r="J508" t="str">
        <f t="shared" si="55"/>
        <v>Environmental</v>
      </c>
    </row>
    <row r="509" spans="1:10">
      <c r="A509" t="str" cm="1">
        <f t="array" ref="A509">INDEX(Vendor_Master!$A$2:$A$401, ROUNDUP((ROW()-1)/4, 0))</f>
        <v>VND-127</v>
      </c>
      <c r="B509" t="str">
        <f t="shared" si="49"/>
        <v>Sustainability Disclosure</v>
      </c>
      <c r="C509" t="str">
        <f t="shared" si="50"/>
        <v>Yes</v>
      </c>
      <c r="D509" t="str">
        <f t="shared" si="51"/>
        <v>Yes</v>
      </c>
      <c r="E509" s="1">
        <v>45556</v>
      </c>
      <c r="F509" s="1">
        <v>46534</v>
      </c>
      <c r="G509">
        <f t="shared" ca="1" si="52"/>
        <v>451</v>
      </c>
      <c r="H509" t="str">
        <f t="shared" ca="1" si="53"/>
        <v>Active</v>
      </c>
      <c r="I509">
        <f t="shared" ca="1" si="54"/>
        <v>0</v>
      </c>
      <c r="J509" t="str">
        <f t="shared" si="55"/>
        <v>Environmental</v>
      </c>
    </row>
    <row r="510" spans="1:10">
      <c r="A510" t="str" cm="1">
        <f t="array" ref="A510">INDEX(Vendor_Master!$A$2:$A$401, ROUNDUP((ROW()-1)/4, 0))</f>
        <v>VND-128</v>
      </c>
      <c r="B510" t="str">
        <f t="shared" si="49"/>
        <v>ISO 14001</v>
      </c>
      <c r="C510" t="str">
        <f t="shared" si="50"/>
        <v>Yes</v>
      </c>
      <c r="D510" t="str">
        <f t="shared" si="51"/>
        <v>Yes</v>
      </c>
      <c r="E510" s="1">
        <v>45605</v>
      </c>
      <c r="F510" s="1">
        <v>46871</v>
      </c>
      <c r="G510">
        <f t="shared" ca="1" si="52"/>
        <v>788</v>
      </c>
      <c r="H510" t="str">
        <f t="shared" ca="1" si="53"/>
        <v>Active</v>
      </c>
      <c r="I510">
        <f t="shared" ca="1" si="54"/>
        <v>0</v>
      </c>
      <c r="J510" t="str">
        <f t="shared" si="55"/>
        <v>Environmental</v>
      </c>
    </row>
    <row r="511" spans="1:10">
      <c r="A511" t="str" cm="1">
        <f t="array" ref="A511">INDEX(Vendor_Master!$A$2:$A$401, ROUNDUP((ROW()-1)/4, 0))</f>
        <v>VND-128</v>
      </c>
      <c r="B511" t="str">
        <f t="shared" si="49"/>
        <v>Safety Certificate</v>
      </c>
      <c r="C511" t="str">
        <f t="shared" si="50"/>
        <v>Yes</v>
      </c>
      <c r="D511" t="str">
        <f t="shared" si="51"/>
        <v>Yes</v>
      </c>
      <c r="E511" s="1">
        <v>45918</v>
      </c>
      <c r="F511" s="1">
        <v>46203</v>
      </c>
      <c r="G511">
        <f t="shared" ca="1" si="52"/>
        <v>120</v>
      </c>
      <c r="H511" t="str">
        <f t="shared" ca="1" si="53"/>
        <v>Active</v>
      </c>
      <c r="I511">
        <f t="shared" ca="1" si="54"/>
        <v>0</v>
      </c>
      <c r="J511" t="str">
        <f t="shared" si="55"/>
        <v>Safety</v>
      </c>
    </row>
    <row r="512" spans="1:10">
      <c r="A512" t="str" cm="1">
        <f t="array" ref="A512">INDEX(Vendor_Master!$A$2:$A$401, ROUNDUP((ROW()-1)/4, 0))</f>
        <v>VND-128</v>
      </c>
      <c r="B512" t="str">
        <f t="shared" si="49"/>
        <v>Environmental Policy</v>
      </c>
      <c r="C512" t="str">
        <f t="shared" si="50"/>
        <v>Yes</v>
      </c>
      <c r="D512" t="str">
        <f t="shared" si="51"/>
        <v>Yes</v>
      </c>
      <c r="E512" s="1">
        <v>45639</v>
      </c>
      <c r="F512" s="1">
        <v>46969</v>
      </c>
      <c r="G512">
        <f t="shared" ca="1" si="52"/>
        <v>886</v>
      </c>
      <c r="H512" t="str">
        <f t="shared" ca="1" si="53"/>
        <v>Active</v>
      </c>
      <c r="I512">
        <f t="shared" ca="1" si="54"/>
        <v>0</v>
      </c>
      <c r="J512" t="str">
        <f t="shared" si="55"/>
        <v>Environmental</v>
      </c>
    </row>
    <row r="513" spans="1:10">
      <c r="A513" t="str" cm="1">
        <f t="array" ref="A513">INDEX(Vendor_Master!$A$2:$A$401, ROUNDUP((ROW()-1)/4, 0))</f>
        <v>VND-128</v>
      </c>
      <c r="B513" t="str">
        <f t="shared" si="49"/>
        <v>Sustainability Disclosure</v>
      </c>
      <c r="C513" t="str">
        <f t="shared" si="50"/>
        <v>Yes</v>
      </c>
      <c r="D513" t="str">
        <f t="shared" si="51"/>
        <v>Yes</v>
      </c>
      <c r="E513" s="1">
        <v>45906</v>
      </c>
      <c r="F513" s="1">
        <v>46855</v>
      </c>
      <c r="G513">
        <f t="shared" ca="1" si="52"/>
        <v>772</v>
      </c>
      <c r="H513" t="str">
        <f t="shared" ca="1" si="53"/>
        <v>Active</v>
      </c>
      <c r="I513">
        <f t="shared" ca="1" si="54"/>
        <v>0</v>
      </c>
      <c r="J513" t="str">
        <f t="shared" si="55"/>
        <v>Environmental</v>
      </c>
    </row>
    <row r="514" spans="1:10">
      <c r="A514" t="str" cm="1">
        <f t="array" ref="A514">INDEX(Vendor_Master!$A$2:$A$401, ROUNDUP((ROW()-1)/4, 0))</f>
        <v>VND-129</v>
      </c>
      <c r="B514" t="str">
        <f t="shared" si="49"/>
        <v>ISO 14001</v>
      </c>
      <c r="C514" t="str">
        <f t="shared" si="50"/>
        <v>Yes</v>
      </c>
      <c r="D514" t="str">
        <f t="shared" si="51"/>
        <v>Yes</v>
      </c>
      <c r="E514" s="1">
        <v>46055</v>
      </c>
      <c r="F514" s="1">
        <v>46704</v>
      </c>
      <c r="G514">
        <f t="shared" ca="1" si="52"/>
        <v>621</v>
      </c>
      <c r="H514" t="str">
        <f t="shared" ca="1" si="53"/>
        <v>Active</v>
      </c>
      <c r="I514">
        <f t="shared" ca="1" si="54"/>
        <v>0</v>
      </c>
      <c r="J514" t="str">
        <f t="shared" si="55"/>
        <v>Environmental</v>
      </c>
    </row>
    <row r="515" spans="1:10">
      <c r="A515" t="str" cm="1">
        <f t="array" ref="A515">INDEX(Vendor_Master!$A$2:$A$401, ROUNDUP((ROW()-1)/4, 0))</f>
        <v>VND-129</v>
      </c>
      <c r="B515" t="str">
        <f t="shared" ref="B515:B578" si="56">CHOOSE(MOD(ROW()-2,4)+1,"ISO 14001","Safety Certificate","Environmental Policy","Sustainability Disclosure")</f>
        <v>Safety Certificate</v>
      </c>
      <c r="C515" t="str">
        <f t="shared" ref="C515:C578" si="57">"Yes"</f>
        <v>Yes</v>
      </c>
      <c r="D515" t="str">
        <f t="shared" ref="D515:D578" si="58">IF(ROW()-1&lt;=1280,"Yes","No")</f>
        <v>Yes</v>
      </c>
      <c r="E515" s="1">
        <v>45873</v>
      </c>
      <c r="F515" s="1">
        <v>46660</v>
      </c>
      <c r="G515">
        <f t="shared" ref="G515:G578" ca="1" si="59">IF($F515="","",$F515-TODAY())</f>
        <v>577</v>
      </c>
      <c r="H515" t="str">
        <f t="shared" ref="H515:H578" ca="1" si="60">IF($C515="No","Not Required",
IF($D515="No","Missing",
IF($F515&lt;TODAY(),"Expired",
IF($F515&lt;=TODAY()+30,"Expiring Soon","Active"))))</f>
        <v>Active</v>
      </c>
      <c r="I515">
        <f t="shared" ref="I515:I578" ca="1" si="61">IF(OR($H515="Missing",$H515="Expired",$H515="Expiring Soon"),1,0)</f>
        <v>0</v>
      </c>
      <c r="J515" t="str">
        <f t="shared" ref="J515:J578" si="62">IF(B515="ISO 14001","Environmental",
 IF(B515="Environmental Policy","Environmental",
 IF(B515="Sustainability Disclosure","Environmental",
 IF(B515="Safety Certificate","Safety","Regulatory"))))</f>
        <v>Safety</v>
      </c>
    </row>
    <row r="516" spans="1:10">
      <c r="A516" t="str" cm="1">
        <f t="array" ref="A516">INDEX(Vendor_Master!$A$2:$A$401, ROUNDUP((ROW()-1)/4, 0))</f>
        <v>VND-129</v>
      </c>
      <c r="B516" t="str">
        <f t="shared" si="56"/>
        <v>Environmental Policy</v>
      </c>
      <c r="C516" t="str">
        <f t="shared" si="57"/>
        <v>Yes</v>
      </c>
      <c r="D516" t="str">
        <f t="shared" si="58"/>
        <v>Yes</v>
      </c>
      <c r="E516" s="1">
        <v>45497</v>
      </c>
      <c r="F516" s="1">
        <v>46223</v>
      </c>
      <c r="G516">
        <f t="shared" ca="1" si="59"/>
        <v>140</v>
      </c>
      <c r="H516" t="str">
        <f t="shared" ca="1" si="60"/>
        <v>Active</v>
      </c>
      <c r="I516">
        <f t="shared" ca="1" si="61"/>
        <v>0</v>
      </c>
      <c r="J516" t="str">
        <f t="shared" si="62"/>
        <v>Environmental</v>
      </c>
    </row>
    <row r="517" spans="1:10">
      <c r="A517" t="str" cm="1">
        <f t="array" ref="A517">INDEX(Vendor_Master!$A$2:$A$401, ROUNDUP((ROW()-1)/4, 0))</f>
        <v>VND-129</v>
      </c>
      <c r="B517" t="str">
        <f t="shared" si="56"/>
        <v>Sustainability Disclosure</v>
      </c>
      <c r="C517" t="str">
        <f t="shared" si="57"/>
        <v>Yes</v>
      </c>
      <c r="D517" t="str">
        <f t="shared" si="58"/>
        <v>Yes</v>
      </c>
      <c r="E517" s="1">
        <v>45619</v>
      </c>
      <c r="F517" s="1">
        <v>46704</v>
      </c>
      <c r="G517">
        <f t="shared" ca="1" si="59"/>
        <v>621</v>
      </c>
      <c r="H517" t="str">
        <f t="shared" ca="1" si="60"/>
        <v>Active</v>
      </c>
      <c r="I517">
        <f t="shared" ca="1" si="61"/>
        <v>0</v>
      </c>
      <c r="J517" t="str">
        <f t="shared" si="62"/>
        <v>Environmental</v>
      </c>
    </row>
    <row r="518" spans="1:10">
      <c r="A518" t="str" cm="1">
        <f t="array" ref="A518">INDEX(Vendor_Master!$A$2:$A$401, ROUNDUP((ROW()-1)/4, 0))</f>
        <v>VND-130</v>
      </c>
      <c r="B518" t="str">
        <f t="shared" si="56"/>
        <v>ISO 14001</v>
      </c>
      <c r="C518" t="str">
        <f t="shared" si="57"/>
        <v>Yes</v>
      </c>
      <c r="D518" t="str">
        <f t="shared" si="58"/>
        <v>Yes</v>
      </c>
      <c r="E518" s="1">
        <v>45777</v>
      </c>
      <c r="F518" s="1">
        <v>46707</v>
      </c>
      <c r="G518">
        <f t="shared" ca="1" si="59"/>
        <v>624</v>
      </c>
      <c r="H518" t="str">
        <f t="shared" ca="1" si="60"/>
        <v>Active</v>
      </c>
      <c r="I518">
        <f t="shared" ca="1" si="61"/>
        <v>0</v>
      </c>
      <c r="J518" t="str">
        <f t="shared" si="62"/>
        <v>Environmental</v>
      </c>
    </row>
    <row r="519" spans="1:10">
      <c r="A519" t="str" cm="1">
        <f t="array" ref="A519">INDEX(Vendor_Master!$A$2:$A$401, ROUNDUP((ROW()-1)/4, 0))</f>
        <v>VND-130</v>
      </c>
      <c r="B519" t="str">
        <f t="shared" si="56"/>
        <v>Safety Certificate</v>
      </c>
      <c r="C519" t="str">
        <f t="shared" si="57"/>
        <v>Yes</v>
      </c>
      <c r="D519" t="str">
        <f t="shared" si="58"/>
        <v>Yes</v>
      </c>
      <c r="E519" s="1">
        <v>45544</v>
      </c>
      <c r="F519" s="1">
        <v>46829</v>
      </c>
      <c r="G519">
        <f t="shared" ca="1" si="59"/>
        <v>746</v>
      </c>
      <c r="H519" t="str">
        <f t="shared" ca="1" si="60"/>
        <v>Active</v>
      </c>
      <c r="I519">
        <f t="shared" ca="1" si="61"/>
        <v>0</v>
      </c>
      <c r="J519" t="str">
        <f t="shared" si="62"/>
        <v>Safety</v>
      </c>
    </row>
    <row r="520" spans="1:10">
      <c r="A520" t="str" cm="1">
        <f t="array" ref="A520">INDEX(Vendor_Master!$A$2:$A$401, ROUNDUP((ROW()-1)/4, 0))</f>
        <v>VND-130</v>
      </c>
      <c r="B520" t="str">
        <f t="shared" si="56"/>
        <v>Environmental Policy</v>
      </c>
      <c r="C520" t="str">
        <f t="shared" si="57"/>
        <v>Yes</v>
      </c>
      <c r="D520" t="str">
        <f t="shared" si="58"/>
        <v>Yes</v>
      </c>
      <c r="E520" s="1">
        <v>45628</v>
      </c>
      <c r="F520" s="1">
        <v>46893</v>
      </c>
      <c r="G520">
        <f t="shared" ca="1" si="59"/>
        <v>810</v>
      </c>
      <c r="H520" t="str">
        <f t="shared" ca="1" si="60"/>
        <v>Active</v>
      </c>
      <c r="I520">
        <f t="shared" ca="1" si="61"/>
        <v>0</v>
      </c>
      <c r="J520" t="str">
        <f t="shared" si="62"/>
        <v>Environmental</v>
      </c>
    </row>
    <row r="521" spans="1:10">
      <c r="A521" t="str" cm="1">
        <f t="array" ref="A521">INDEX(Vendor_Master!$A$2:$A$401, ROUNDUP((ROW()-1)/4, 0))</f>
        <v>VND-130</v>
      </c>
      <c r="B521" t="str">
        <f t="shared" si="56"/>
        <v>Sustainability Disclosure</v>
      </c>
      <c r="C521" t="str">
        <f t="shared" si="57"/>
        <v>Yes</v>
      </c>
      <c r="D521" t="str">
        <f t="shared" si="58"/>
        <v>Yes</v>
      </c>
      <c r="E521" s="1">
        <v>45661</v>
      </c>
      <c r="F521" s="1">
        <v>46280</v>
      </c>
      <c r="G521">
        <f t="shared" ca="1" si="59"/>
        <v>197</v>
      </c>
      <c r="H521" t="str">
        <f t="shared" ca="1" si="60"/>
        <v>Active</v>
      </c>
      <c r="I521">
        <f t="shared" ca="1" si="61"/>
        <v>0</v>
      </c>
      <c r="J521" t="str">
        <f t="shared" si="62"/>
        <v>Environmental</v>
      </c>
    </row>
    <row r="522" spans="1:10">
      <c r="A522" t="str" cm="1">
        <f t="array" ref="A522">INDEX(Vendor_Master!$A$2:$A$401, ROUNDUP((ROW()-1)/4, 0))</f>
        <v>VND-131</v>
      </c>
      <c r="B522" t="str">
        <f t="shared" si="56"/>
        <v>ISO 14001</v>
      </c>
      <c r="C522" t="str">
        <f t="shared" si="57"/>
        <v>Yes</v>
      </c>
      <c r="D522" t="str">
        <f t="shared" si="58"/>
        <v>Yes</v>
      </c>
      <c r="E522" s="1">
        <v>45876</v>
      </c>
      <c r="F522" s="1">
        <v>46955</v>
      </c>
      <c r="G522">
        <f t="shared" ca="1" si="59"/>
        <v>872</v>
      </c>
      <c r="H522" t="str">
        <f t="shared" ca="1" si="60"/>
        <v>Active</v>
      </c>
      <c r="I522">
        <f t="shared" ca="1" si="61"/>
        <v>0</v>
      </c>
      <c r="J522" t="str">
        <f t="shared" si="62"/>
        <v>Environmental</v>
      </c>
    </row>
    <row r="523" spans="1:10">
      <c r="A523" t="str" cm="1">
        <f t="array" ref="A523">INDEX(Vendor_Master!$A$2:$A$401, ROUNDUP((ROW()-1)/4, 0))</f>
        <v>VND-131</v>
      </c>
      <c r="B523" t="str">
        <f t="shared" si="56"/>
        <v>Safety Certificate</v>
      </c>
      <c r="C523" t="str">
        <f t="shared" si="57"/>
        <v>Yes</v>
      </c>
      <c r="D523" t="str">
        <f t="shared" si="58"/>
        <v>Yes</v>
      </c>
      <c r="E523" s="1">
        <v>45817</v>
      </c>
      <c r="F523" s="1">
        <v>46355</v>
      </c>
      <c r="G523">
        <f t="shared" ca="1" si="59"/>
        <v>272</v>
      </c>
      <c r="H523" t="str">
        <f t="shared" ca="1" si="60"/>
        <v>Active</v>
      </c>
      <c r="I523">
        <f t="shared" ca="1" si="61"/>
        <v>0</v>
      </c>
      <c r="J523" t="str">
        <f t="shared" si="62"/>
        <v>Safety</v>
      </c>
    </row>
    <row r="524" spans="1:10">
      <c r="A524" t="str" cm="1">
        <f t="array" ref="A524">INDEX(Vendor_Master!$A$2:$A$401, ROUNDUP((ROW()-1)/4, 0))</f>
        <v>VND-131</v>
      </c>
      <c r="B524" t="str">
        <f t="shared" si="56"/>
        <v>Environmental Policy</v>
      </c>
      <c r="C524" t="str">
        <f t="shared" si="57"/>
        <v>Yes</v>
      </c>
      <c r="D524" t="str">
        <f t="shared" si="58"/>
        <v>Yes</v>
      </c>
      <c r="E524" s="1">
        <v>45841</v>
      </c>
      <c r="F524" s="1">
        <v>46378</v>
      </c>
      <c r="G524">
        <f t="shared" ca="1" si="59"/>
        <v>295</v>
      </c>
      <c r="H524" t="str">
        <f t="shared" ca="1" si="60"/>
        <v>Active</v>
      </c>
      <c r="I524">
        <f t="shared" ca="1" si="61"/>
        <v>0</v>
      </c>
      <c r="J524" t="str">
        <f t="shared" si="62"/>
        <v>Environmental</v>
      </c>
    </row>
    <row r="525" spans="1:10">
      <c r="A525" t="str" cm="1">
        <f t="array" ref="A525">INDEX(Vendor_Master!$A$2:$A$401, ROUNDUP((ROW()-1)/4, 0))</f>
        <v>VND-131</v>
      </c>
      <c r="B525" t="str">
        <f t="shared" si="56"/>
        <v>Sustainability Disclosure</v>
      </c>
      <c r="C525" t="str">
        <f t="shared" si="57"/>
        <v>Yes</v>
      </c>
      <c r="D525" t="str">
        <f t="shared" si="58"/>
        <v>Yes</v>
      </c>
      <c r="E525" s="1">
        <v>45719</v>
      </c>
      <c r="F525" s="1">
        <v>46646</v>
      </c>
      <c r="G525">
        <f t="shared" ca="1" si="59"/>
        <v>563</v>
      </c>
      <c r="H525" t="str">
        <f t="shared" ca="1" si="60"/>
        <v>Active</v>
      </c>
      <c r="I525">
        <f t="shared" ca="1" si="61"/>
        <v>0</v>
      </c>
      <c r="J525" t="str">
        <f t="shared" si="62"/>
        <v>Environmental</v>
      </c>
    </row>
    <row r="526" spans="1:10">
      <c r="A526" t="str" cm="1">
        <f t="array" ref="A526">INDEX(Vendor_Master!$A$2:$A$401, ROUNDUP((ROW()-1)/4, 0))</f>
        <v>VND-132</v>
      </c>
      <c r="B526" t="str">
        <f t="shared" si="56"/>
        <v>ISO 14001</v>
      </c>
      <c r="C526" t="str">
        <f t="shared" si="57"/>
        <v>Yes</v>
      </c>
      <c r="D526" t="str">
        <f t="shared" si="58"/>
        <v>Yes</v>
      </c>
      <c r="E526" s="1">
        <v>45723</v>
      </c>
      <c r="F526" s="1">
        <v>46794</v>
      </c>
      <c r="G526">
        <f t="shared" ca="1" si="59"/>
        <v>711</v>
      </c>
      <c r="H526" t="str">
        <f t="shared" ca="1" si="60"/>
        <v>Active</v>
      </c>
      <c r="I526">
        <f t="shared" ca="1" si="61"/>
        <v>0</v>
      </c>
      <c r="J526" t="str">
        <f t="shared" si="62"/>
        <v>Environmental</v>
      </c>
    </row>
    <row r="527" spans="1:10">
      <c r="A527" t="str" cm="1">
        <f t="array" ref="A527">INDEX(Vendor_Master!$A$2:$A$401, ROUNDUP((ROW()-1)/4, 0))</f>
        <v>VND-132</v>
      </c>
      <c r="B527" t="str">
        <f t="shared" si="56"/>
        <v>Safety Certificate</v>
      </c>
      <c r="C527" t="str">
        <f t="shared" si="57"/>
        <v>Yes</v>
      </c>
      <c r="D527" t="str">
        <f t="shared" si="58"/>
        <v>Yes</v>
      </c>
      <c r="E527" s="1">
        <v>45544</v>
      </c>
      <c r="F527" s="1">
        <v>46349</v>
      </c>
      <c r="G527">
        <f t="shared" ca="1" si="59"/>
        <v>266</v>
      </c>
      <c r="H527" t="str">
        <f t="shared" ca="1" si="60"/>
        <v>Active</v>
      </c>
      <c r="I527">
        <f t="shared" ca="1" si="61"/>
        <v>0</v>
      </c>
      <c r="J527" t="str">
        <f t="shared" si="62"/>
        <v>Safety</v>
      </c>
    </row>
    <row r="528" spans="1:10">
      <c r="A528" t="str" cm="1">
        <f t="array" ref="A528">INDEX(Vendor_Master!$A$2:$A$401, ROUNDUP((ROW()-1)/4, 0))</f>
        <v>VND-132</v>
      </c>
      <c r="B528" t="str">
        <f t="shared" si="56"/>
        <v>Environmental Policy</v>
      </c>
      <c r="C528" t="str">
        <f t="shared" si="57"/>
        <v>Yes</v>
      </c>
      <c r="D528" t="str">
        <f t="shared" si="58"/>
        <v>Yes</v>
      </c>
      <c r="E528" s="1">
        <v>45597</v>
      </c>
      <c r="F528" s="1">
        <v>46952</v>
      </c>
      <c r="G528">
        <f t="shared" ca="1" si="59"/>
        <v>869</v>
      </c>
      <c r="H528" t="str">
        <f t="shared" ca="1" si="60"/>
        <v>Active</v>
      </c>
      <c r="I528">
        <f t="shared" ca="1" si="61"/>
        <v>0</v>
      </c>
      <c r="J528" t="str">
        <f t="shared" si="62"/>
        <v>Environmental</v>
      </c>
    </row>
    <row r="529" spans="1:10">
      <c r="A529" t="str" cm="1">
        <f t="array" ref="A529">INDEX(Vendor_Master!$A$2:$A$401, ROUNDUP((ROW()-1)/4, 0))</f>
        <v>VND-132</v>
      </c>
      <c r="B529" t="str">
        <f t="shared" si="56"/>
        <v>Sustainability Disclosure</v>
      </c>
      <c r="C529" t="str">
        <f t="shared" si="57"/>
        <v>Yes</v>
      </c>
      <c r="D529" t="str">
        <f t="shared" si="58"/>
        <v>Yes</v>
      </c>
      <c r="E529" s="1">
        <v>45385</v>
      </c>
      <c r="F529" s="1">
        <v>46300</v>
      </c>
      <c r="G529">
        <f t="shared" ca="1" si="59"/>
        <v>217</v>
      </c>
      <c r="H529" t="str">
        <f t="shared" ca="1" si="60"/>
        <v>Active</v>
      </c>
      <c r="I529">
        <f t="shared" ca="1" si="61"/>
        <v>0</v>
      </c>
      <c r="J529" t="str">
        <f t="shared" si="62"/>
        <v>Environmental</v>
      </c>
    </row>
    <row r="530" spans="1:10">
      <c r="A530" t="str" cm="1">
        <f t="array" ref="A530">INDEX(Vendor_Master!$A$2:$A$401, ROUNDUP((ROW()-1)/4, 0))</f>
        <v>VND-133</v>
      </c>
      <c r="B530" t="str">
        <f t="shared" si="56"/>
        <v>ISO 14001</v>
      </c>
      <c r="C530" t="str">
        <f t="shared" si="57"/>
        <v>Yes</v>
      </c>
      <c r="D530" t="str">
        <f t="shared" si="58"/>
        <v>Yes</v>
      </c>
      <c r="E530" s="1">
        <v>45520</v>
      </c>
      <c r="F530" s="1">
        <v>46416</v>
      </c>
      <c r="G530">
        <f t="shared" ca="1" si="59"/>
        <v>333</v>
      </c>
      <c r="H530" t="str">
        <f t="shared" ca="1" si="60"/>
        <v>Active</v>
      </c>
      <c r="I530">
        <f t="shared" ca="1" si="61"/>
        <v>0</v>
      </c>
      <c r="J530" t="str">
        <f t="shared" si="62"/>
        <v>Environmental</v>
      </c>
    </row>
    <row r="531" spans="1:10">
      <c r="A531" t="str" cm="1">
        <f t="array" ref="A531">INDEX(Vendor_Master!$A$2:$A$401, ROUNDUP((ROW()-1)/4, 0))</f>
        <v>VND-133</v>
      </c>
      <c r="B531" t="str">
        <f t="shared" si="56"/>
        <v>Safety Certificate</v>
      </c>
      <c r="C531" t="str">
        <f t="shared" si="57"/>
        <v>Yes</v>
      </c>
      <c r="D531" t="str">
        <f t="shared" si="58"/>
        <v>Yes</v>
      </c>
      <c r="E531" s="1">
        <v>45907</v>
      </c>
      <c r="F531" s="1">
        <v>46548</v>
      </c>
      <c r="G531">
        <f t="shared" ca="1" si="59"/>
        <v>465</v>
      </c>
      <c r="H531" t="str">
        <f t="shared" ca="1" si="60"/>
        <v>Active</v>
      </c>
      <c r="I531">
        <f t="shared" ca="1" si="61"/>
        <v>0</v>
      </c>
      <c r="J531" t="str">
        <f t="shared" si="62"/>
        <v>Safety</v>
      </c>
    </row>
    <row r="532" spans="1:10">
      <c r="A532" t="str" cm="1">
        <f t="array" ref="A532">INDEX(Vendor_Master!$A$2:$A$401, ROUNDUP((ROW()-1)/4, 0))</f>
        <v>VND-133</v>
      </c>
      <c r="B532" t="str">
        <f t="shared" si="56"/>
        <v>Environmental Policy</v>
      </c>
      <c r="C532" t="str">
        <f t="shared" si="57"/>
        <v>Yes</v>
      </c>
      <c r="D532" t="str">
        <f t="shared" si="58"/>
        <v>Yes</v>
      </c>
      <c r="E532" s="1">
        <v>45413</v>
      </c>
      <c r="F532" s="1">
        <v>46648</v>
      </c>
      <c r="G532">
        <f t="shared" ca="1" si="59"/>
        <v>565</v>
      </c>
      <c r="H532" t="str">
        <f t="shared" ca="1" si="60"/>
        <v>Active</v>
      </c>
      <c r="I532">
        <f t="shared" ca="1" si="61"/>
        <v>0</v>
      </c>
      <c r="J532" t="str">
        <f t="shared" si="62"/>
        <v>Environmental</v>
      </c>
    </row>
    <row r="533" spans="1:10">
      <c r="A533" t="str" cm="1">
        <f t="array" ref="A533">INDEX(Vendor_Master!$A$2:$A$401, ROUNDUP((ROW()-1)/4, 0))</f>
        <v>VND-133</v>
      </c>
      <c r="B533" t="str">
        <f t="shared" si="56"/>
        <v>Sustainability Disclosure</v>
      </c>
      <c r="C533" t="str">
        <f t="shared" si="57"/>
        <v>Yes</v>
      </c>
      <c r="D533" t="str">
        <f t="shared" si="58"/>
        <v>Yes</v>
      </c>
      <c r="E533" s="1">
        <v>45847</v>
      </c>
      <c r="F533" s="1">
        <v>46393</v>
      </c>
      <c r="G533">
        <f t="shared" ca="1" si="59"/>
        <v>310</v>
      </c>
      <c r="H533" t="str">
        <f t="shared" ca="1" si="60"/>
        <v>Active</v>
      </c>
      <c r="I533">
        <f t="shared" ca="1" si="61"/>
        <v>0</v>
      </c>
      <c r="J533" t="str">
        <f t="shared" si="62"/>
        <v>Environmental</v>
      </c>
    </row>
    <row r="534" spans="1:10">
      <c r="A534" t="str" cm="1">
        <f t="array" ref="A534">INDEX(Vendor_Master!$A$2:$A$401, ROUNDUP((ROW()-1)/4, 0))</f>
        <v>VND-134</v>
      </c>
      <c r="B534" t="str">
        <f t="shared" si="56"/>
        <v>ISO 14001</v>
      </c>
      <c r="C534" t="str">
        <f t="shared" si="57"/>
        <v>Yes</v>
      </c>
      <c r="D534" t="str">
        <f t="shared" si="58"/>
        <v>Yes</v>
      </c>
      <c r="E534" s="1">
        <v>45795</v>
      </c>
      <c r="F534" s="1">
        <v>46547</v>
      </c>
      <c r="G534">
        <f t="shared" ca="1" si="59"/>
        <v>464</v>
      </c>
      <c r="H534" t="str">
        <f t="shared" ca="1" si="60"/>
        <v>Active</v>
      </c>
      <c r="I534">
        <f t="shared" ca="1" si="61"/>
        <v>0</v>
      </c>
      <c r="J534" t="str">
        <f t="shared" si="62"/>
        <v>Environmental</v>
      </c>
    </row>
    <row r="535" spans="1:10">
      <c r="A535" t="str" cm="1">
        <f t="array" ref="A535">INDEX(Vendor_Master!$A$2:$A$401, ROUNDUP((ROW()-1)/4, 0))</f>
        <v>VND-134</v>
      </c>
      <c r="B535" t="str">
        <f t="shared" si="56"/>
        <v>Safety Certificate</v>
      </c>
      <c r="C535" t="str">
        <f t="shared" si="57"/>
        <v>Yes</v>
      </c>
      <c r="D535" t="str">
        <f t="shared" si="58"/>
        <v>Yes</v>
      </c>
      <c r="E535" s="1">
        <v>45805</v>
      </c>
      <c r="F535" s="1">
        <v>46251</v>
      </c>
      <c r="G535">
        <f t="shared" ca="1" si="59"/>
        <v>168</v>
      </c>
      <c r="H535" t="str">
        <f t="shared" ca="1" si="60"/>
        <v>Active</v>
      </c>
      <c r="I535">
        <f t="shared" ca="1" si="61"/>
        <v>0</v>
      </c>
      <c r="J535" t="str">
        <f t="shared" si="62"/>
        <v>Safety</v>
      </c>
    </row>
    <row r="536" spans="1:10">
      <c r="A536" t="str" cm="1">
        <f t="array" ref="A536">INDEX(Vendor_Master!$A$2:$A$401, ROUNDUP((ROW()-1)/4, 0))</f>
        <v>VND-134</v>
      </c>
      <c r="B536" t="str">
        <f t="shared" si="56"/>
        <v>Environmental Policy</v>
      </c>
      <c r="C536" t="str">
        <f t="shared" si="57"/>
        <v>Yes</v>
      </c>
      <c r="D536" t="str">
        <f t="shared" si="58"/>
        <v>Yes</v>
      </c>
      <c r="E536" s="1">
        <v>45534</v>
      </c>
      <c r="F536" s="1">
        <v>46779</v>
      </c>
      <c r="G536">
        <f t="shared" ca="1" si="59"/>
        <v>696</v>
      </c>
      <c r="H536" t="str">
        <f t="shared" ca="1" si="60"/>
        <v>Active</v>
      </c>
      <c r="I536">
        <f t="shared" ca="1" si="61"/>
        <v>0</v>
      </c>
      <c r="J536" t="str">
        <f t="shared" si="62"/>
        <v>Environmental</v>
      </c>
    </row>
    <row r="537" spans="1:10">
      <c r="A537" t="str" cm="1">
        <f t="array" ref="A537">INDEX(Vendor_Master!$A$2:$A$401, ROUNDUP((ROW()-1)/4, 0))</f>
        <v>VND-134</v>
      </c>
      <c r="B537" t="str">
        <f t="shared" si="56"/>
        <v>Sustainability Disclosure</v>
      </c>
      <c r="C537" t="str">
        <f t="shared" si="57"/>
        <v>Yes</v>
      </c>
      <c r="D537" t="str">
        <f t="shared" si="58"/>
        <v>Yes</v>
      </c>
      <c r="E537" s="1">
        <v>45784</v>
      </c>
      <c r="F537" s="1">
        <v>46549</v>
      </c>
      <c r="G537">
        <f t="shared" ca="1" si="59"/>
        <v>466</v>
      </c>
      <c r="H537" t="str">
        <f t="shared" ca="1" si="60"/>
        <v>Active</v>
      </c>
      <c r="I537">
        <f t="shared" ca="1" si="61"/>
        <v>0</v>
      </c>
      <c r="J537" t="str">
        <f t="shared" si="62"/>
        <v>Environmental</v>
      </c>
    </row>
    <row r="538" spans="1:10">
      <c r="A538" t="str" cm="1">
        <f t="array" ref="A538">INDEX(Vendor_Master!$A$2:$A$401, ROUNDUP((ROW()-1)/4, 0))</f>
        <v>VND-135</v>
      </c>
      <c r="B538" t="str">
        <f t="shared" si="56"/>
        <v>ISO 14001</v>
      </c>
      <c r="C538" t="str">
        <f t="shared" si="57"/>
        <v>Yes</v>
      </c>
      <c r="D538" t="str">
        <f t="shared" si="58"/>
        <v>Yes</v>
      </c>
      <c r="E538" s="1">
        <v>45657</v>
      </c>
      <c r="F538" s="1">
        <v>46666</v>
      </c>
      <c r="G538">
        <f t="shared" ca="1" si="59"/>
        <v>583</v>
      </c>
      <c r="H538" t="str">
        <f t="shared" ca="1" si="60"/>
        <v>Active</v>
      </c>
      <c r="I538">
        <f t="shared" ca="1" si="61"/>
        <v>0</v>
      </c>
      <c r="J538" t="str">
        <f t="shared" si="62"/>
        <v>Environmental</v>
      </c>
    </row>
    <row r="539" spans="1:10">
      <c r="A539" t="str" cm="1">
        <f t="array" ref="A539">INDEX(Vendor_Master!$A$2:$A$401, ROUNDUP((ROW()-1)/4, 0))</f>
        <v>VND-135</v>
      </c>
      <c r="B539" t="str">
        <f t="shared" si="56"/>
        <v>Safety Certificate</v>
      </c>
      <c r="C539" t="str">
        <f t="shared" si="57"/>
        <v>Yes</v>
      </c>
      <c r="D539" t="str">
        <f t="shared" si="58"/>
        <v>Yes</v>
      </c>
      <c r="E539" s="1">
        <v>45703</v>
      </c>
      <c r="F539" s="1">
        <v>46821</v>
      </c>
      <c r="G539">
        <f t="shared" ca="1" si="59"/>
        <v>738</v>
      </c>
      <c r="H539" t="str">
        <f t="shared" ca="1" si="60"/>
        <v>Active</v>
      </c>
      <c r="I539">
        <f t="shared" ca="1" si="61"/>
        <v>0</v>
      </c>
      <c r="J539" t="str">
        <f t="shared" si="62"/>
        <v>Safety</v>
      </c>
    </row>
    <row r="540" spans="1:10">
      <c r="A540" t="str" cm="1">
        <f t="array" ref="A540">INDEX(Vendor_Master!$A$2:$A$401, ROUNDUP((ROW()-1)/4, 0))</f>
        <v>VND-135</v>
      </c>
      <c r="B540" t="str">
        <f t="shared" si="56"/>
        <v>Environmental Policy</v>
      </c>
      <c r="C540" t="str">
        <f t="shared" si="57"/>
        <v>Yes</v>
      </c>
      <c r="D540" t="str">
        <f t="shared" si="58"/>
        <v>Yes</v>
      </c>
      <c r="E540" s="1">
        <v>46052</v>
      </c>
      <c r="F540" s="1">
        <v>46832</v>
      </c>
      <c r="G540">
        <f t="shared" ca="1" si="59"/>
        <v>749</v>
      </c>
      <c r="H540" t="str">
        <f t="shared" ca="1" si="60"/>
        <v>Active</v>
      </c>
      <c r="I540">
        <f t="shared" ca="1" si="61"/>
        <v>0</v>
      </c>
      <c r="J540" t="str">
        <f t="shared" si="62"/>
        <v>Environmental</v>
      </c>
    </row>
    <row r="541" spans="1:10">
      <c r="A541" t="str" cm="1">
        <f t="array" ref="A541">INDEX(Vendor_Master!$A$2:$A$401, ROUNDUP((ROW()-1)/4, 0))</f>
        <v>VND-135</v>
      </c>
      <c r="B541" t="str">
        <f t="shared" si="56"/>
        <v>Sustainability Disclosure</v>
      </c>
      <c r="C541" t="str">
        <f t="shared" si="57"/>
        <v>Yes</v>
      </c>
      <c r="D541" t="str">
        <f t="shared" si="58"/>
        <v>Yes</v>
      </c>
      <c r="E541" s="1">
        <v>45513</v>
      </c>
      <c r="F541" s="1">
        <v>46494</v>
      </c>
      <c r="G541">
        <f t="shared" ca="1" si="59"/>
        <v>411</v>
      </c>
      <c r="H541" t="str">
        <f t="shared" ca="1" si="60"/>
        <v>Active</v>
      </c>
      <c r="I541">
        <f t="shared" ca="1" si="61"/>
        <v>0</v>
      </c>
      <c r="J541" t="str">
        <f t="shared" si="62"/>
        <v>Environmental</v>
      </c>
    </row>
    <row r="542" spans="1:10">
      <c r="A542" t="str" cm="1">
        <f t="array" ref="A542">INDEX(Vendor_Master!$A$2:$A$401, ROUNDUP((ROW()-1)/4, 0))</f>
        <v>VND-136</v>
      </c>
      <c r="B542" t="str">
        <f t="shared" si="56"/>
        <v>ISO 14001</v>
      </c>
      <c r="C542" t="str">
        <f t="shared" si="57"/>
        <v>Yes</v>
      </c>
      <c r="D542" t="str">
        <f t="shared" si="58"/>
        <v>Yes</v>
      </c>
      <c r="E542" s="1">
        <v>45612</v>
      </c>
      <c r="F542" s="1">
        <v>46251</v>
      </c>
      <c r="G542">
        <f t="shared" ca="1" si="59"/>
        <v>168</v>
      </c>
      <c r="H542" t="str">
        <f t="shared" ca="1" si="60"/>
        <v>Active</v>
      </c>
      <c r="I542">
        <f t="shared" ca="1" si="61"/>
        <v>0</v>
      </c>
      <c r="J542" t="str">
        <f t="shared" si="62"/>
        <v>Environmental</v>
      </c>
    </row>
    <row r="543" spans="1:10">
      <c r="A543" t="str" cm="1">
        <f t="array" ref="A543">INDEX(Vendor_Master!$A$2:$A$401, ROUNDUP((ROW()-1)/4, 0))</f>
        <v>VND-136</v>
      </c>
      <c r="B543" t="str">
        <f t="shared" si="56"/>
        <v>Safety Certificate</v>
      </c>
      <c r="C543" t="str">
        <f t="shared" si="57"/>
        <v>Yes</v>
      </c>
      <c r="D543" t="str">
        <f t="shared" si="58"/>
        <v>Yes</v>
      </c>
      <c r="E543" s="1">
        <v>45905</v>
      </c>
      <c r="F543" s="1">
        <v>46981</v>
      </c>
      <c r="G543">
        <f t="shared" ca="1" si="59"/>
        <v>898</v>
      </c>
      <c r="H543" t="str">
        <f t="shared" ca="1" si="60"/>
        <v>Active</v>
      </c>
      <c r="I543">
        <f t="shared" ca="1" si="61"/>
        <v>0</v>
      </c>
      <c r="J543" t="str">
        <f t="shared" si="62"/>
        <v>Safety</v>
      </c>
    </row>
    <row r="544" spans="1:10">
      <c r="A544" t="str" cm="1">
        <f t="array" ref="A544">INDEX(Vendor_Master!$A$2:$A$401, ROUNDUP((ROW()-1)/4, 0))</f>
        <v>VND-136</v>
      </c>
      <c r="B544" t="str">
        <f t="shared" si="56"/>
        <v>Environmental Policy</v>
      </c>
      <c r="C544" t="str">
        <f t="shared" si="57"/>
        <v>Yes</v>
      </c>
      <c r="D544" t="str">
        <f t="shared" si="58"/>
        <v>Yes</v>
      </c>
      <c r="E544" s="1">
        <v>45868</v>
      </c>
      <c r="F544" s="1">
        <v>46872</v>
      </c>
      <c r="G544">
        <f t="shared" ca="1" si="59"/>
        <v>789</v>
      </c>
      <c r="H544" t="str">
        <f t="shared" ca="1" si="60"/>
        <v>Active</v>
      </c>
      <c r="I544">
        <f t="shared" ca="1" si="61"/>
        <v>0</v>
      </c>
      <c r="J544" t="str">
        <f t="shared" si="62"/>
        <v>Environmental</v>
      </c>
    </row>
    <row r="545" spans="1:10">
      <c r="A545" t="str" cm="1">
        <f t="array" ref="A545">INDEX(Vendor_Master!$A$2:$A$401, ROUNDUP((ROW()-1)/4, 0))</f>
        <v>VND-136</v>
      </c>
      <c r="B545" t="str">
        <f t="shared" si="56"/>
        <v>Sustainability Disclosure</v>
      </c>
      <c r="C545" t="str">
        <f t="shared" si="57"/>
        <v>Yes</v>
      </c>
      <c r="D545" t="str">
        <f t="shared" si="58"/>
        <v>Yes</v>
      </c>
      <c r="E545" s="1">
        <v>45974</v>
      </c>
      <c r="F545" s="1">
        <v>46316</v>
      </c>
      <c r="G545">
        <f t="shared" ca="1" si="59"/>
        <v>233</v>
      </c>
      <c r="H545" t="str">
        <f t="shared" ca="1" si="60"/>
        <v>Active</v>
      </c>
      <c r="I545">
        <f t="shared" ca="1" si="61"/>
        <v>0</v>
      </c>
      <c r="J545" t="str">
        <f t="shared" si="62"/>
        <v>Environmental</v>
      </c>
    </row>
    <row r="546" spans="1:10">
      <c r="A546" t="str" cm="1">
        <f t="array" ref="A546">INDEX(Vendor_Master!$A$2:$A$401, ROUNDUP((ROW()-1)/4, 0))</f>
        <v>VND-137</v>
      </c>
      <c r="B546" t="str">
        <f t="shared" si="56"/>
        <v>ISO 14001</v>
      </c>
      <c r="C546" t="str">
        <f t="shared" si="57"/>
        <v>Yes</v>
      </c>
      <c r="D546" t="str">
        <f t="shared" si="58"/>
        <v>Yes</v>
      </c>
      <c r="E546" s="1">
        <v>45768</v>
      </c>
      <c r="F546" s="1">
        <v>46482</v>
      </c>
      <c r="G546">
        <f t="shared" ca="1" si="59"/>
        <v>399</v>
      </c>
      <c r="H546" t="str">
        <f t="shared" ca="1" si="60"/>
        <v>Active</v>
      </c>
      <c r="I546">
        <f t="shared" ca="1" si="61"/>
        <v>0</v>
      </c>
      <c r="J546" t="str">
        <f t="shared" si="62"/>
        <v>Environmental</v>
      </c>
    </row>
    <row r="547" spans="1:10">
      <c r="A547" t="str" cm="1">
        <f t="array" ref="A547">INDEX(Vendor_Master!$A$2:$A$401, ROUNDUP((ROW()-1)/4, 0))</f>
        <v>VND-137</v>
      </c>
      <c r="B547" t="str">
        <f t="shared" si="56"/>
        <v>Safety Certificate</v>
      </c>
      <c r="C547" t="str">
        <f t="shared" si="57"/>
        <v>Yes</v>
      </c>
      <c r="D547" t="str">
        <f t="shared" si="58"/>
        <v>Yes</v>
      </c>
      <c r="E547" s="1">
        <v>46017</v>
      </c>
      <c r="F547" s="1">
        <v>46742</v>
      </c>
      <c r="G547">
        <f t="shared" ca="1" si="59"/>
        <v>659</v>
      </c>
      <c r="H547" t="str">
        <f t="shared" ca="1" si="60"/>
        <v>Active</v>
      </c>
      <c r="I547">
        <f t="shared" ca="1" si="61"/>
        <v>0</v>
      </c>
      <c r="J547" t="str">
        <f t="shared" si="62"/>
        <v>Safety</v>
      </c>
    </row>
    <row r="548" spans="1:10">
      <c r="A548" t="str" cm="1">
        <f t="array" ref="A548">INDEX(Vendor_Master!$A$2:$A$401, ROUNDUP((ROW()-1)/4, 0))</f>
        <v>VND-137</v>
      </c>
      <c r="B548" t="str">
        <f t="shared" si="56"/>
        <v>Environmental Policy</v>
      </c>
      <c r="C548" t="str">
        <f t="shared" si="57"/>
        <v>Yes</v>
      </c>
      <c r="D548" t="str">
        <f t="shared" si="58"/>
        <v>Yes</v>
      </c>
      <c r="E548" s="1">
        <v>45647</v>
      </c>
      <c r="F548" s="1">
        <v>46418</v>
      </c>
      <c r="G548">
        <f t="shared" ca="1" si="59"/>
        <v>335</v>
      </c>
      <c r="H548" t="str">
        <f t="shared" ca="1" si="60"/>
        <v>Active</v>
      </c>
      <c r="I548">
        <f t="shared" ca="1" si="61"/>
        <v>0</v>
      </c>
      <c r="J548" t="str">
        <f t="shared" si="62"/>
        <v>Environmental</v>
      </c>
    </row>
    <row r="549" spans="1:10">
      <c r="A549" t="str" cm="1">
        <f t="array" ref="A549">INDEX(Vendor_Master!$A$2:$A$401, ROUNDUP((ROW()-1)/4, 0))</f>
        <v>VND-137</v>
      </c>
      <c r="B549" t="str">
        <f t="shared" si="56"/>
        <v>Sustainability Disclosure</v>
      </c>
      <c r="C549" t="str">
        <f t="shared" si="57"/>
        <v>Yes</v>
      </c>
      <c r="D549" t="str">
        <f t="shared" si="58"/>
        <v>Yes</v>
      </c>
      <c r="E549" s="1">
        <v>46058</v>
      </c>
      <c r="F549" s="1">
        <v>46671</v>
      </c>
      <c r="G549">
        <f t="shared" ca="1" si="59"/>
        <v>588</v>
      </c>
      <c r="H549" t="str">
        <f t="shared" ca="1" si="60"/>
        <v>Active</v>
      </c>
      <c r="I549">
        <f t="shared" ca="1" si="61"/>
        <v>0</v>
      </c>
      <c r="J549" t="str">
        <f t="shared" si="62"/>
        <v>Environmental</v>
      </c>
    </row>
    <row r="550" spans="1:10">
      <c r="A550" t="str" cm="1">
        <f t="array" ref="A550">INDEX(Vendor_Master!$A$2:$A$401, ROUNDUP((ROW()-1)/4, 0))</f>
        <v>VND-138</v>
      </c>
      <c r="B550" t="str">
        <f t="shared" si="56"/>
        <v>ISO 14001</v>
      </c>
      <c r="C550" t="str">
        <f t="shared" si="57"/>
        <v>Yes</v>
      </c>
      <c r="D550" t="str">
        <f t="shared" si="58"/>
        <v>Yes</v>
      </c>
      <c r="E550" s="1">
        <v>45884</v>
      </c>
      <c r="F550" s="1">
        <v>46497</v>
      </c>
      <c r="G550">
        <f t="shared" ca="1" si="59"/>
        <v>414</v>
      </c>
      <c r="H550" t="str">
        <f t="shared" ca="1" si="60"/>
        <v>Active</v>
      </c>
      <c r="I550">
        <f t="shared" ca="1" si="61"/>
        <v>0</v>
      </c>
      <c r="J550" t="str">
        <f t="shared" si="62"/>
        <v>Environmental</v>
      </c>
    </row>
    <row r="551" spans="1:10">
      <c r="A551" t="str" cm="1">
        <f t="array" ref="A551">INDEX(Vendor_Master!$A$2:$A$401, ROUNDUP((ROW()-1)/4, 0))</f>
        <v>VND-138</v>
      </c>
      <c r="B551" t="str">
        <f t="shared" si="56"/>
        <v>Safety Certificate</v>
      </c>
      <c r="C551" t="str">
        <f t="shared" si="57"/>
        <v>Yes</v>
      </c>
      <c r="D551" t="str">
        <f t="shared" si="58"/>
        <v>Yes</v>
      </c>
      <c r="E551" s="1">
        <v>46051</v>
      </c>
      <c r="F551" s="1">
        <v>46448</v>
      </c>
      <c r="G551">
        <f t="shared" ca="1" si="59"/>
        <v>365</v>
      </c>
      <c r="H551" t="str">
        <f t="shared" ca="1" si="60"/>
        <v>Active</v>
      </c>
      <c r="I551">
        <f t="shared" ca="1" si="61"/>
        <v>0</v>
      </c>
      <c r="J551" t="str">
        <f t="shared" si="62"/>
        <v>Safety</v>
      </c>
    </row>
    <row r="552" spans="1:10">
      <c r="A552" t="str" cm="1">
        <f t="array" ref="A552">INDEX(Vendor_Master!$A$2:$A$401, ROUNDUP((ROW()-1)/4, 0))</f>
        <v>VND-138</v>
      </c>
      <c r="B552" t="str">
        <f t="shared" si="56"/>
        <v>Environmental Policy</v>
      </c>
      <c r="C552" t="str">
        <f t="shared" si="57"/>
        <v>Yes</v>
      </c>
      <c r="D552" t="str">
        <f t="shared" si="58"/>
        <v>Yes</v>
      </c>
      <c r="E552" s="1">
        <v>45391</v>
      </c>
      <c r="F552" s="1">
        <v>46947</v>
      </c>
      <c r="G552">
        <f t="shared" ca="1" si="59"/>
        <v>864</v>
      </c>
      <c r="H552" t="str">
        <f t="shared" ca="1" si="60"/>
        <v>Active</v>
      </c>
      <c r="I552">
        <f t="shared" ca="1" si="61"/>
        <v>0</v>
      </c>
      <c r="J552" t="str">
        <f t="shared" si="62"/>
        <v>Environmental</v>
      </c>
    </row>
    <row r="553" spans="1:10">
      <c r="A553" t="str" cm="1">
        <f t="array" ref="A553">INDEX(Vendor_Master!$A$2:$A$401, ROUNDUP((ROW()-1)/4, 0))</f>
        <v>VND-138</v>
      </c>
      <c r="B553" t="str">
        <f t="shared" si="56"/>
        <v>Sustainability Disclosure</v>
      </c>
      <c r="C553" t="str">
        <f t="shared" si="57"/>
        <v>Yes</v>
      </c>
      <c r="D553" t="str">
        <f t="shared" si="58"/>
        <v>Yes</v>
      </c>
      <c r="E553" s="1">
        <v>45622</v>
      </c>
      <c r="F553" s="1">
        <v>46551</v>
      </c>
      <c r="G553">
        <f t="shared" ca="1" si="59"/>
        <v>468</v>
      </c>
      <c r="H553" t="str">
        <f t="shared" ca="1" si="60"/>
        <v>Active</v>
      </c>
      <c r="I553">
        <f t="shared" ca="1" si="61"/>
        <v>0</v>
      </c>
      <c r="J553" t="str">
        <f t="shared" si="62"/>
        <v>Environmental</v>
      </c>
    </row>
    <row r="554" spans="1:10">
      <c r="A554" t="str" cm="1">
        <f t="array" ref="A554">INDEX(Vendor_Master!$A$2:$A$401, ROUNDUP((ROW()-1)/4, 0))</f>
        <v>VND-139</v>
      </c>
      <c r="B554" t="str">
        <f t="shared" si="56"/>
        <v>ISO 14001</v>
      </c>
      <c r="C554" t="str">
        <f t="shared" si="57"/>
        <v>Yes</v>
      </c>
      <c r="D554" t="str">
        <f t="shared" si="58"/>
        <v>Yes</v>
      </c>
      <c r="E554" s="1">
        <v>45528</v>
      </c>
      <c r="F554" s="1">
        <v>46622</v>
      </c>
      <c r="G554">
        <f t="shared" ca="1" si="59"/>
        <v>539</v>
      </c>
      <c r="H554" t="str">
        <f t="shared" ca="1" si="60"/>
        <v>Active</v>
      </c>
      <c r="I554">
        <f t="shared" ca="1" si="61"/>
        <v>0</v>
      </c>
      <c r="J554" t="str">
        <f t="shared" si="62"/>
        <v>Environmental</v>
      </c>
    </row>
    <row r="555" spans="1:10">
      <c r="A555" t="str" cm="1">
        <f t="array" ref="A555">INDEX(Vendor_Master!$A$2:$A$401, ROUNDUP((ROW()-1)/4, 0))</f>
        <v>VND-139</v>
      </c>
      <c r="B555" t="str">
        <f t="shared" si="56"/>
        <v>Safety Certificate</v>
      </c>
      <c r="C555" t="str">
        <f t="shared" si="57"/>
        <v>Yes</v>
      </c>
      <c r="D555" t="str">
        <f t="shared" si="58"/>
        <v>Yes</v>
      </c>
      <c r="E555" s="1">
        <v>45560</v>
      </c>
      <c r="F555" s="1">
        <v>46945</v>
      </c>
      <c r="G555">
        <f t="shared" ca="1" si="59"/>
        <v>862</v>
      </c>
      <c r="H555" t="str">
        <f t="shared" ca="1" si="60"/>
        <v>Active</v>
      </c>
      <c r="I555">
        <f t="shared" ca="1" si="61"/>
        <v>0</v>
      </c>
      <c r="J555" t="str">
        <f t="shared" si="62"/>
        <v>Safety</v>
      </c>
    </row>
    <row r="556" spans="1:10">
      <c r="A556" t="str" cm="1">
        <f t="array" ref="A556">INDEX(Vendor_Master!$A$2:$A$401, ROUNDUP((ROW()-1)/4, 0))</f>
        <v>VND-139</v>
      </c>
      <c r="B556" t="str">
        <f t="shared" si="56"/>
        <v>Environmental Policy</v>
      </c>
      <c r="C556" t="str">
        <f t="shared" si="57"/>
        <v>Yes</v>
      </c>
      <c r="D556" t="str">
        <f t="shared" si="58"/>
        <v>Yes</v>
      </c>
      <c r="E556" s="1">
        <v>45787</v>
      </c>
      <c r="F556" s="1">
        <v>46810</v>
      </c>
      <c r="G556">
        <f t="shared" ca="1" si="59"/>
        <v>727</v>
      </c>
      <c r="H556" t="str">
        <f t="shared" ca="1" si="60"/>
        <v>Active</v>
      </c>
      <c r="I556">
        <f t="shared" ca="1" si="61"/>
        <v>0</v>
      </c>
      <c r="J556" t="str">
        <f t="shared" si="62"/>
        <v>Environmental</v>
      </c>
    </row>
    <row r="557" spans="1:10">
      <c r="A557" t="str" cm="1">
        <f t="array" ref="A557">INDEX(Vendor_Master!$A$2:$A$401, ROUNDUP((ROW()-1)/4, 0))</f>
        <v>VND-139</v>
      </c>
      <c r="B557" t="str">
        <f t="shared" si="56"/>
        <v>Sustainability Disclosure</v>
      </c>
      <c r="C557" t="str">
        <f t="shared" si="57"/>
        <v>Yes</v>
      </c>
      <c r="D557" t="str">
        <f t="shared" si="58"/>
        <v>Yes</v>
      </c>
      <c r="E557" s="1">
        <v>45404</v>
      </c>
      <c r="F557" s="1">
        <v>46500</v>
      </c>
      <c r="G557">
        <f t="shared" ca="1" si="59"/>
        <v>417</v>
      </c>
      <c r="H557" t="str">
        <f t="shared" ca="1" si="60"/>
        <v>Active</v>
      </c>
      <c r="I557">
        <f t="shared" ca="1" si="61"/>
        <v>0</v>
      </c>
      <c r="J557" t="str">
        <f t="shared" si="62"/>
        <v>Environmental</v>
      </c>
    </row>
    <row r="558" spans="1:10">
      <c r="A558" t="str" cm="1">
        <f t="array" ref="A558">INDEX(Vendor_Master!$A$2:$A$401, ROUNDUP((ROW()-1)/4, 0))</f>
        <v>VND-140</v>
      </c>
      <c r="B558" t="str">
        <f t="shared" si="56"/>
        <v>ISO 14001</v>
      </c>
      <c r="C558" t="str">
        <f t="shared" si="57"/>
        <v>Yes</v>
      </c>
      <c r="D558" t="str">
        <f t="shared" si="58"/>
        <v>Yes</v>
      </c>
      <c r="E558" s="1">
        <v>45556</v>
      </c>
      <c r="F558" s="1">
        <v>46791</v>
      </c>
      <c r="G558">
        <f t="shared" ca="1" si="59"/>
        <v>708</v>
      </c>
      <c r="H558" t="str">
        <f t="shared" ca="1" si="60"/>
        <v>Active</v>
      </c>
      <c r="I558">
        <f t="shared" ca="1" si="61"/>
        <v>0</v>
      </c>
      <c r="J558" t="str">
        <f t="shared" si="62"/>
        <v>Environmental</v>
      </c>
    </row>
    <row r="559" spans="1:10">
      <c r="A559" t="str" cm="1">
        <f t="array" ref="A559">INDEX(Vendor_Master!$A$2:$A$401, ROUNDUP((ROW()-1)/4, 0))</f>
        <v>VND-140</v>
      </c>
      <c r="B559" t="str">
        <f t="shared" si="56"/>
        <v>Safety Certificate</v>
      </c>
      <c r="C559" t="str">
        <f t="shared" si="57"/>
        <v>Yes</v>
      </c>
      <c r="D559" t="str">
        <f t="shared" si="58"/>
        <v>Yes</v>
      </c>
      <c r="E559" s="1">
        <v>45593</v>
      </c>
      <c r="F559" s="1">
        <v>46411</v>
      </c>
      <c r="G559">
        <f t="shared" ca="1" si="59"/>
        <v>328</v>
      </c>
      <c r="H559" t="str">
        <f t="shared" ca="1" si="60"/>
        <v>Active</v>
      </c>
      <c r="I559">
        <f t="shared" ca="1" si="61"/>
        <v>0</v>
      </c>
      <c r="J559" t="str">
        <f t="shared" si="62"/>
        <v>Safety</v>
      </c>
    </row>
    <row r="560" spans="1:10">
      <c r="A560" t="str" cm="1">
        <f t="array" ref="A560">INDEX(Vendor_Master!$A$2:$A$401, ROUNDUP((ROW()-1)/4, 0))</f>
        <v>VND-140</v>
      </c>
      <c r="B560" t="str">
        <f t="shared" si="56"/>
        <v>Environmental Policy</v>
      </c>
      <c r="C560" t="str">
        <f t="shared" si="57"/>
        <v>Yes</v>
      </c>
      <c r="D560" t="str">
        <f t="shared" si="58"/>
        <v>Yes</v>
      </c>
      <c r="E560" s="1">
        <v>45874</v>
      </c>
      <c r="F560" s="1">
        <v>46309</v>
      </c>
      <c r="G560">
        <f t="shared" ca="1" si="59"/>
        <v>226</v>
      </c>
      <c r="H560" t="str">
        <f t="shared" ca="1" si="60"/>
        <v>Active</v>
      </c>
      <c r="I560">
        <f t="shared" ca="1" si="61"/>
        <v>0</v>
      </c>
      <c r="J560" t="str">
        <f t="shared" si="62"/>
        <v>Environmental</v>
      </c>
    </row>
    <row r="561" spans="1:10">
      <c r="A561" t="str" cm="1">
        <f t="array" ref="A561">INDEX(Vendor_Master!$A$2:$A$401, ROUNDUP((ROW()-1)/4, 0))</f>
        <v>VND-140</v>
      </c>
      <c r="B561" t="str">
        <f t="shared" si="56"/>
        <v>Sustainability Disclosure</v>
      </c>
      <c r="C561" t="str">
        <f t="shared" si="57"/>
        <v>Yes</v>
      </c>
      <c r="D561" t="str">
        <f t="shared" si="58"/>
        <v>Yes</v>
      </c>
      <c r="E561" s="1">
        <v>45662</v>
      </c>
      <c r="F561" s="1">
        <v>46363</v>
      </c>
      <c r="G561">
        <f t="shared" ca="1" si="59"/>
        <v>280</v>
      </c>
      <c r="H561" t="str">
        <f t="shared" ca="1" si="60"/>
        <v>Active</v>
      </c>
      <c r="I561">
        <f t="shared" ca="1" si="61"/>
        <v>0</v>
      </c>
      <c r="J561" t="str">
        <f t="shared" si="62"/>
        <v>Environmental</v>
      </c>
    </row>
    <row r="562" spans="1:10">
      <c r="A562" t="str" cm="1">
        <f t="array" ref="A562">INDEX(Vendor_Master!$A$2:$A$401, ROUNDUP((ROW()-1)/4, 0))</f>
        <v>VND-141</v>
      </c>
      <c r="B562" t="str">
        <f t="shared" si="56"/>
        <v>ISO 14001</v>
      </c>
      <c r="C562" t="str">
        <f t="shared" si="57"/>
        <v>Yes</v>
      </c>
      <c r="D562" t="str">
        <f t="shared" si="58"/>
        <v>Yes</v>
      </c>
      <c r="E562" s="1">
        <v>45397</v>
      </c>
      <c r="F562" s="1">
        <v>46362</v>
      </c>
      <c r="G562">
        <f t="shared" ca="1" si="59"/>
        <v>279</v>
      </c>
      <c r="H562" t="str">
        <f t="shared" ca="1" si="60"/>
        <v>Active</v>
      </c>
      <c r="I562">
        <f t="shared" ca="1" si="61"/>
        <v>0</v>
      </c>
      <c r="J562" t="str">
        <f t="shared" si="62"/>
        <v>Environmental</v>
      </c>
    </row>
    <row r="563" spans="1:10">
      <c r="A563" t="str" cm="1">
        <f t="array" ref="A563">INDEX(Vendor_Master!$A$2:$A$401, ROUNDUP((ROW()-1)/4, 0))</f>
        <v>VND-141</v>
      </c>
      <c r="B563" t="str">
        <f t="shared" si="56"/>
        <v>Safety Certificate</v>
      </c>
      <c r="C563" t="str">
        <f t="shared" si="57"/>
        <v>Yes</v>
      </c>
      <c r="D563" t="str">
        <f t="shared" si="58"/>
        <v>Yes</v>
      </c>
      <c r="E563" s="1">
        <v>45597</v>
      </c>
      <c r="F563" s="1">
        <v>46329</v>
      </c>
      <c r="G563">
        <f t="shared" ca="1" si="59"/>
        <v>246</v>
      </c>
      <c r="H563" t="str">
        <f t="shared" ca="1" si="60"/>
        <v>Active</v>
      </c>
      <c r="I563">
        <f t="shared" ca="1" si="61"/>
        <v>0</v>
      </c>
      <c r="J563" t="str">
        <f t="shared" si="62"/>
        <v>Safety</v>
      </c>
    </row>
    <row r="564" spans="1:10">
      <c r="A564" t="str" cm="1">
        <f t="array" ref="A564">INDEX(Vendor_Master!$A$2:$A$401, ROUNDUP((ROW()-1)/4, 0))</f>
        <v>VND-141</v>
      </c>
      <c r="B564" t="str">
        <f t="shared" si="56"/>
        <v>Environmental Policy</v>
      </c>
      <c r="C564" t="str">
        <f t="shared" si="57"/>
        <v>Yes</v>
      </c>
      <c r="D564" t="str">
        <f t="shared" si="58"/>
        <v>Yes</v>
      </c>
      <c r="E564" s="1">
        <v>45803</v>
      </c>
      <c r="F564" s="1">
        <v>46403</v>
      </c>
      <c r="G564">
        <f t="shared" ca="1" si="59"/>
        <v>320</v>
      </c>
      <c r="H564" t="str">
        <f t="shared" ca="1" si="60"/>
        <v>Active</v>
      </c>
      <c r="I564">
        <f t="shared" ca="1" si="61"/>
        <v>0</v>
      </c>
      <c r="J564" t="str">
        <f t="shared" si="62"/>
        <v>Environmental</v>
      </c>
    </row>
    <row r="565" spans="1:10">
      <c r="A565" t="str" cm="1">
        <f t="array" ref="A565">INDEX(Vendor_Master!$A$2:$A$401, ROUNDUP((ROW()-1)/4, 0))</f>
        <v>VND-141</v>
      </c>
      <c r="B565" t="str">
        <f t="shared" si="56"/>
        <v>Sustainability Disclosure</v>
      </c>
      <c r="C565" t="str">
        <f t="shared" si="57"/>
        <v>Yes</v>
      </c>
      <c r="D565" t="str">
        <f t="shared" si="58"/>
        <v>Yes</v>
      </c>
      <c r="E565" s="1">
        <v>45559</v>
      </c>
      <c r="F565" s="1">
        <v>46436</v>
      </c>
      <c r="G565">
        <f t="shared" ca="1" si="59"/>
        <v>353</v>
      </c>
      <c r="H565" t="str">
        <f t="shared" ca="1" si="60"/>
        <v>Active</v>
      </c>
      <c r="I565">
        <f t="shared" ca="1" si="61"/>
        <v>0</v>
      </c>
      <c r="J565" t="str">
        <f t="shared" si="62"/>
        <v>Environmental</v>
      </c>
    </row>
    <row r="566" spans="1:10">
      <c r="A566" t="str" cm="1">
        <f t="array" ref="A566">INDEX(Vendor_Master!$A$2:$A$401, ROUNDUP((ROW()-1)/4, 0))</f>
        <v>VND-142</v>
      </c>
      <c r="B566" t="str">
        <f t="shared" si="56"/>
        <v>ISO 14001</v>
      </c>
      <c r="C566" t="str">
        <f t="shared" si="57"/>
        <v>Yes</v>
      </c>
      <c r="D566" t="str">
        <f t="shared" si="58"/>
        <v>Yes</v>
      </c>
      <c r="E566" s="1">
        <v>45557</v>
      </c>
      <c r="F566" s="1">
        <v>46882</v>
      </c>
      <c r="G566">
        <f t="shared" ca="1" si="59"/>
        <v>799</v>
      </c>
      <c r="H566" t="str">
        <f t="shared" ca="1" si="60"/>
        <v>Active</v>
      </c>
      <c r="I566">
        <f t="shared" ca="1" si="61"/>
        <v>0</v>
      </c>
      <c r="J566" t="str">
        <f t="shared" si="62"/>
        <v>Environmental</v>
      </c>
    </row>
    <row r="567" spans="1:10">
      <c r="A567" t="str" cm="1">
        <f t="array" ref="A567">INDEX(Vendor_Master!$A$2:$A$401, ROUNDUP((ROW()-1)/4, 0))</f>
        <v>VND-142</v>
      </c>
      <c r="B567" t="str">
        <f t="shared" si="56"/>
        <v>Safety Certificate</v>
      </c>
      <c r="C567" t="str">
        <f t="shared" si="57"/>
        <v>Yes</v>
      </c>
      <c r="D567" t="str">
        <f t="shared" si="58"/>
        <v>Yes</v>
      </c>
      <c r="E567" s="1">
        <v>45838</v>
      </c>
      <c r="F567" s="1">
        <v>46641</v>
      </c>
      <c r="G567">
        <f t="shared" ca="1" si="59"/>
        <v>558</v>
      </c>
      <c r="H567" t="str">
        <f t="shared" ca="1" si="60"/>
        <v>Active</v>
      </c>
      <c r="I567">
        <f t="shared" ca="1" si="61"/>
        <v>0</v>
      </c>
      <c r="J567" t="str">
        <f t="shared" si="62"/>
        <v>Safety</v>
      </c>
    </row>
    <row r="568" spans="1:10">
      <c r="A568" t="str" cm="1">
        <f t="array" ref="A568">INDEX(Vendor_Master!$A$2:$A$401, ROUNDUP((ROW()-1)/4, 0))</f>
        <v>VND-142</v>
      </c>
      <c r="B568" t="str">
        <f t="shared" si="56"/>
        <v>Environmental Policy</v>
      </c>
      <c r="C568" t="str">
        <f t="shared" si="57"/>
        <v>Yes</v>
      </c>
      <c r="D568" t="str">
        <f t="shared" si="58"/>
        <v>Yes</v>
      </c>
      <c r="E568" s="1">
        <v>45535</v>
      </c>
      <c r="F568" s="1">
        <v>46264</v>
      </c>
      <c r="G568">
        <f t="shared" ca="1" si="59"/>
        <v>181</v>
      </c>
      <c r="H568" t="str">
        <f t="shared" ca="1" si="60"/>
        <v>Active</v>
      </c>
      <c r="I568">
        <f t="shared" ca="1" si="61"/>
        <v>0</v>
      </c>
      <c r="J568" t="str">
        <f t="shared" si="62"/>
        <v>Environmental</v>
      </c>
    </row>
    <row r="569" spans="1:10">
      <c r="A569" t="str" cm="1">
        <f t="array" ref="A569">INDEX(Vendor_Master!$A$2:$A$401, ROUNDUP((ROW()-1)/4, 0))</f>
        <v>VND-142</v>
      </c>
      <c r="B569" t="str">
        <f t="shared" si="56"/>
        <v>Sustainability Disclosure</v>
      </c>
      <c r="C569" t="str">
        <f t="shared" si="57"/>
        <v>Yes</v>
      </c>
      <c r="D569" t="str">
        <f t="shared" si="58"/>
        <v>Yes</v>
      </c>
      <c r="E569" s="1">
        <v>45603</v>
      </c>
      <c r="F569" s="1">
        <v>46736</v>
      </c>
      <c r="G569">
        <f t="shared" ca="1" si="59"/>
        <v>653</v>
      </c>
      <c r="H569" t="str">
        <f t="shared" ca="1" si="60"/>
        <v>Active</v>
      </c>
      <c r="I569">
        <f t="shared" ca="1" si="61"/>
        <v>0</v>
      </c>
      <c r="J569" t="str">
        <f t="shared" si="62"/>
        <v>Environmental</v>
      </c>
    </row>
    <row r="570" spans="1:10">
      <c r="A570" t="str" cm="1">
        <f t="array" ref="A570">INDEX(Vendor_Master!$A$2:$A$401, ROUNDUP((ROW()-1)/4, 0))</f>
        <v>VND-143</v>
      </c>
      <c r="B570" t="str">
        <f t="shared" si="56"/>
        <v>ISO 14001</v>
      </c>
      <c r="C570" t="str">
        <f t="shared" si="57"/>
        <v>Yes</v>
      </c>
      <c r="D570" t="str">
        <f t="shared" si="58"/>
        <v>Yes</v>
      </c>
      <c r="E570" s="1">
        <v>46054</v>
      </c>
      <c r="F570" s="1">
        <v>46345</v>
      </c>
      <c r="G570">
        <f t="shared" ca="1" si="59"/>
        <v>262</v>
      </c>
      <c r="H570" t="str">
        <f t="shared" ca="1" si="60"/>
        <v>Active</v>
      </c>
      <c r="I570">
        <f t="shared" ca="1" si="61"/>
        <v>0</v>
      </c>
      <c r="J570" t="str">
        <f t="shared" si="62"/>
        <v>Environmental</v>
      </c>
    </row>
    <row r="571" spans="1:10">
      <c r="A571" t="str" cm="1">
        <f t="array" ref="A571">INDEX(Vendor_Master!$A$2:$A$401, ROUNDUP((ROW()-1)/4, 0))</f>
        <v>VND-143</v>
      </c>
      <c r="B571" t="str">
        <f t="shared" si="56"/>
        <v>Safety Certificate</v>
      </c>
      <c r="C571" t="str">
        <f t="shared" si="57"/>
        <v>Yes</v>
      </c>
      <c r="D571" t="str">
        <f t="shared" si="58"/>
        <v>Yes</v>
      </c>
      <c r="E571" s="1">
        <v>45387</v>
      </c>
      <c r="F571" s="1">
        <v>46337</v>
      </c>
      <c r="G571">
        <f t="shared" ca="1" si="59"/>
        <v>254</v>
      </c>
      <c r="H571" t="str">
        <f t="shared" ca="1" si="60"/>
        <v>Active</v>
      </c>
      <c r="I571">
        <f t="shared" ca="1" si="61"/>
        <v>0</v>
      </c>
      <c r="J571" t="str">
        <f t="shared" si="62"/>
        <v>Safety</v>
      </c>
    </row>
    <row r="572" spans="1:10">
      <c r="A572" t="str" cm="1">
        <f t="array" ref="A572">INDEX(Vendor_Master!$A$2:$A$401, ROUNDUP((ROW()-1)/4, 0))</f>
        <v>VND-143</v>
      </c>
      <c r="B572" t="str">
        <f t="shared" si="56"/>
        <v>Environmental Policy</v>
      </c>
      <c r="C572" t="str">
        <f t="shared" si="57"/>
        <v>Yes</v>
      </c>
      <c r="D572" t="str">
        <f t="shared" si="58"/>
        <v>Yes</v>
      </c>
      <c r="E572" s="1">
        <v>45891</v>
      </c>
      <c r="F572" s="1">
        <v>46820</v>
      </c>
      <c r="G572">
        <f t="shared" ca="1" si="59"/>
        <v>737</v>
      </c>
      <c r="H572" t="str">
        <f t="shared" ca="1" si="60"/>
        <v>Active</v>
      </c>
      <c r="I572">
        <f t="shared" ca="1" si="61"/>
        <v>0</v>
      </c>
      <c r="J572" t="str">
        <f t="shared" si="62"/>
        <v>Environmental</v>
      </c>
    </row>
    <row r="573" spans="1:10">
      <c r="A573" t="str" cm="1">
        <f t="array" ref="A573">INDEX(Vendor_Master!$A$2:$A$401, ROUNDUP((ROW()-1)/4, 0))</f>
        <v>VND-143</v>
      </c>
      <c r="B573" t="str">
        <f t="shared" si="56"/>
        <v>Sustainability Disclosure</v>
      </c>
      <c r="C573" t="str">
        <f t="shared" si="57"/>
        <v>Yes</v>
      </c>
      <c r="D573" t="str">
        <f t="shared" si="58"/>
        <v>Yes</v>
      </c>
      <c r="E573" s="1">
        <v>45897</v>
      </c>
      <c r="F573" s="1">
        <v>46539</v>
      </c>
      <c r="G573">
        <f t="shared" ca="1" si="59"/>
        <v>456</v>
      </c>
      <c r="H573" t="str">
        <f t="shared" ca="1" si="60"/>
        <v>Active</v>
      </c>
      <c r="I573">
        <f t="shared" ca="1" si="61"/>
        <v>0</v>
      </c>
      <c r="J573" t="str">
        <f t="shared" si="62"/>
        <v>Environmental</v>
      </c>
    </row>
    <row r="574" spans="1:10">
      <c r="A574" t="str" cm="1">
        <f t="array" ref="A574">INDEX(Vendor_Master!$A$2:$A$401, ROUNDUP((ROW()-1)/4, 0))</f>
        <v>VND-144</v>
      </c>
      <c r="B574" t="str">
        <f t="shared" si="56"/>
        <v>ISO 14001</v>
      </c>
      <c r="C574" t="str">
        <f t="shared" si="57"/>
        <v>Yes</v>
      </c>
      <c r="D574" t="str">
        <f t="shared" si="58"/>
        <v>Yes</v>
      </c>
      <c r="E574" s="1">
        <v>45527</v>
      </c>
      <c r="F574" s="1">
        <v>46527</v>
      </c>
      <c r="G574">
        <f t="shared" ca="1" si="59"/>
        <v>444</v>
      </c>
      <c r="H574" t="str">
        <f t="shared" ca="1" si="60"/>
        <v>Active</v>
      </c>
      <c r="I574">
        <f t="shared" ca="1" si="61"/>
        <v>0</v>
      </c>
      <c r="J574" t="str">
        <f t="shared" si="62"/>
        <v>Environmental</v>
      </c>
    </row>
    <row r="575" spans="1:10">
      <c r="A575" t="str" cm="1">
        <f t="array" ref="A575">INDEX(Vendor_Master!$A$2:$A$401, ROUNDUP((ROW()-1)/4, 0))</f>
        <v>VND-144</v>
      </c>
      <c r="B575" t="str">
        <f t="shared" si="56"/>
        <v>Safety Certificate</v>
      </c>
      <c r="C575" t="str">
        <f t="shared" si="57"/>
        <v>Yes</v>
      </c>
      <c r="D575" t="str">
        <f t="shared" si="58"/>
        <v>Yes</v>
      </c>
      <c r="E575" s="1">
        <v>45526</v>
      </c>
      <c r="F575" s="1">
        <v>46267</v>
      </c>
      <c r="G575">
        <f t="shared" ca="1" si="59"/>
        <v>184</v>
      </c>
      <c r="H575" t="str">
        <f t="shared" ca="1" si="60"/>
        <v>Active</v>
      </c>
      <c r="I575">
        <f t="shared" ca="1" si="61"/>
        <v>0</v>
      </c>
      <c r="J575" t="str">
        <f t="shared" si="62"/>
        <v>Safety</v>
      </c>
    </row>
    <row r="576" spans="1:10">
      <c r="A576" t="str" cm="1">
        <f t="array" ref="A576">INDEX(Vendor_Master!$A$2:$A$401, ROUNDUP((ROW()-1)/4, 0))</f>
        <v>VND-144</v>
      </c>
      <c r="B576" t="str">
        <f t="shared" si="56"/>
        <v>Environmental Policy</v>
      </c>
      <c r="C576" t="str">
        <f t="shared" si="57"/>
        <v>Yes</v>
      </c>
      <c r="D576" t="str">
        <f t="shared" si="58"/>
        <v>Yes</v>
      </c>
      <c r="E576" s="1">
        <v>45561</v>
      </c>
      <c r="F576" s="1">
        <v>46436</v>
      </c>
      <c r="G576">
        <f t="shared" ca="1" si="59"/>
        <v>353</v>
      </c>
      <c r="H576" t="str">
        <f t="shared" ca="1" si="60"/>
        <v>Active</v>
      </c>
      <c r="I576">
        <f t="shared" ca="1" si="61"/>
        <v>0</v>
      </c>
      <c r="J576" t="str">
        <f t="shared" si="62"/>
        <v>Environmental</v>
      </c>
    </row>
    <row r="577" spans="1:10">
      <c r="A577" t="str" cm="1">
        <f t="array" ref="A577">INDEX(Vendor_Master!$A$2:$A$401, ROUNDUP((ROW()-1)/4, 0))</f>
        <v>VND-144</v>
      </c>
      <c r="B577" t="str">
        <f t="shared" si="56"/>
        <v>Sustainability Disclosure</v>
      </c>
      <c r="C577" t="str">
        <f t="shared" si="57"/>
        <v>Yes</v>
      </c>
      <c r="D577" t="str">
        <f t="shared" si="58"/>
        <v>Yes</v>
      </c>
      <c r="E577" s="1">
        <v>45956</v>
      </c>
      <c r="F577" s="1">
        <v>46969</v>
      </c>
      <c r="G577">
        <f t="shared" ca="1" si="59"/>
        <v>886</v>
      </c>
      <c r="H577" t="str">
        <f t="shared" ca="1" si="60"/>
        <v>Active</v>
      </c>
      <c r="I577">
        <f t="shared" ca="1" si="61"/>
        <v>0</v>
      </c>
      <c r="J577" t="str">
        <f t="shared" si="62"/>
        <v>Environmental</v>
      </c>
    </row>
    <row r="578" spans="1:10">
      <c r="A578" t="str" cm="1">
        <f t="array" ref="A578">INDEX(Vendor_Master!$A$2:$A$401, ROUNDUP((ROW()-1)/4, 0))</f>
        <v>VND-145</v>
      </c>
      <c r="B578" t="str">
        <f t="shared" si="56"/>
        <v>ISO 14001</v>
      </c>
      <c r="C578" t="str">
        <f t="shared" si="57"/>
        <v>Yes</v>
      </c>
      <c r="D578" t="str">
        <f t="shared" si="58"/>
        <v>Yes</v>
      </c>
      <c r="E578" s="1">
        <v>45876</v>
      </c>
      <c r="F578" s="1">
        <v>46769</v>
      </c>
      <c r="G578">
        <f t="shared" ca="1" si="59"/>
        <v>686</v>
      </c>
      <c r="H578" t="str">
        <f t="shared" ca="1" si="60"/>
        <v>Active</v>
      </c>
      <c r="I578">
        <f t="shared" ca="1" si="61"/>
        <v>0</v>
      </c>
      <c r="J578" t="str">
        <f t="shared" si="62"/>
        <v>Environmental</v>
      </c>
    </row>
    <row r="579" spans="1:10">
      <c r="A579" t="str" cm="1">
        <f t="array" ref="A579">INDEX(Vendor_Master!$A$2:$A$401, ROUNDUP((ROW()-1)/4, 0))</f>
        <v>VND-145</v>
      </c>
      <c r="B579" t="str">
        <f t="shared" ref="B579:B642" si="63">CHOOSE(MOD(ROW()-2,4)+1,"ISO 14001","Safety Certificate","Environmental Policy","Sustainability Disclosure")</f>
        <v>Safety Certificate</v>
      </c>
      <c r="C579" t="str">
        <f t="shared" ref="C579:C642" si="64">"Yes"</f>
        <v>Yes</v>
      </c>
      <c r="D579" t="str">
        <f t="shared" ref="D579:D642" si="65">IF(ROW()-1&lt;=1280,"Yes","No")</f>
        <v>Yes</v>
      </c>
      <c r="E579" s="1">
        <v>45753</v>
      </c>
      <c r="F579" s="1">
        <v>46698</v>
      </c>
      <c r="G579">
        <f t="shared" ref="G579:G642" ca="1" si="66">IF($F579="","",$F579-TODAY())</f>
        <v>615</v>
      </c>
      <c r="H579" t="str">
        <f t="shared" ref="H579:H642" ca="1" si="67">IF($C579="No","Not Required",
IF($D579="No","Missing",
IF($F579&lt;TODAY(),"Expired",
IF($F579&lt;=TODAY()+30,"Expiring Soon","Active"))))</f>
        <v>Active</v>
      </c>
      <c r="I579">
        <f t="shared" ref="I579:I642" ca="1" si="68">IF(OR($H579="Missing",$H579="Expired",$H579="Expiring Soon"),1,0)</f>
        <v>0</v>
      </c>
      <c r="J579" t="str">
        <f t="shared" ref="J579:J642" si="69">IF(B579="ISO 14001","Environmental",
 IF(B579="Environmental Policy","Environmental",
 IF(B579="Sustainability Disclosure","Environmental",
 IF(B579="Safety Certificate","Safety","Regulatory"))))</f>
        <v>Safety</v>
      </c>
    </row>
    <row r="580" spans="1:10">
      <c r="A580" t="str" cm="1">
        <f t="array" ref="A580">INDEX(Vendor_Master!$A$2:$A$401, ROUNDUP((ROW()-1)/4, 0))</f>
        <v>VND-145</v>
      </c>
      <c r="B580" t="str">
        <f t="shared" si="63"/>
        <v>Environmental Policy</v>
      </c>
      <c r="C580" t="str">
        <f t="shared" si="64"/>
        <v>Yes</v>
      </c>
      <c r="D580" t="str">
        <f t="shared" si="65"/>
        <v>Yes</v>
      </c>
      <c r="E580" s="1">
        <v>45467</v>
      </c>
      <c r="F580" s="1">
        <v>46619</v>
      </c>
      <c r="G580">
        <f t="shared" ca="1" si="66"/>
        <v>536</v>
      </c>
      <c r="H580" t="str">
        <f t="shared" ca="1" si="67"/>
        <v>Active</v>
      </c>
      <c r="I580">
        <f t="shared" ca="1" si="68"/>
        <v>0</v>
      </c>
      <c r="J580" t="str">
        <f t="shared" si="69"/>
        <v>Environmental</v>
      </c>
    </row>
    <row r="581" spans="1:10">
      <c r="A581" t="str" cm="1">
        <f t="array" ref="A581">INDEX(Vendor_Master!$A$2:$A$401, ROUNDUP((ROW()-1)/4, 0))</f>
        <v>VND-145</v>
      </c>
      <c r="B581" t="str">
        <f t="shared" si="63"/>
        <v>Sustainability Disclosure</v>
      </c>
      <c r="C581" t="str">
        <f t="shared" si="64"/>
        <v>Yes</v>
      </c>
      <c r="D581" t="str">
        <f t="shared" si="65"/>
        <v>Yes</v>
      </c>
      <c r="E581" s="1">
        <v>46066</v>
      </c>
      <c r="F581" s="1">
        <v>46310</v>
      </c>
      <c r="G581">
        <f t="shared" ca="1" si="66"/>
        <v>227</v>
      </c>
      <c r="H581" t="str">
        <f t="shared" ca="1" si="67"/>
        <v>Active</v>
      </c>
      <c r="I581">
        <f t="shared" ca="1" si="68"/>
        <v>0</v>
      </c>
      <c r="J581" t="str">
        <f t="shared" si="69"/>
        <v>Environmental</v>
      </c>
    </row>
    <row r="582" spans="1:10">
      <c r="A582" t="str" cm="1">
        <f t="array" ref="A582">INDEX(Vendor_Master!$A$2:$A$401, ROUNDUP((ROW()-1)/4, 0))</f>
        <v>VND-146</v>
      </c>
      <c r="B582" t="str">
        <f t="shared" si="63"/>
        <v>ISO 14001</v>
      </c>
      <c r="C582" t="str">
        <f t="shared" si="64"/>
        <v>Yes</v>
      </c>
      <c r="D582" t="str">
        <f t="shared" si="65"/>
        <v>Yes</v>
      </c>
      <c r="E582" s="1">
        <v>45632</v>
      </c>
      <c r="F582" s="1">
        <v>46953</v>
      </c>
      <c r="G582">
        <f t="shared" ca="1" si="66"/>
        <v>870</v>
      </c>
      <c r="H582" t="str">
        <f t="shared" ca="1" si="67"/>
        <v>Active</v>
      </c>
      <c r="I582">
        <f t="shared" ca="1" si="68"/>
        <v>0</v>
      </c>
      <c r="J582" t="str">
        <f t="shared" si="69"/>
        <v>Environmental</v>
      </c>
    </row>
    <row r="583" spans="1:10">
      <c r="A583" t="str" cm="1">
        <f t="array" ref="A583">INDEX(Vendor_Master!$A$2:$A$401, ROUNDUP((ROW()-1)/4, 0))</f>
        <v>VND-146</v>
      </c>
      <c r="B583" t="str">
        <f t="shared" si="63"/>
        <v>Safety Certificate</v>
      </c>
      <c r="C583" t="str">
        <f t="shared" si="64"/>
        <v>Yes</v>
      </c>
      <c r="D583" t="str">
        <f t="shared" si="65"/>
        <v>Yes</v>
      </c>
      <c r="E583" s="1">
        <v>46042</v>
      </c>
      <c r="F583" s="1">
        <v>46743</v>
      </c>
      <c r="G583">
        <f t="shared" ca="1" si="66"/>
        <v>660</v>
      </c>
      <c r="H583" t="str">
        <f t="shared" ca="1" si="67"/>
        <v>Active</v>
      </c>
      <c r="I583">
        <f t="shared" ca="1" si="68"/>
        <v>0</v>
      </c>
      <c r="J583" t="str">
        <f t="shared" si="69"/>
        <v>Safety</v>
      </c>
    </row>
    <row r="584" spans="1:10">
      <c r="A584" t="str" cm="1">
        <f t="array" ref="A584">INDEX(Vendor_Master!$A$2:$A$401, ROUNDUP((ROW()-1)/4, 0))</f>
        <v>VND-146</v>
      </c>
      <c r="B584" t="str">
        <f t="shared" si="63"/>
        <v>Environmental Policy</v>
      </c>
      <c r="C584" t="str">
        <f t="shared" si="64"/>
        <v>Yes</v>
      </c>
      <c r="D584" t="str">
        <f t="shared" si="65"/>
        <v>Yes</v>
      </c>
      <c r="E584" s="1">
        <v>45888</v>
      </c>
      <c r="F584" s="1">
        <v>46766</v>
      </c>
      <c r="G584">
        <f t="shared" ca="1" si="66"/>
        <v>683</v>
      </c>
      <c r="H584" t="str">
        <f t="shared" ca="1" si="67"/>
        <v>Active</v>
      </c>
      <c r="I584">
        <f t="shared" ca="1" si="68"/>
        <v>0</v>
      </c>
      <c r="J584" t="str">
        <f t="shared" si="69"/>
        <v>Environmental</v>
      </c>
    </row>
    <row r="585" spans="1:10">
      <c r="A585" t="str" cm="1">
        <f t="array" ref="A585">INDEX(Vendor_Master!$A$2:$A$401, ROUNDUP((ROW()-1)/4, 0))</f>
        <v>VND-146</v>
      </c>
      <c r="B585" t="str">
        <f t="shared" si="63"/>
        <v>Sustainability Disclosure</v>
      </c>
      <c r="C585" t="str">
        <f t="shared" si="64"/>
        <v>Yes</v>
      </c>
      <c r="D585" t="str">
        <f t="shared" si="65"/>
        <v>Yes</v>
      </c>
      <c r="E585" s="1">
        <v>46014</v>
      </c>
      <c r="F585" s="1">
        <v>46789</v>
      </c>
      <c r="G585">
        <f t="shared" ca="1" si="66"/>
        <v>706</v>
      </c>
      <c r="H585" t="str">
        <f t="shared" ca="1" si="67"/>
        <v>Active</v>
      </c>
      <c r="I585">
        <f t="shared" ca="1" si="68"/>
        <v>0</v>
      </c>
      <c r="J585" t="str">
        <f t="shared" si="69"/>
        <v>Environmental</v>
      </c>
    </row>
    <row r="586" spans="1:10">
      <c r="A586" t="str" cm="1">
        <f t="array" ref="A586">INDEX(Vendor_Master!$A$2:$A$401, ROUNDUP((ROW()-1)/4, 0))</f>
        <v>VND-147</v>
      </c>
      <c r="B586" t="str">
        <f t="shared" si="63"/>
        <v>ISO 14001</v>
      </c>
      <c r="C586" t="str">
        <f t="shared" si="64"/>
        <v>Yes</v>
      </c>
      <c r="D586" t="str">
        <f t="shared" si="65"/>
        <v>Yes</v>
      </c>
      <c r="E586" s="1">
        <v>45413</v>
      </c>
      <c r="F586" s="1">
        <v>46622</v>
      </c>
      <c r="G586">
        <f t="shared" ca="1" si="66"/>
        <v>539</v>
      </c>
      <c r="H586" t="str">
        <f t="shared" ca="1" si="67"/>
        <v>Active</v>
      </c>
      <c r="I586">
        <f t="shared" ca="1" si="68"/>
        <v>0</v>
      </c>
      <c r="J586" t="str">
        <f t="shared" si="69"/>
        <v>Environmental</v>
      </c>
    </row>
    <row r="587" spans="1:10">
      <c r="A587" t="str" cm="1">
        <f t="array" ref="A587">INDEX(Vendor_Master!$A$2:$A$401, ROUNDUP((ROW()-1)/4, 0))</f>
        <v>VND-147</v>
      </c>
      <c r="B587" t="str">
        <f t="shared" si="63"/>
        <v>Safety Certificate</v>
      </c>
      <c r="C587" t="str">
        <f t="shared" si="64"/>
        <v>Yes</v>
      </c>
      <c r="D587" t="str">
        <f t="shared" si="65"/>
        <v>Yes</v>
      </c>
      <c r="E587" s="1">
        <v>45881</v>
      </c>
      <c r="F587" s="1">
        <v>46597</v>
      </c>
      <c r="G587">
        <f t="shared" ca="1" si="66"/>
        <v>514</v>
      </c>
      <c r="H587" t="str">
        <f t="shared" ca="1" si="67"/>
        <v>Active</v>
      </c>
      <c r="I587">
        <f t="shared" ca="1" si="68"/>
        <v>0</v>
      </c>
      <c r="J587" t="str">
        <f t="shared" si="69"/>
        <v>Safety</v>
      </c>
    </row>
    <row r="588" spans="1:10">
      <c r="A588" t="str" cm="1">
        <f t="array" ref="A588">INDEX(Vendor_Master!$A$2:$A$401, ROUNDUP((ROW()-1)/4, 0))</f>
        <v>VND-147</v>
      </c>
      <c r="B588" t="str">
        <f t="shared" si="63"/>
        <v>Environmental Policy</v>
      </c>
      <c r="C588" t="str">
        <f t="shared" si="64"/>
        <v>Yes</v>
      </c>
      <c r="D588" t="str">
        <f t="shared" si="65"/>
        <v>Yes</v>
      </c>
      <c r="E588" s="1">
        <v>45899</v>
      </c>
      <c r="F588" s="1">
        <v>46902</v>
      </c>
      <c r="G588">
        <f t="shared" ca="1" si="66"/>
        <v>819</v>
      </c>
      <c r="H588" t="str">
        <f t="shared" ca="1" si="67"/>
        <v>Active</v>
      </c>
      <c r="I588">
        <f t="shared" ca="1" si="68"/>
        <v>0</v>
      </c>
      <c r="J588" t="str">
        <f t="shared" si="69"/>
        <v>Environmental</v>
      </c>
    </row>
    <row r="589" spans="1:10">
      <c r="A589" t="str" cm="1">
        <f t="array" ref="A589">INDEX(Vendor_Master!$A$2:$A$401, ROUNDUP((ROW()-1)/4, 0))</f>
        <v>VND-147</v>
      </c>
      <c r="B589" t="str">
        <f t="shared" si="63"/>
        <v>Sustainability Disclosure</v>
      </c>
      <c r="C589" t="str">
        <f t="shared" si="64"/>
        <v>Yes</v>
      </c>
      <c r="D589" t="str">
        <f t="shared" si="65"/>
        <v>Yes</v>
      </c>
      <c r="E589" s="1">
        <v>45513</v>
      </c>
      <c r="F589" s="1">
        <v>46807</v>
      </c>
      <c r="G589">
        <f t="shared" ca="1" si="66"/>
        <v>724</v>
      </c>
      <c r="H589" t="str">
        <f t="shared" ca="1" si="67"/>
        <v>Active</v>
      </c>
      <c r="I589">
        <f t="shared" ca="1" si="68"/>
        <v>0</v>
      </c>
      <c r="J589" t="str">
        <f t="shared" si="69"/>
        <v>Environmental</v>
      </c>
    </row>
    <row r="590" spans="1:10">
      <c r="A590" t="str" cm="1">
        <f t="array" ref="A590">INDEX(Vendor_Master!$A$2:$A$401, ROUNDUP((ROW()-1)/4, 0))</f>
        <v>VND-148</v>
      </c>
      <c r="B590" t="str">
        <f t="shared" si="63"/>
        <v>ISO 14001</v>
      </c>
      <c r="C590" t="str">
        <f t="shared" si="64"/>
        <v>Yes</v>
      </c>
      <c r="D590" t="str">
        <f t="shared" si="65"/>
        <v>Yes</v>
      </c>
      <c r="E590" s="1">
        <v>46067</v>
      </c>
      <c r="F590" s="1">
        <v>46848</v>
      </c>
      <c r="G590">
        <f t="shared" ca="1" si="66"/>
        <v>765</v>
      </c>
      <c r="H590" t="str">
        <f t="shared" ca="1" si="67"/>
        <v>Active</v>
      </c>
      <c r="I590">
        <f t="shared" ca="1" si="68"/>
        <v>0</v>
      </c>
      <c r="J590" t="str">
        <f t="shared" si="69"/>
        <v>Environmental</v>
      </c>
    </row>
    <row r="591" spans="1:10">
      <c r="A591" t="str" cm="1">
        <f t="array" ref="A591">INDEX(Vendor_Master!$A$2:$A$401, ROUNDUP((ROW()-1)/4, 0))</f>
        <v>VND-148</v>
      </c>
      <c r="B591" t="str">
        <f t="shared" si="63"/>
        <v>Safety Certificate</v>
      </c>
      <c r="C591" t="str">
        <f t="shared" si="64"/>
        <v>Yes</v>
      </c>
      <c r="D591" t="str">
        <f t="shared" si="65"/>
        <v>Yes</v>
      </c>
      <c r="E591" s="1">
        <v>45899</v>
      </c>
      <c r="F591" s="1">
        <v>46825</v>
      </c>
      <c r="G591">
        <f t="shared" ca="1" si="66"/>
        <v>742</v>
      </c>
      <c r="H591" t="str">
        <f t="shared" ca="1" si="67"/>
        <v>Active</v>
      </c>
      <c r="I591">
        <f t="shared" ca="1" si="68"/>
        <v>0</v>
      </c>
      <c r="J591" t="str">
        <f t="shared" si="69"/>
        <v>Safety</v>
      </c>
    </row>
    <row r="592" spans="1:10">
      <c r="A592" t="str" cm="1">
        <f t="array" ref="A592">INDEX(Vendor_Master!$A$2:$A$401, ROUNDUP((ROW()-1)/4, 0))</f>
        <v>VND-148</v>
      </c>
      <c r="B592" t="str">
        <f t="shared" si="63"/>
        <v>Environmental Policy</v>
      </c>
      <c r="C592" t="str">
        <f t="shared" si="64"/>
        <v>Yes</v>
      </c>
      <c r="D592" t="str">
        <f t="shared" si="65"/>
        <v>Yes</v>
      </c>
      <c r="E592" s="1">
        <v>46007</v>
      </c>
      <c r="F592" s="1">
        <v>46772</v>
      </c>
      <c r="G592">
        <f t="shared" ca="1" si="66"/>
        <v>689</v>
      </c>
      <c r="H592" t="str">
        <f t="shared" ca="1" si="67"/>
        <v>Active</v>
      </c>
      <c r="I592">
        <f t="shared" ca="1" si="68"/>
        <v>0</v>
      </c>
      <c r="J592" t="str">
        <f t="shared" si="69"/>
        <v>Environmental</v>
      </c>
    </row>
    <row r="593" spans="1:10">
      <c r="A593" t="str" cm="1">
        <f t="array" ref="A593">INDEX(Vendor_Master!$A$2:$A$401, ROUNDUP((ROW()-1)/4, 0))</f>
        <v>VND-148</v>
      </c>
      <c r="B593" t="str">
        <f t="shared" si="63"/>
        <v>Sustainability Disclosure</v>
      </c>
      <c r="C593" t="str">
        <f t="shared" si="64"/>
        <v>Yes</v>
      </c>
      <c r="D593" t="str">
        <f t="shared" si="65"/>
        <v>Yes</v>
      </c>
      <c r="E593" s="1">
        <v>45732</v>
      </c>
      <c r="F593" s="1">
        <v>46350</v>
      </c>
      <c r="G593">
        <f t="shared" ca="1" si="66"/>
        <v>267</v>
      </c>
      <c r="H593" t="str">
        <f t="shared" ca="1" si="67"/>
        <v>Active</v>
      </c>
      <c r="I593">
        <f t="shared" ca="1" si="68"/>
        <v>0</v>
      </c>
      <c r="J593" t="str">
        <f t="shared" si="69"/>
        <v>Environmental</v>
      </c>
    </row>
    <row r="594" spans="1:10">
      <c r="A594" t="str" cm="1">
        <f t="array" ref="A594">INDEX(Vendor_Master!$A$2:$A$401, ROUNDUP((ROW()-1)/4, 0))</f>
        <v>VND-149</v>
      </c>
      <c r="B594" t="str">
        <f t="shared" si="63"/>
        <v>ISO 14001</v>
      </c>
      <c r="C594" t="str">
        <f t="shared" si="64"/>
        <v>Yes</v>
      </c>
      <c r="D594" t="str">
        <f t="shared" si="65"/>
        <v>Yes</v>
      </c>
      <c r="E594" s="1">
        <v>46031</v>
      </c>
      <c r="F594" s="1">
        <v>46766</v>
      </c>
      <c r="G594">
        <f t="shared" ca="1" si="66"/>
        <v>683</v>
      </c>
      <c r="H594" t="str">
        <f t="shared" ca="1" si="67"/>
        <v>Active</v>
      </c>
      <c r="I594">
        <f t="shared" ca="1" si="68"/>
        <v>0</v>
      </c>
      <c r="J594" t="str">
        <f t="shared" si="69"/>
        <v>Environmental</v>
      </c>
    </row>
    <row r="595" spans="1:10">
      <c r="A595" t="str" cm="1">
        <f t="array" ref="A595">INDEX(Vendor_Master!$A$2:$A$401, ROUNDUP((ROW()-1)/4, 0))</f>
        <v>VND-149</v>
      </c>
      <c r="B595" t="str">
        <f t="shared" si="63"/>
        <v>Safety Certificate</v>
      </c>
      <c r="C595" t="str">
        <f t="shared" si="64"/>
        <v>Yes</v>
      </c>
      <c r="D595" t="str">
        <f t="shared" si="65"/>
        <v>Yes</v>
      </c>
      <c r="E595" s="1">
        <v>45932</v>
      </c>
      <c r="F595" s="1">
        <v>46238</v>
      </c>
      <c r="G595">
        <f t="shared" ca="1" si="66"/>
        <v>155</v>
      </c>
      <c r="H595" t="str">
        <f t="shared" ca="1" si="67"/>
        <v>Active</v>
      </c>
      <c r="I595">
        <f t="shared" ca="1" si="68"/>
        <v>0</v>
      </c>
      <c r="J595" t="str">
        <f t="shared" si="69"/>
        <v>Safety</v>
      </c>
    </row>
    <row r="596" spans="1:10">
      <c r="A596" t="str" cm="1">
        <f t="array" ref="A596">INDEX(Vendor_Master!$A$2:$A$401, ROUNDUP((ROW()-1)/4, 0))</f>
        <v>VND-149</v>
      </c>
      <c r="B596" t="str">
        <f t="shared" si="63"/>
        <v>Environmental Policy</v>
      </c>
      <c r="C596" t="str">
        <f t="shared" si="64"/>
        <v>Yes</v>
      </c>
      <c r="D596" t="str">
        <f t="shared" si="65"/>
        <v>Yes</v>
      </c>
      <c r="E596" s="1">
        <v>45951</v>
      </c>
      <c r="F596" s="1">
        <v>46625</v>
      </c>
      <c r="G596">
        <f t="shared" ca="1" si="66"/>
        <v>542</v>
      </c>
      <c r="H596" t="str">
        <f t="shared" ca="1" si="67"/>
        <v>Active</v>
      </c>
      <c r="I596">
        <f t="shared" ca="1" si="68"/>
        <v>0</v>
      </c>
      <c r="J596" t="str">
        <f t="shared" si="69"/>
        <v>Environmental</v>
      </c>
    </row>
    <row r="597" spans="1:10">
      <c r="A597" t="str" cm="1">
        <f t="array" ref="A597">INDEX(Vendor_Master!$A$2:$A$401, ROUNDUP((ROW()-1)/4, 0))</f>
        <v>VND-149</v>
      </c>
      <c r="B597" t="str">
        <f t="shared" si="63"/>
        <v>Sustainability Disclosure</v>
      </c>
      <c r="C597" t="str">
        <f t="shared" si="64"/>
        <v>Yes</v>
      </c>
      <c r="D597" t="str">
        <f t="shared" si="65"/>
        <v>Yes</v>
      </c>
      <c r="E597" s="1">
        <v>45489</v>
      </c>
      <c r="F597" s="1">
        <v>46840</v>
      </c>
      <c r="G597">
        <f t="shared" ca="1" si="66"/>
        <v>757</v>
      </c>
      <c r="H597" t="str">
        <f t="shared" ca="1" si="67"/>
        <v>Active</v>
      </c>
      <c r="I597">
        <f t="shared" ca="1" si="68"/>
        <v>0</v>
      </c>
      <c r="J597" t="str">
        <f t="shared" si="69"/>
        <v>Environmental</v>
      </c>
    </row>
    <row r="598" spans="1:10">
      <c r="A598" t="str" cm="1">
        <f t="array" ref="A598">INDEX(Vendor_Master!$A$2:$A$401, ROUNDUP((ROW()-1)/4, 0))</f>
        <v>VND-150</v>
      </c>
      <c r="B598" t="str">
        <f t="shared" si="63"/>
        <v>ISO 14001</v>
      </c>
      <c r="C598" t="str">
        <f t="shared" si="64"/>
        <v>Yes</v>
      </c>
      <c r="D598" t="str">
        <f t="shared" si="65"/>
        <v>Yes</v>
      </c>
      <c r="E598" s="1">
        <v>45670</v>
      </c>
      <c r="F598" s="1">
        <v>46930</v>
      </c>
      <c r="G598">
        <f t="shared" ca="1" si="66"/>
        <v>847</v>
      </c>
      <c r="H598" t="str">
        <f t="shared" ca="1" si="67"/>
        <v>Active</v>
      </c>
      <c r="I598">
        <f t="shared" ca="1" si="68"/>
        <v>0</v>
      </c>
      <c r="J598" t="str">
        <f t="shared" si="69"/>
        <v>Environmental</v>
      </c>
    </row>
    <row r="599" spans="1:10">
      <c r="A599" t="str" cm="1">
        <f t="array" ref="A599">INDEX(Vendor_Master!$A$2:$A$401, ROUNDUP((ROW()-1)/4, 0))</f>
        <v>VND-150</v>
      </c>
      <c r="B599" t="str">
        <f t="shared" si="63"/>
        <v>Safety Certificate</v>
      </c>
      <c r="C599" t="str">
        <f t="shared" si="64"/>
        <v>Yes</v>
      </c>
      <c r="D599" t="str">
        <f t="shared" si="65"/>
        <v>Yes</v>
      </c>
      <c r="E599" s="1">
        <v>45541</v>
      </c>
      <c r="F599" s="1">
        <v>46281</v>
      </c>
      <c r="G599">
        <f t="shared" ca="1" si="66"/>
        <v>198</v>
      </c>
      <c r="H599" t="str">
        <f t="shared" ca="1" si="67"/>
        <v>Active</v>
      </c>
      <c r="I599">
        <f t="shared" ca="1" si="68"/>
        <v>0</v>
      </c>
      <c r="J599" t="str">
        <f t="shared" si="69"/>
        <v>Safety</v>
      </c>
    </row>
    <row r="600" spans="1:10">
      <c r="A600" t="str" cm="1">
        <f t="array" ref="A600">INDEX(Vendor_Master!$A$2:$A$401, ROUNDUP((ROW()-1)/4, 0))</f>
        <v>VND-150</v>
      </c>
      <c r="B600" t="str">
        <f t="shared" si="63"/>
        <v>Environmental Policy</v>
      </c>
      <c r="C600" t="str">
        <f t="shared" si="64"/>
        <v>Yes</v>
      </c>
      <c r="D600" t="str">
        <f t="shared" si="65"/>
        <v>Yes</v>
      </c>
      <c r="E600" s="1">
        <v>45770</v>
      </c>
      <c r="F600" s="1">
        <v>46661</v>
      </c>
      <c r="G600">
        <f t="shared" ca="1" si="66"/>
        <v>578</v>
      </c>
      <c r="H600" t="str">
        <f t="shared" ca="1" si="67"/>
        <v>Active</v>
      </c>
      <c r="I600">
        <f t="shared" ca="1" si="68"/>
        <v>0</v>
      </c>
      <c r="J600" t="str">
        <f t="shared" si="69"/>
        <v>Environmental</v>
      </c>
    </row>
    <row r="601" spans="1:10">
      <c r="A601" t="str" cm="1">
        <f t="array" ref="A601">INDEX(Vendor_Master!$A$2:$A$401, ROUNDUP((ROW()-1)/4, 0))</f>
        <v>VND-150</v>
      </c>
      <c r="B601" t="str">
        <f t="shared" si="63"/>
        <v>Sustainability Disclosure</v>
      </c>
      <c r="C601" t="str">
        <f t="shared" si="64"/>
        <v>Yes</v>
      </c>
      <c r="D601" t="str">
        <f t="shared" si="65"/>
        <v>Yes</v>
      </c>
      <c r="E601" s="1">
        <v>45495</v>
      </c>
      <c r="F601" s="1">
        <v>46440</v>
      </c>
      <c r="G601">
        <f t="shared" ca="1" si="66"/>
        <v>357</v>
      </c>
      <c r="H601" t="str">
        <f t="shared" ca="1" si="67"/>
        <v>Active</v>
      </c>
      <c r="I601">
        <f t="shared" ca="1" si="68"/>
        <v>0</v>
      </c>
      <c r="J601" t="str">
        <f t="shared" si="69"/>
        <v>Environmental</v>
      </c>
    </row>
    <row r="602" spans="1:10">
      <c r="A602" t="str" cm="1">
        <f t="array" ref="A602">INDEX(Vendor_Master!$A$2:$A$401, ROUNDUP((ROW()-1)/4, 0))</f>
        <v>VND-151</v>
      </c>
      <c r="B602" t="str">
        <f t="shared" si="63"/>
        <v>ISO 14001</v>
      </c>
      <c r="C602" t="str">
        <f t="shared" si="64"/>
        <v>Yes</v>
      </c>
      <c r="D602" t="str">
        <f t="shared" si="65"/>
        <v>Yes</v>
      </c>
      <c r="E602" s="1">
        <v>45614</v>
      </c>
      <c r="F602" s="1">
        <v>46610</v>
      </c>
      <c r="G602">
        <f t="shared" ca="1" si="66"/>
        <v>527</v>
      </c>
      <c r="H602" t="str">
        <f t="shared" ca="1" si="67"/>
        <v>Active</v>
      </c>
      <c r="I602">
        <f t="shared" ca="1" si="68"/>
        <v>0</v>
      </c>
      <c r="J602" t="str">
        <f t="shared" si="69"/>
        <v>Environmental</v>
      </c>
    </row>
    <row r="603" spans="1:10">
      <c r="A603" t="str" cm="1">
        <f t="array" ref="A603">INDEX(Vendor_Master!$A$2:$A$401, ROUNDUP((ROW()-1)/4, 0))</f>
        <v>VND-151</v>
      </c>
      <c r="B603" t="str">
        <f t="shared" si="63"/>
        <v>Safety Certificate</v>
      </c>
      <c r="C603" t="str">
        <f t="shared" si="64"/>
        <v>Yes</v>
      </c>
      <c r="D603" t="str">
        <f t="shared" si="65"/>
        <v>Yes</v>
      </c>
      <c r="E603" s="1">
        <v>45578</v>
      </c>
      <c r="F603" s="1">
        <v>46456</v>
      </c>
      <c r="G603">
        <f t="shared" ca="1" si="66"/>
        <v>373</v>
      </c>
      <c r="H603" t="str">
        <f t="shared" ca="1" si="67"/>
        <v>Active</v>
      </c>
      <c r="I603">
        <f t="shared" ca="1" si="68"/>
        <v>0</v>
      </c>
      <c r="J603" t="str">
        <f t="shared" si="69"/>
        <v>Safety</v>
      </c>
    </row>
    <row r="604" spans="1:10">
      <c r="A604" t="str" cm="1">
        <f t="array" ref="A604">INDEX(Vendor_Master!$A$2:$A$401, ROUNDUP((ROW()-1)/4, 0))</f>
        <v>VND-151</v>
      </c>
      <c r="B604" t="str">
        <f t="shared" si="63"/>
        <v>Environmental Policy</v>
      </c>
      <c r="C604" t="str">
        <f t="shared" si="64"/>
        <v>Yes</v>
      </c>
      <c r="D604" t="str">
        <f t="shared" si="65"/>
        <v>Yes</v>
      </c>
      <c r="E604" s="1">
        <v>45607</v>
      </c>
      <c r="F604" s="1">
        <v>46814</v>
      </c>
      <c r="G604">
        <f t="shared" ca="1" si="66"/>
        <v>731</v>
      </c>
      <c r="H604" t="str">
        <f t="shared" ca="1" si="67"/>
        <v>Active</v>
      </c>
      <c r="I604">
        <f t="shared" ca="1" si="68"/>
        <v>0</v>
      </c>
      <c r="J604" t="str">
        <f t="shared" si="69"/>
        <v>Environmental</v>
      </c>
    </row>
    <row r="605" spans="1:10">
      <c r="A605" t="str" cm="1">
        <f t="array" ref="A605">INDEX(Vendor_Master!$A$2:$A$401, ROUNDUP((ROW()-1)/4, 0))</f>
        <v>VND-151</v>
      </c>
      <c r="B605" t="str">
        <f t="shared" si="63"/>
        <v>Sustainability Disclosure</v>
      </c>
      <c r="C605" t="str">
        <f t="shared" si="64"/>
        <v>Yes</v>
      </c>
      <c r="D605" t="str">
        <f t="shared" si="65"/>
        <v>Yes</v>
      </c>
      <c r="E605" s="1">
        <v>45471</v>
      </c>
      <c r="F605" s="1">
        <v>46802</v>
      </c>
      <c r="G605">
        <f t="shared" ca="1" si="66"/>
        <v>719</v>
      </c>
      <c r="H605" t="str">
        <f t="shared" ca="1" si="67"/>
        <v>Active</v>
      </c>
      <c r="I605">
        <f t="shared" ca="1" si="68"/>
        <v>0</v>
      </c>
      <c r="J605" t="str">
        <f t="shared" si="69"/>
        <v>Environmental</v>
      </c>
    </row>
    <row r="606" spans="1:10">
      <c r="A606" t="str" cm="1">
        <f t="array" ref="A606">INDEX(Vendor_Master!$A$2:$A$401, ROUNDUP((ROW()-1)/4, 0))</f>
        <v>VND-152</v>
      </c>
      <c r="B606" t="str">
        <f t="shared" si="63"/>
        <v>ISO 14001</v>
      </c>
      <c r="C606" t="str">
        <f t="shared" si="64"/>
        <v>Yes</v>
      </c>
      <c r="D606" t="str">
        <f t="shared" si="65"/>
        <v>Yes</v>
      </c>
      <c r="E606" s="1">
        <v>45547</v>
      </c>
      <c r="F606" s="1">
        <v>46453</v>
      </c>
      <c r="G606">
        <f t="shared" ca="1" si="66"/>
        <v>370</v>
      </c>
      <c r="H606" t="str">
        <f t="shared" ca="1" si="67"/>
        <v>Active</v>
      </c>
      <c r="I606">
        <f t="shared" ca="1" si="68"/>
        <v>0</v>
      </c>
      <c r="J606" t="str">
        <f t="shared" si="69"/>
        <v>Environmental</v>
      </c>
    </row>
    <row r="607" spans="1:10">
      <c r="A607" t="str" cm="1">
        <f t="array" ref="A607">INDEX(Vendor_Master!$A$2:$A$401, ROUNDUP((ROW()-1)/4, 0))</f>
        <v>VND-152</v>
      </c>
      <c r="B607" t="str">
        <f t="shared" si="63"/>
        <v>Safety Certificate</v>
      </c>
      <c r="C607" t="str">
        <f t="shared" si="64"/>
        <v>Yes</v>
      </c>
      <c r="D607" t="str">
        <f t="shared" si="65"/>
        <v>Yes</v>
      </c>
      <c r="E607" s="1">
        <v>45901</v>
      </c>
      <c r="F607" s="1">
        <v>46362</v>
      </c>
      <c r="G607">
        <f t="shared" ca="1" si="66"/>
        <v>279</v>
      </c>
      <c r="H607" t="str">
        <f t="shared" ca="1" si="67"/>
        <v>Active</v>
      </c>
      <c r="I607">
        <f t="shared" ca="1" si="68"/>
        <v>0</v>
      </c>
      <c r="J607" t="str">
        <f t="shared" si="69"/>
        <v>Safety</v>
      </c>
    </row>
    <row r="608" spans="1:10">
      <c r="A608" t="str" cm="1">
        <f t="array" ref="A608">INDEX(Vendor_Master!$A$2:$A$401, ROUNDUP((ROW()-1)/4, 0))</f>
        <v>VND-152</v>
      </c>
      <c r="B608" t="str">
        <f t="shared" si="63"/>
        <v>Environmental Policy</v>
      </c>
      <c r="C608" t="str">
        <f t="shared" si="64"/>
        <v>Yes</v>
      </c>
      <c r="D608" t="str">
        <f t="shared" si="65"/>
        <v>Yes</v>
      </c>
      <c r="E608" s="1">
        <v>45554</v>
      </c>
      <c r="F608" s="1">
        <v>46449</v>
      </c>
      <c r="G608">
        <f t="shared" ca="1" si="66"/>
        <v>366</v>
      </c>
      <c r="H608" t="str">
        <f t="shared" ca="1" si="67"/>
        <v>Active</v>
      </c>
      <c r="I608">
        <f t="shared" ca="1" si="68"/>
        <v>0</v>
      </c>
      <c r="J608" t="str">
        <f t="shared" si="69"/>
        <v>Environmental</v>
      </c>
    </row>
    <row r="609" spans="1:10">
      <c r="A609" t="str" cm="1">
        <f t="array" ref="A609">INDEX(Vendor_Master!$A$2:$A$401, ROUNDUP((ROW()-1)/4, 0))</f>
        <v>VND-152</v>
      </c>
      <c r="B609" t="str">
        <f t="shared" si="63"/>
        <v>Sustainability Disclosure</v>
      </c>
      <c r="C609" t="str">
        <f t="shared" si="64"/>
        <v>Yes</v>
      </c>
      <c r="D609" t="str">
        <f t="shared" si="65"/>
        <v>Yes</v>
      </c>
      <c r="E609" s="1">
        <v>46070</v>
      </c>
      <c r="F609" s="1">
        <v>46732</v>
      </c>
      <c r="G609">
        <f t="shared" ca="1" si="66"/>
        <v>649</v>
      </c>
      <c r="H609" t="str">
        <f t="shared" ca="1" si="67"/>
        <v>Active</v>
      </c>
      <c r="I609">
        <f t="shared" ca="1" si="68"/>
        <v>0</v>
      </c>
      <c r="J609" t="str">
        <f t="shared" si="69"/>
        <v>Environmental</v>
      </c>
    </row>
    <row r="610" spans="1:10">
      <c r="A610" t="str" cm="1">
        <f t="array" ref="A610">INDEX(Vendor_Master!$A$2:$A$401, ROUNDUP((ROW()-1)/4, 0))</f>
        <v>VND-153</v>
      </c>
      <c r="B610" t="str">
        <f t="shared" si="63"/>
        <v>ISO 14001</v>
      </c>
      <c r="C610" t="str">
        <f t="shared" si="64"/>
        <v>Yes</v>
      </c>
      <c r="D610" t="str">
        <f t="shared" si="65"/>
        <v>Yes</v>
      </c>
      <c r="E610" s="1">
        <v>45636</v>
      </c>
      <c r="F610" s="1">
        <v>46953</v>
      </c>
      <c r="G610">
        <f t="shared" ca="1" si="66"/>
        <v>870</v>
      </c>
      <c r="H610" t="str">
        <f t="shared" ca="1" si="67"/>
        <v>Active</v>
      </c>
      <c r="I610">
        <f t="shared" ca="1" si="68"/>
        <v>0</v>
      </c>
      <c r="J610" t="str">
        <f t="shared" si="69"/>
        <v>Environmental</v>
      </c>
    </row>
    <row r="611" spans="1:10">
      <c r="A611" t="str" cm="1">
        <f t="array" ref="A611">INDEX(Vendor_Master!$A$2:$A$401, ROUNDUP((ROW()-1)/4, 0))</f>
        <v>VND-153</v>
      </c>
      <c r="B611" t="str">
        <f t="shared" si="63"/>
        <v>Safety Certificate</v>
      </c>
      <c r="C611" t="str">
        <f t="shared" si="64"/>
        <v>Yes</v>
      </c>
      <c r="D611" t="str">
        <f t="shared" si="65"/>
        <v>Yes</v>
      </c>
      <c r="E611" s="1">
        <v>45450</v>
      </c>
      <c r="F611" s="1">
        <v>46639</v>
      </c>
      <c r="G611">
        <f t="shared" ca="1" si="66"/>
        <v>556</v>
      </c>
      <c r="H611" t="str">
        <f t="shared" ca="1" si="67"/>
        <v>Active</v>
      </c>
      <c r="I611">
        <f t="shared" ca="1" si="68"/>
        <v>0</v>
      </c>
      <c r="J611" t="str">
        <f t="shared" si="69"/>
        <v>Safety</v>
      </c>
    </row>
    <row r="612" spans="1:10">
      <c r="A612" t="str" cm="1">
        <f t="array" ref="A612">INDEX(Vendor_Master!$A$2:$A$401, ROUNDUP((ROW()-1)/4, 0))</f>
        <v>VND-153</v>
      </c>
      <c r="B612" t="str">
        <f t="shared" si="63"/>
        <v>Environmental Policy</v>
      </c>
      <c r="C612" t="str">
        <f t="shared" si="64"/>
        <v>Yes</v>
      </c>
      <c r="D612" t="str">
        <f t="shared" si="65"/>
        <v>Yes</v>
      </c>
      <c r="E612" s="1">
        <v>45484</v>
      </c>
      <c r="F612" s="1">
        <v>46876</v>
      </c>
      <c r="G612">
        <f t="shared" ca="1" si="66"/>
        <v>793</v>
      </c>
      <c r="H612" t="str">
        <f t="shared" ca="1" si="67"/>
        <v>Active</v>
      </c>
      <c r="I612">
        <f t="shared" ca="1" si="68"/>
        <v>0</v>
      </c>
      <c r="J612" t="str">
        <f t="shared" si="69"/>
        <v>Environmental</v>
      </c>
    </row>
    <row r="613" spans="1:10">
      <c r="A613" t="str" cm="1">
        <f t="array" ref="A613">INDEX(Vendor_Master!$A$2:$A$401, ROUNDUP((ROW()-1)/4, 0))</f>
        <v>VND-153</v>
      </c>
      <c r="B613" t="str">
        <f t="shared" si="63"/>
        <v>Sustainability Disclosure</v>
      </c>
      <c r="C613" t="str">
        <f t="shared" si="64"/>
        <v>Yes</v>
      </c>
      <c r="D613" t="str">
        <f t="shared" si="65"/>
        <v>Yes</v>
      </c>
      <c r="E613" s="1">
        <v>45789</v>
      </c>
      <c r="F613" s="1">
        <v>46395</v>
      </c>
      <c r="G613">
        <f t="shared" ca="1" si="66"/>
        <v>312</v>
      </c>
      <c r="H613" t="str">
        <f t="shared" ca="1" si="67"/>
        <v>Active</v>
      </c>
      <c r="I613">
        <f t="shared" ca="1" si="68"/>
        <v>0</v>
      </c>
      <c r="J613" t="str">
        <f t="shared" si="69"/>
        <v>Environmental</v>
      </c>
    </row>
    <row r="614" spans="1:10">
      <c r="A614" t="str" cm="1">
        <f t="array" ref="A614">INDEX(Vendor_Master!$A$2:$A$401, ROUNDUP((ROW()-1)/4, 0))</f>
        <v>VND-154</v>
      </c>
      <c r="B614" t="str">
        <f t="shared" si="63"/>
        <v>ISO 14001</v>
      </c>
      <c r="C614" t="str">
        <f t="shared" si="64"/>
        <v>Yes</v>
      </c>
      <c r="D614" t="str">
        <f t="shared" si="65"/>
        <v>Yes</v>
      </c>
      <c r="E614" s="1">
        <v>46057</v>
      </c>
      <c r="F614" s="1">
        <v>46404</v>
      </c>
      <c r="G614">
        <f t="shared" ca="1" si="66"/>
        <v>321</v>
      </c>
      <c r="H614" t="str">
        <f t="shared" ca="1" si="67"/>
        <v>Active</v>
      </c>
      <c r="I614">
        <f t="shared" ca="1" si="68"/>
        <v>0</v>
      </c>
      <c r="J614" t="str">
        <f t="shared" si="69"/>
        <v>Environmental</v>
      </c>
    </row>
    <row r="615" spans="1:10">
      <c r="A615" t="str" cm="1">
        <f t="array" ref="A615">INDEX(Vendor_Master!$A$2:$A$401, ROUNDUP((ROW()-1)/4, 0))</f>
        <v>VND-154</v>
      </c>
      <c r="B615" t="str">
        <f t="shared" si="63"/>
        <v>Safety Certificate</v>
      </c>
      <c r="C615" t="str">
        <f t="shared" si="64"/>
        <v>Yes</v>
      </c>
      <c r="D615" t="str">
        <f t="shared" si="65"/>
        <v>Yes</v>
      </c>
      <c r="E615" s="1">
        <v>45965</v>
      </c>
      <c r="F615" s="1">
        <v>46855</v>
      </c>
      <c r="G615">
        <f t="shared" ca="1" si="66"/>
        <v>772</v>
      </c>
      <c r="H615" t="str">
        <f t="shared" ca="1" si="67"/>
        <v>Active</v>
      </c>
      <c r="I615">
        <f t="shared" ca="1" si="68"/>
        <v>0</v>
      </c>
      <c r="J615" t="str">
        <f t="shared" si="69"/>
        <v>Safety</v>
      </c>
    </row>
    <row r="616" spans="1:10">
      <c r="A616" t="str" cm="1">
        <f t="array" ref="A616">INDEX(Vendor_Master!$A$2:$A$401, ROUNDUP((ROW()-1)/4, 0))</f>
        <v>VND-154</v>
      </c>
      <c r="B616" t="str">
        <f t="shared" si="63"/>
        <v>Environmental Policy</v>
      </c>
      <c r="C616" t="str">
        <f t="shared" si="64"/>
        <v>Yes</v>
      </c>
      <c r="D616" t="str">
        <f t="shared" si="65"/>
        <v>Yes</v>
      </c>
      <c r="E616" s="1">
        <v>45398</v>
      </c>
      <c r="F616" s="1">
        <v>46767</v>
      </c>
      <c r="G616">
        <f t="shared" ca="1" si="66"/>
        <v>684</v>
      </c>
      <c r="H616" t="str">
        <f t="shared" ca="1" si="67"/>
        <v>Active</v>
      </c>
      <c r="I616">
        <f t="shared" ca="1" si="68"/>
        <v>0</v>
      </c>
      <c r="J616" t="str">
        <f t="shared" si="69"/>
        <v>Environmental</v>
      </c>
    </row>
    <row r="617" spans="1:10">
      <c r="A617" t="str" cm="1">
        <f t="array" ref="A617">INDEX(Vendor_Master!$A$2:$A$401, ROUNDUP((ROW()-1)/4, 0))</f>
        <v>VND-154</v>
      </c>
      <c r="B617" t="str">
        <f t="shared" si="63"/>
        <v>Sustainability Disclosure</v>
      </c>
      <c r="C617" t="str">
        <f t="shared" si="64"/>
        <v>Yes</v>
      </c>
      <c r="D617" t="str">
        <f t="shared" si="65"/>
        <v>Yes</v>
      </c>
      <c r="E617" s="1">
        <v>45949</v>
      </c>
      <c r="F617" s="1">
        <v>46211</v>
      </c>
      <c r="G617">
        <f t="shared" ca="1" si="66"/>
        <v>128</v>
      </c>
      <c r="H617" t="str">
        <f t="shared" ca="1" si="67"/>
        <v>Active</v>
      </c>
      <c r="I617">
        <f t="shared" ca="1" si="68"/>
        <v>0</v>
      </c>
      <c r="J617" t="str">
        <f t="shared" si="69"/>
        <v>Environmental</v>
      </c>
    </row>
    <row r="618" spans="1:10">
      <c r="A618" t="str" cm="1">
        <f t="array" ref="A618">INDEX(Vendor_Master!$A$2:$A$401, ROUNDUP((ROW()-1)/4, 0))</f>
        <v>VND-155</v>
      </c>
      <c r="B618" t="str">
        <f t="shared" si="63"/>
        <v>ISO 14001</v>
      </c>
      <c r="C618" t="str">
        <f t="shared" si="64"/>
        <v>Yes</v>
      </c>
      <c r="D618" t="str">
        <f t="shared" si="65"/>
        <v>Yes</v>
      </c>
      <c r="E618" s="1">
        <v>46023</v>
      </c>
      <c r="F618" s="1">
        <v>46471</v>
      </c>
      <c r="G618">
        <f t="shared" ca="1" si="66"/>
        <v>388</v>
      </c>
      <c r="H618" t="str">
        <f t="shared" ca="1" si="67"/>
        <v>Active</v>
      </c>
      <c r="I618">
        <f t="shared" ca="1" si="68"/>
        <v>0</v>
      </c>
      <c r="J618" t="str">
        <f t="shared" si="69"/>
        <v>Environmental</v>
      </c>
    </row>
    <row r="619" spans="1:10">
      <c r="A619" t="str" cm="1">
        <f t="array" ref="A619">INDEX(Vendor_Master!$A$2:$A$401, ROUNDUP((ROW()-1)/4, 0))</f>
        <v>VND-155</v>
      </c>
      <c r="B619" t="str">
        <f t="shared" si="63"/>
        <v>Safety Certificate</v>
      </c>
      <c r="C619" t="str">
        <f t="shared" si="64"/>
        <v>Yes</v>
      </c>
      <c r="D619" t="str">
        <f t="shared" si="65"/>
        <v>Yes</v>
      </c>
      <c r="E619" s="1">
        <v>46020</v>
      </c>
      <c r="F619" s="1">
        <v>46802</v>
      </c>
      <c r="G619">
        <f t="shared" ca="1" si="66"/>
        <v>719</v>
      </c>
      <c r="H619" t="str">
        <f t="shared" ca="1" si="67"/>
        <v>Active</v>
      </c>
      <c r="I619">
        <f t="shared" ca="1" si="68"/>
        <v>0</v>
      </c>
      <c r="J619" t="str">
        <f t="shared" si="69"/>
        <v>Safety</v>
      </c>
    </row>
    <row r="620" spans="1:10">
      <c r="A620" t="str" cm="1">
        <f t="array" ref="A620">INDEX(Vendor_Master!$A$2:$A$401, ROUNDUP((ROW()-1)/4, 0))</f>
        <v>VND-155</v>
      </c>
      <c r="B620" t="str">
        <f t="shared" si="63"/>
        <v>Environmental Policy</v>
      </c>
      <c r="C620" t="str">
        <f t="shared" si="64"/>
        <v>Yes</v>
      </c>
      <c r="D620" t="str">
        <f t="shared" si="65"/>
        <v>Yes</v>
      </c>
      <c r="E620" s="1">
        <v>45430</v>
      </c>
      <c r="F620" s="1">
        <v>46574</v>
      </c>
      <c r="G620">
        <f t="shared" ca="1" si="66"/>
        <v>491</v>
      </c>
      <c r="H620" t="str">
        <f t="shared" ca="1" si="67"/>
        <v>Active</v>
      </c>
      <c r="I620">
        <f t="shared" ca="1" si="68"/>
        <v>0</v>
      </c>
      <c r="J620" t="str">
        <f t="shared" si="69"/>
        <v>Environmental</v>
      </c>
    </row>
    <row r="621" spans="1:10">
      <c r="A621" t="str" cm="1">
        <f t="array" ref="A621">INDEX(Vendor_Master!$A$2:$A$401, ROUNDUP((ROW()-1)/4, 0))</f>
        <v>VND-155</v>
      </c>
      <c r="B621" t="str">
        <f t="shared" si="63"/>
        <v>Sustainability Disclosure</v>
      </c>
      <c r="C621" t="str">
        <f t="shared" si="64"/>
        <v>Yes</v>
      </c>
      <c r="D621" t="str">
        <f t="shared" si="65"/>
        <v>Yes</v>
      </c>
      <c r="E621" s="1">
        <v>45719</v>
      </c>
      <c r="F621" s="1">
        <v>46411</v>
      </c>
      <c r="G621">
        <f t="shared" ca="1" si="66"/>
        <v>328</v>
      </c>
      <c r="H621" t="str">
        <f t="shared" ca="1" si="67"/>
        <v>Active</v>
      </c>
      <c r="I621">
        <f t="shared" ca="1" si="68"/>
        <v>0</v>
      </c>
      <c r="J621" t="str">
        <f t="shared" si="69"/>
        <v>Environmental</v>
      </c>
    </row>
    <row r="622" spans="1:10">
      <c r="A622" t="str" cm="1">
        <f t="array" ref="A622">INDEX(Vendor_Master!$A$2:$A$401, ROUNDUP((ROW()-1)/4, 0))</f>
        <v>VND-156</v>
      </c>
      <c r="B622" t="str">
        <f t="shared" si="63"/>
        <v>ISO 14001</v>
      </c>
      <c r="C622" t="str">
        <f t="shared" si="64"/>
        <v>Yes</v>
      </c>
      <c r="D622" t="str">
        <f t="shared" si="65"/>
        <v>Yes</v>
      </c>
      <c r="E622" s="1">
        <v>45388</v>
      </c>
      <c r="F622" s="1">
        <v>46956</v>
      </c>
      <c r="G622">
        <f t="shared" ca="1" si="66"/>
        <v>873</v>
      </c>
      <c r="H622" t="str">
        <f t="shared" ca="1" si="67"/>
        <v>Active</v>
      </c>
      <c r="I622">
        <f t="shared" ca="1" si="68"/>
        <v>0</v>
      </c>
      <c r="J622" t="str">
        <f t="shared" si="69"/>
        <v>Environmental</v>
      </c>
    </row>
    <row r="623" spans="1:10">
      <c r="A623" t="str" cm="1">
        <f t="array" ref="A623">INDEX(Vendor_Master!$A$2:$A$401, ROUNDUP((ROW()-1)/4, 0))</f>
        <v>VND-156</v>
      </c>
      <c r="B623" t="str">
        <f t="shared" si="63"/>
        <v>Safety Certificate</v>
      </c>
      <c r="C623" t="str">
        <f t="shared" si="64"/>
        <v>Yes</v>
      </c>
      <c r="D623" t="str">
        <f t="shared" si="65"/>
        <v>Yes</v>
      </c>
      <c r="E623" s="1">
        <v>45972</v>
      </c>
      <c r="F623" s="1">
        <v>46961</v>
      </c>
      <c r="G623">
        <f t="shared" ca="1" si="66"/>
        <v>878</v>
      </c>
      <c r="H623" t="str">
        <f t="shared" ca="1" si="67"/>
        <v>Active</v>
      </c>
      <c r="I623">
        <f t="shared" ca="1" si="68"/>
        <v>0</v>
      </c>
      <c r="J623" t="str">
        <f t="shared" si="69"/>
        <v>Safety</v>
      </c>
    </row>
    <row r="624" spans="1:10">
      <c r="A624" t="str" cm="1">
        <f t="array" ref="A624">INDEX(Vendor_Master!$A$2:$A$401, ROUNDUP((ROW()-1)/4, 0))</f>
        <v>VND-156</v>
      </c>
      <c r="B624" t="str">
        <f t="shared" si="63"/>
        <v>Environmental Policy</v>
      </c>
      <c r="C624" t="str">
        <f t="shared" si="64"/>
        <v>Yes</v>
      </c>
      <c r="D624" t="str">
        <f t="shared" si="65"/>
        <v>Yes</v>
      </c>
      <c r="E624" s="1">
        <v>45890</v>
      </c>
      <c r="F624" s="1">
        <v>46938</v>
      </c>
      <c r="G624">
        <f t="shared" ca="1" si="66"/>
        <v>855</v>
      </c>
      <c r="H624" t="str">
        <f t="shared" ca="1" si="67"/>
        <v>Active</v>
      </c>
      <c r="I624">
        <f t="shared" ca="1" si="68"/>
        <v>0</v>
      </c>
      <c r="J624" t="str">
        <f t="shared" si="69"/>
        <v>Environmental</v>
      </c>
    </row>
    <row r="625" spans="1:10">
      <c r="A625" t="str" cm="1">
        <f t="array" ref="A625">INDEX(Vendor_Master!$A$2:$A$401, ROUNDUP((ROW()-1)/4, 0))</f>
        <v>VND-156</v>
      </c>
      <c r="B625" t="str">
        <f t="shared" si="63"/>
        <v>Sustainability Disclosure</v>
      </c>
      <c r="C625" t="str">
        <f t="shared" si="64"/>
        <v>Yes</v>
      </c>
      <c r="D625" t="str">
        <f t="shared" si="65"/>
        <v>Yes</v>
      </c>
      <c r="E625" s="1">
        <v>45917</v>
      </c>
      <c r="F625" s="1">
        <v>46563</v>
      </c>
      <c r="G625">
        <f t="shared" ca="1" si="66"/>
        <v>480</v>
      </c>
      <c r="H625" t="str">
        <f t="shared" ca="1" si="67"/>
        <v>Active</v>
      </c>
      <c r="I625">
        <f t="shared" ca="1" si="68"/>
        <v>0</v>
      </c>
      <c r="J625" t="str">
        <f t="shared" si="69"/>
        <v>Environmental</v>
      </c>
    </row>
    <row r="626" spans="1:10">
      <c r="A626" t="str" cm="1">
        <f t="array" ref="A626">INDEX(Vendor_Master!$A$2:$A$401, ROUNDUP((ROW()-1)/4, 0))</f>
        <v>VND-157</v>
      </c>
      <c r="B626" t="str">
        <f t="shared" si="63"/>
        <v>ISO 14001</v>
      </c>
      <c r="C626" t="str">
        <f t="shared" si="64"/>
        <v>Yes</v>
      </c>
      <c r="D626" t="str">
        <f t="shared" si="65"/>
        <v>Yes</v>
      </c>
      <c r="E626" s="1">
        <v>45934</v>
      </c>
      <c r="F626" s="1">
        <v>46914</v>
      </c>
      <c r="G626">
        <f t="shared" ca="1" si="66"/>
        <v>831</v>
      </c>
      <c r="H626" t="str">
        <f t="shared" ca="1" si="67"/>
        <v>Active</v>
      </c>
      <c r="I626">
        <f t="shared" ca="1" si="68"/>
        <v>0</v>
      </c>
      <c r="J626" t="str">
        <f t="shared" si="69"/>
        <v>Environmental</v>
      </c>
    </row>
    <row r="627" spans="1:10">
      <c r="A627" t="str" cm="1">
        <f t="array" ref="A627">INDEX(Vendor_Master!$A$2:$A$401, ROUNDUP((ROW()-1)/4, 0))</f>
        <v>VND-157</v>
      </c>
      <c r="B627" t="str">
        <f t="shared" si="63"/>
        <v>Safety Certificate</v>
      </c>
      <c r="C627" t="str">
        <f t="shared" si="64"/>
        <v>Yes</v>
      </c>
      <c r="D627" t="str">
        <f t="shared" si="65"/>
        <v>Yes</v>
      </c>
      <c r="E627" s="1">
        <v>45637</v>
      </c>
      <c r="F627" s="1">
        <v>46648</v>
      </c>
      <c r="G627">
        <f t="shared" ca="1" si="66"/>
        <v>565</v>
      </c>
      <c r="H627" t="str">
        <f t="shared" ca="1" si="67"/>
        <v>Active</v>
      </c>
      <c r="I627">
        <f t="shared" ca="1" si="68"/>
        <v>0</v>
      </c>
      <c r="J627" t="str">
        <f t="shared" si="69"/>
        <v>Safety</v>
      </c>
    </row>
    <row r="628" spans="1:10">
      <c r="A628" t="str" cm="1">
        <f t="array" ref="A628">INDEX(Vendor_Master!$A$2:$A$401, ROUNDUP((ROW()-1)/4, 0))</f>
        <v>VND-157</v>
      </c>
      <c r="B628" t="str">
        <f t="shared" si="63"/>
        <v>Environmental Policy</v>
      </c>
      <c r="C628" t="str">
        <f t="shared" si="64"/>
        <v>Yes</v>
      </c>
      <c r="D628" t="str">
        <f t="shared" si="65"/>
        <v>Yes</v>
      </c>
      <c r="E628" s="1">
        <v>46062</v>
      </c>
      <c r="F628" s="1">
        <v>46540</v>
      </c>
      <c r="G628">
        <f t="shared" ca="1" si="66"/>
        <v>457</v>
      </c>
      <c r="H628" t="str">
        <f t="shared" ca="1" si="67"/>
        <v>Active</v>
      </c>
      <c r="I628">
        <f t="shared" ca="1" si="68"/>
        <v>0</v>
      </c>
      <c r="J628" t="str">
        <f t="shared" si="69"/>
        <v>Environmental</v>
      </c>
    </row>
    <row r="629" spans="1:10">
      <c r="A629" t="str" cm="1">
        <f t="array" ref="A629">INDEX(Vendor_Master!$A$2:$A$401, ROUNDUP((ROW()-1)/4, 0))</f>
        <v>VND-157</v>
      </c>
      <c r="B629" t="str">
        <f t="shared" si="63"/>
        <v>Sustainability Disclosure</v>
      </c>
      <c r="C629" t="str">
        <f t="shared" si="64"/>
        <v>Yes</v>
      </c>
      <c r="D629" t="str">
        <f t="shared" si="65"/>
        <v>Yes</v>
      </c>
      <c r="E629" s="1">
        <v>45757</v>
      </c>
      <c r="F629" s="1">
        <v>46748</v>
      </c>
      <c r="G629">
        <f t="shared" ca="1" si="66"/>
        <v>665</v>
      </c>
      <c r="H629" t="str">
        <f t="shared" ca="1" si="67"/>
        <v>Active</v>
      </c>
      <c r="I629">
        <f t="shared" ca="1" si="68"/>
        <v>0</v>
      </c>
      <c r="J629" t="str">
        <f t="shared" si="69"/>
        <v>Environmental</v>
      </c>
    </row>
    <row r="630" spans="1:10">
      <c r="A630" t="str" cm="1">
        <f t="array" ref="A630">INDEX(Vendor_Master!$A$2:$A$401, ROUNDUP((ROW()-1)/4, 0))</f>
        <v>VND-158</v>
      </c>
      <c r="B630" t="str">
        <f t="shared" si="63"/>
        <v>ISO 14001</v>
      </c>
      <c r="C630" t="str">
        <f t="shared" si="64"/>
        <v>Yes</v>
      </c>
      <c r="D630" t="str">
        <f t="shared" si="65"/>
        <v>Yes</v>
      </c>
      <c r="E630" s="1">
        <v>45692</v>
      </c>
      <c r="F630" s="1">
        <v>46319</v>
      </c>
      <c r="G630">
        <f t="shared" ca="1" si="66"/>
        <v>236</v>
      </c>
      <c r="H630" t="str">
        <f t="shared" ca="1" si="67"/>
        <v>Active</v>
      </c>
      <c r="I630">
        <f t="shared" ca="1" si="68"/>
        <v>0</v>
      </c>
      <c r="J630" t="str">
        <f t="shared" si="69"/>
        <v>Environmental</v>
      </c>
    </row>
    <row r="631" spans="1:10">
      <c r="A631" t="str" cm="1">
        <f t="array" ref="A631">INDEX(Vendor_Master!$A$2:$A$401, ROUNDUP((ROW()-1)/4, 0))</f>
        <v>VND-158</v>
      </c>
      <c r="B631" t="str">
        <f t="shared" si="63"/>
        <v>Safety Certificate</v>
      </c>
      <c r="C631" t="str">
        <f t="shared" si="64"/>
        <v>Yes</v>
      </c>
      <c r="D631" t="str">
        <f t="shared" si="65"/>
        <v>Yes</v>
      </c>
      <c r="E631" s="1">
        <v>45986</v>
      </c>
      <c r="F631" s="1">
        <v>46430</v>
      </c>
      <c r="G631">
        <f t="shared" ca="1" si="66"/>
        <v>347</v>
      </c>
      <c r="H631" t="str">
        <f t="shared" ca="1" si="67"/>
        <v>Active</v>
      </c>
      <c r="I631">
        <f t="shared" ca="1" si="68"/>
        <v>0</v>
      </c>
      <c r="J631" t="str">
        <f t="shared" si="69"/>
        <v>Safety</v>
      </c>
    </row>
    <row r="632" spans="1:10">
      <c r="A632" t="str" cm="1">
        <f t="array" ref="A632">INDEX(Vendor_Master!$A$2:$A$401, ROUNDUP((ROW()-1)/4, 0))</f>
        <v>VND-158</v>
      </c>
      <c r="B632" t="str">
        <f t="shared" si="63"/>
        <v>Environmental Policy</v>
      </c>
      <c r="C632" t="str">
        <f t="shared" si="64"/>
        <v>Yes</v>
      </c>
      <c r="D632" t="str">
        <f t="shared" si="65"/>
        <v>Yes</v>
      </c>
      <c r="E632" s="1">
        <v>46032</v>
      </c>
      <c r="F632" s="1">
        <v>46779</v>
      </c>
      <c r="G632">
        <f t="shared" ca="1" si="66"/>
        <v>696</v>
      </c>
      <c r="H632" t="str">
        <f t="shared" ca="1" si="67"/>
        <v>Active</v>
      </c>
      <c r="I632">
        <f t="shared" ca="1" si="68"/>
        <v>0</v>
      </c>
      <c r="J632" t="str">
        <f t="shared" si="69"/>
        <v>Environmental</v>
      </c>
    </row>
    <row r="633" spans="1:10">
      <c r="A633" t="str" cm="1">
        <f t="array" ref="A633">INDEX(Vendor_Master!$A$2:$A$401, ROUNDUP((ROW()-1)/4, 0))</f>
        <v>VND-158</v>
      </c>
      <c r="B633" t="str">
        <f t="shared" si="63"/>
        <v>Sustainability Disclosure</v>
      </c>
      <c r="C633" t="str">
        <f t="shared" si="64"/>
        <v>Yes</v>
      </c>
      <c r="D633" t="str">
        <f t="shared" si="65"/>
        <v>Yes</v>
      </c>
      <c r="E633" s="1">
        <v>45656</v>
      </c>
      <c r="F633" s="1">
        <v>46926</v>
      </c>
      <c r="G633">
        <f t="shared" ca="1" si="66"/>
        <v>843</v>
      </c>
      <c r="H633" t="str">
        <f t="shared" ca="1" si="67"/>
        <v>Active</v>
      </c>
      <c r="I633">
        <f t="shared" ca="1" si="68"/>
        <v>0</v>
      </c>
      <c r="J633" t="str">
        <f t="shared" si="69"/>
        <v>Environmental</v>
      </c>
    </row>
    <row r="634" spans="1:10">
      <c r="A634" t="str" cm="1">
        <f t="array" ref="A634">INDEX(Vendor_Master!$A$2:$A$401, ROUNDUP((ROW()-1)/4, 0))</f>
        <v>VND-159</v>
      </c>
      <c r="B634" t="str">
        <f t="shared" si="63"/>
        <v>ISO 14001</v>
      </c>
      <c r="C634" t="str">
        <f t="shared" si="64"/>
        <v>Yes</v>
      </c>
      <c r="D634" t="str">
        <f t="shared" si="65"/>
        <v>Yes</v>
      </c>
      <c r="E634" s="1">
        <v>45507</v>
      </c>
      <c r="F634" s="1">
        <v>46862</v>
      </c>
      <c r="G634">
        <f t="shared" ca="1" si="66"/>
        <v>779</v>
      </c>
      <c r="H634" t="str">
        <f t="shared" ca="1" si="67"/>
        <v>Active</v>
      </c>
      <c r="I634">
        <f t="shared" ca="1" si="68"/>
        <v>0</v>
      </c>
      <c r="J634" t="str">
        <f t="shared" si="69"/>
        <v>Environmental</v>
      </c>
    </row>
    <row r="635" spans="1:10">
      <c r="A635" t="str" cm="1">
        <f t="array" ref="A635">INDEX(Vendor_Master!$A$2:$A$401, ROUNDUP((ROW()-1)/4, 0))</f>
        <v>VND-159</v>
      </c>
      <c r="B635" t="str">
        <f t="shared" si="63"/>
        <v>Safety Certificate</v>
      </c>
      <c r="C635" t="str">
        <f t="shared" si="64"/>
        <v>Yes</v>
      </c>
      <c r="D635" t="str">
        <f t="shared" si="65"/>
        <v>Yes</v>
      </c>
      <c r="E635" s="1">
        <v>45965</v>
      </c>
      <c r="F635" s="1">
        <v>46636</v>
      </c>
      <c r="G635">
        <f t="shared" ca="1" si="66"/>
        <v>553</v>
      </c>
      <c r="H635" t="str">
        <f t="shared" ca="1" si="67"/>
        <v>Active</v>
      </c>
      <c r="I635">
        <f t="shared" ca="1" si="68"/>
        <v>0</v>
      </c>
      <c r="J635" t="str">
        <f t="shared" si="69"/>
        <v>Safety</v>
      </c>
    </row>
    <row r="636" spans="1:10">
      <c r="A636" t="str" cm="1">
        <f t="array" ref="A636">INDEX(Vendor_Master!$A$2:$A$401, ROUNDUP((ROW()-1)/4, 0))</f>
        <v>VND-159</v>
      </c>
      <c r="B636" t="str">
        <f t="shared" si="63"/>
        <v>Environmental Policy</v>
      </c>
      <c r="C636" t="str">
        <f t="shared" si="64"/>
        <v>Yes</v>
      </c>
      <c r="D636" t="str">
        <f t="shared" si="65"/>
        <v>Yes</v>
      </c>
      <c r="E636" s="1">
        <v>45841</v>
      </c>
      <c r="F636" s="1">
        <v>46322</v>
      </c>
      <c r="G636">
        <f t="shared" ca="1" si="66"/>
        <v>239</v>
      </c>
      <c r="H636" t="str">
        <f t="shared" ca="1" si="67"/>
        <v>Active</v>
      </c>
      <c r="I636">
        <f t="shared" ca="1" si="68"/>
        <v>0</v>
      </c>
      <c r="J636" t="str">
        <f t="shared" si="69"/>
        <v>Environmental</v>
      </c>
    </row>
    <row r="637" spans="1:10">
      <c r="A637" t="str" cm="1">
        <f t="array" ref="A637">INDEX(Vendor_Master!$A$2:$A$401, ROUNDUP((ROW()-1)/4, 0))</f>
        <v>VND-159</v>
      </c>
      <c r="B637" t="str">
        <f t="shared" si="63"/>
        <v>Sustainability Disclosure</v>
      </c>
      <c r="C637" t="str">
        <f t="shared" si="64"/>
        <v>Yes</v>
      </c>
      <c r="D637" t="str">
        <f t="shared" si="65"/>
        <v>Yes</v>
      </c>
      <c r="E637" s="1">
        <v>45869</v>
      </c>
      <c r="F637" s="1">
        <v>46368</v>
      </c>
      <c r="G637">
        <f t="shared" ca="1" si="66"/>
        <v>285</v>
      </c>
      <c r="H637" t="str">
        <f t="shared" ca="1" si="67"/>
        <v>Active</v>
      </c>
      <c r="I637">
        <f t="shared" ca="1" si="68"/>
        <v>0</v>
      </c>
      <c r="J637" t="str">
        <f t="shared" si="69"/>
        <v>Environmental</v>
      </c>
    </row>
    <row r="638" spans="1:10">
      <c r="A638" t="str" cm="1">
        <f t="array" ref="A638">INDEX(Vendor_Master!$A$2:$A$401, ROUNDUP((ROW()-1)/4, 0))</f>
        <v>VND-160</v>
      </c>
      <c r="B638" t="str">
        <f t="shared" si="63"/>
        <v>ISO 14001</v>
      </c>
      <c r="C638" t="str">
        <f t="shared" si="64"/>
        <v>Yes</v>
      </c>
      <c r="D638" t="str">
        <f t="shared" si="65"/>
        <v>Yes</v>
      </c>
      <c r="E638" s="1">
        <v>45580</v>
      </c>
      <c r="F638" s="1">
        <v>46509</v>
      </c>
      <c r="G638">
        <f t="shared" ca="1" si="66"/>
        <v>426</v>
      </c>
      <c r="H638" t="str">
        <f t="shared" ca="1" si="67"/>
        <v>Active</v>
      </c>
      <c r="I638">
        <f t="shared" ca="1" si="68"/>
        <v>0</v>
      </c>
      <c r="J638" t="str">
        <f t="shared" si="69"/>
        <v>Environmental</v>
      </c>
    </row>
    <row r="639" spans="1:10">
      <c r="A639" t="str" cm="1">
        <f t="array" ref="A639">INDEX(Vendor_Master!$A$2:$A$401, ROUNDUP((ROW()-1)/4, 0))</f>
        <v>VND-160</v>
      </c>
      <c r="B639" t="str">
        <f t="shared" si="63"/>
        <v>Safety Certificate</v>
      </c>
      <c r="C639" t="str">
        <f t="shared" si="64"/>
        <v>Yes</v>
      </c>
      <c r="D639" t="str">
        <f t="shared" si="65"/>
        <v>Yes</v>
      </c>
      <c r="E639" s="1">
        <v>45889</v>
      </c>
      <c r="F639" s="1">
        <v>46645</v>
      </c>
      <c r="G639">
        <f t="shared" ca="1" si="66"/>
        <v>562</v>
      </c>
      <c r="H639" t="str">
        <f t="shared" ca="1" si="67"/>
        <v>Active</v>
      </c>
      <c r="I639">
        <f t="shared" ca="1" si="68"/>
        <v>0</v>
      </c>
      <c r="J639" t="str">
        <f t="shared" si="69"/>
        <v>Safety</v>
      </c>
    </row>
    <row r="640" spans="1:10">
      <c r="A640" t="str" cm="1">
        <f t="array" ref="A640">INDEX(Vendor_Master!$A$2:$A$401, ROUNDUP((ROW()-1)/4, 0))</f>
        <v>VND-160</v>
      </c>
      <c r="B640" t="str">
        <f t="shared" si="63"/>
        <v>Environmental Policy</v>
      </c>
      <c r="C640" t="str">
        <f t="shared" si="64"/>
        <v>Yes</v>
      </c>
      <c r="D640" t="str">
        <f t="shared" si="65"/>
        <v>Yes</v>
      </c>
      <c r="E640" s="1">
        <v>45579</v>
      </c>
      <c r="F640" s="1">
        <v>46725</v>
      </c>
      <c r="G640">
        <f t="shared" ca="1" si="66"/>
        <v>642</v>
      </c>
      <c r="H640" t="str">
        <f t="shared" ca="1" si="67"/>
        <v>Active</v>
      </c>
      <c r="I640">
        <f t="shared" ca="1" si="68"/>
        <v>0</v>
      </c>
      <c r="J640" t="str">
        <f t="shared" si="69"/>
        <v>Environmental</v>
      </c>
    </row>
    <row r="641" spans="1:10">
      <c r="A641" t="str" cm="1">
        <f t="array" ref="A641">INDEX(Vendor_Master!$A$2:$A$401, ROUNDUP((ROW()-1)/4, 0))</f>
        <v>VND-160</v>
      </c>
      <c r="B641" t="str">
        <f t="shared" si="63"/>
        <v>Sustainability Disclosure</v>
      </c>
      <c r="C641" t="str">
        <f t="shared" si="64"/>
        <v>Yes</v>
      </c>
      <c r="D641" t="str">
        <f t="shared" si="65"/>
        <v>Yes</v>
      </c>
      <c r="E641" s="1">
        <v>45887</v>
      </c>
      <c r="F641" s="1">
        <v>46572</v>
      </c>
      <c r="G641">
        <f t="shared" ca="1" si="66"/>
        <v>489</v>
      </c>
      <c r="H641" t="str">
        <f t="shared" ca="1" si="67"/>
        <v>Active</v>
      </c>
      <c r="I641">
        <f t="shared" ca="1" si="68"/>
        <v>0</v>
      </c>
      <c r="J641" t="str">
        <f t="shared" si="69"/>
        <v>Environmental</v>
      </c>
    </row>
    <row r="642" spans="1:10">
      <c r="A642" t="str" cm="1">
        <f t="array" ref="A642">INDEX(Vendor_Master!$A$2:$A$401, ROUNDUP((ROW()-1)/4, 0))</f>
        <v>VND-161</v>
      </c>
      <c r="B642" t="str">
        <f t="shared" si="63"/>
        <v>ISO 14001</v>
      </c>
      <c r="C642" t="str">
        <f t="shared" si="64"/>
        <v>Yes</v>
      </c>
      <c r="D642" t="str">
        <f t="shared" si="65"/>
        <v>Yes</v>
      </c>
      <c r="E642" s="1">
        <v>45815</v>
      </c>
      <c r="F642" s="1">
        <v>46886</v>
      </c>
      <c r="G642">
        <f t="shared" ca="1" si="66"/>
        <v>803</v>
      </c>
      <c r="H642" t="str">
        <f t="shared" ca="1" si="67"/>
        <v>Active</v>
      </c>
      <c r="I642">
        <f t="shared" ca="1" si="68"/>
        <v>0</v>
      </c>
      <c r="J642" t="str">
        <f t="shared" si="69"/>
        <v>Environmental</v>
      </c>
    </row>
    <row r="643" spans="1:10">
      <c r="A643" t="str" cm="1">
        <f t="array" ref="A643">INDEX(Vendor_Master!$A$2:$A$401, ROUNDUP((ROW()-1)/4, 0))</f>
        <v>VND-161</v>
      </c>
      <c r="B643" t="str">
        <f t="shared" ref="B643:B706" si="70">CHOOSE(MOD(ROW()-2,4)+1,"ISO 14001","Safety Certificate","Environmental Policy","Sustainability Disclosure")</f>
        <v>Safety Certificate</v>
      </c>
      <c r="C643" t="str">
        <f t="shared" ref="C643:C706" si="71">"Yes"</f>
        <v>Yes</v>
      </c>
      <c r="D643" t="str">
        <f t="shared" ref="D643:D706" si="72">IF(ROW()-1&lt;=1280,"Yes","No")</f>
        <v>Yes</v>
      </c>
      <c r="E643" s="1">
        <v>45889</v>
      </c>
      <c r="F643" s="1">
        <v>46825</v>
      </c>
      <c r="G643">
        <f t="shared" ref="G643:G706" ca="1" si="73">IF($F643="","",$F643-TODAY())</f>
        <v>742</v>
      </c>
      <c r="H643" t="str">
        <f t="shared" ref="H643:H706" ca="1" si="74">IF($C643="No","Not Required",
IF($D643="No","Missing",
IF($F643&lt;TODAY(),"Expired",
IF($F643&lt;=TODAY()+30,"Expiring Soon","Active"))))</f>
        <v>Active</v>
      </c>
      <c r="I643">
        <f t="shared" ref="I643:I706" ca="1" si="75">IF(OR($H643="Missing",$H643="Expired",$H643="Expiring Soon"),1,0)</f>
        <v>0</v>
      </c>
      <c r="J643" t="str">
        <f t="shared" ref="J643:J706" si="76">IF(B643="ISO 14001","Environmental",
 IF(B643="Environmental Policy","Environmental",
 IF(B643="Sustainability Disclosure","Environmental",
 IF(B643="Safety Certificate","Safety","Regulatory"))))</f>
        <v>Safety</v>
      </c>
    </row>
    <row r="644" spans="1:10">
      <c r="A644" t="str" cm="1">
        <f t="array" ref="A644">INDEX(Vendor_Master!$A$2:$A$401, ROUNDUP((ROW()-1)/4, 0))</f>
        <v>VND-161</v>
      </c>
      <c r="B644" t="str">
        <f t="shared" si="70"/>
        <v>Environmental Policy</v>
      </c>
      <c r="C644" t="str">
        <f t="shared" si="71"/>
        <v>Yes</v>
      </c>
      <c r="D644" t="str">
        <f t="shared" si="72"/>
        <v>Yes</v>
      </c>
      <c r="E644" s="1">
        <v>45610</v>
      </c>
      <c r="F644" s="1">
        <v>46721</v>
      </c>
      <c r="G644">
        <f t="shared" ca="1" si="73"/>
        <v>638</v>
      </c>
      <c r="H644" t="str">
        <f t="shared" ca="1" si="74"/>
        <v>Active</v>
      </c>
      <c r="I644">
        <f t="shared" ca="1" si="75"/>
        <v>0</v>
      </c>
      <c r="J644" t="str">
        <f t="shared" si="76"/>
        <v>Environmental</v>
      </c>
    </row>
    <row r="645" spans="1:10">
      <c r="A645" t="str" cm="1">
        <f t="array" ref="A645">INDEX(Vendor_Master!$A$2:$A$401, ROUNDUP((ROW()-1)/4, 0))</f>
        <v>VND-161</v>
      </c>
      <c r="B645" t="str">
        <f t="shared" si="70"/>
        <v>Sustainability Disclosure</v>
      </c>
      <c r="C645" t="str">
        <f t="shared" si="71"/>
        <v>Yes</v>
      </c>
      <c r="D645" t="str">
        <f t="shared" si="72"/>
        <v>Yes</v>
      </c>
      <c r="E645" s="1">
        <v>45504</v>
      </c>
      <c r="F645" s="1">
        <v>46511</v>
      </c>
      <c r="G645">
        <f t="shared" ca="1" si="73"/>
        <v>428</v>
      </c>
      <c r="H645" t="str">
        <f t="shared" ca="1" si="74"/>
        <v>Active</v>
      </c>
      <c r="I645">
        <f t="shared" ca="1" si="75"/>
        <v>0</v>
      </c>
      <c r="J645" t="str">
        <f t="shared" si="76"/>
        <v>Environmental</v>
      </c>
    </row>
    <row r="646" spans="1:10">
      <c r="A646" t="str" cm="1">
        <f t="array" ref="A646">INDEX(Vendor_Master!$A$2:$A$401, ROUNDUP((ROW()-1)/4, 0))</f>
        <v>VND-162</v>
      </c>
      <c r="B646" t="str">
        <f t="shared" si="70"/>
        <v>ISO 14001</v>
      </c>
      <c r="C646" t="str">
        <f t="shared" si="71"/>
        <v>Yes</v>
      </c>
      <c r="D646" t="str">
        <f t="shared" si="72"/>
        <v>Yes</v>
      </c>
      <c r="E646" s="1">
        <v>45722</v>
      </c>
      <c r="F646" s="1">
        <v>46428</v>
      </c>
      <c r="G646">
        <f t="shared" ca="1" si="73"/>
        <v>345</v>
      </c>
      <c r="H646" t="str">
        <f t="shared" ca="1" si="74"/>
        <v>Active</v>
      </c>
      <c r="I646">
        <f t="shared" ca="1" si="75"/>
        <v>0</v>
      </c>
      <c r="J646" t="str">
        <f t="shared" si="76"/>
        <v>Environmental</v>
      </c>
    </row>
    <row r="647" spans="1:10">
      <c r="A647" t="str" cm="1">
        <f t="array" ref="A647">INDEX(Vendor_Master!$A$2:$A$401, ROUNDUP((ROW()-1)/4, 0))</f>
        <v>VND-162</v>
      </c>
      <c r="B647" t="str">
        <f t="shared" si="70"/>
        <v>Safety Certificate</v>
      </c>
      <c r="C647" t="str">
        <f t="shared" si="71"/>
        <v>Yes</v>
      </c>
      <c r="D647" t="str">
        <f t="shared" si="72"/>
        <v>Yes</v>
      </c>
      <c r="E647" s="1">
        <v>45601</v>
      </c>
      <c r="F647" s="1">
        <v>46657</v>
      </c>
      <c r="G647">
        <f t="shared" ca="1" si="73"/>
        <v>574</v>
      </c>
      <c r="H647" t="str">
        <f t="shared" ca="1" si="74"/>
        <v>Active</v>
      </c>
      <c r="I647">
        <f t="shared" ca="1" si="75"/>
        <v>0</v>
      </c>
      <c r="J647" t="str">
        <f t="shared" si="76"/>
        <v>Safety</v>
      </c>
    </row>
    <row r="648" spans="1:10">
      <c r="A648" t="str" cm="1">
        <f t="array" ref="A648">INDEX(Vendor_Master!$A$2:$A$401, ROUNDUP((ROW()-1)/4, 0))</f>
        <v>VND-162</v>
      </c>
      <c r="B648" t="str">
        <f t="shared" si="70"/>
        <v>Environmental Policy</v>
      </c>
      <c r="C648" t="str">
        <f t="shared" si="71"/>
        <v>Yes</v>
      </c>
      <c r="D648" t="str">
        <f t="shared" si="72"/>
        <v>Yes</v>
      </c>
      <c r="E648" s="1">
        <v>45494</v>
      </c>
      <c r="F648" s="1">
        <v>46210</v>
      </c>
      <c r="G648">
        <f t="shared" ca="1" si="73"/>
        <v>127</v>
      </c>
      <c r="H648" t="str">
        <f t="shared" ca="1" si="74"/>
        <v>Active</v>
      </c>
      <c r="I648">
        <f t="shared" ca="1" si="75"/>
        <v>0</v>
      </c>
      <c r="J648" t="str">
        <f t="shared" si="76"/>
        <v>Environmental</v>
      </c>
    </row>
    <row r="649" spans="1:10">
      <c r="A649" t="str" cm="1">
        <f t="array" ref="A649">INDEX(Vendor_Master!$A$2:$A$401, ROUNDUP((ROW()-1)/4, 0))</f>
        <v>VND-162</v>
      </c>
      <c r="B649" t="str">
        <f t="shared" si="70"/>
        <v>Sustainability Disclosure</v>
      </c>
      <c r="C649" t="str">
        <f t="shared" si="71"/>
        <v>Yes</v>
      </c>
      <c r="D649" t="str">
        <f t="shared" si="72"/>
        <v>Yes</v>
      </c>
      <c r="E649" s="1">
        <v>45962</v>
      </c>
      <c r="F649" s="1">
        <v>46463</v>
      </c>
      <c r="G649">
        <f t="shared" ca="1" si="73"/>
        <v>380</v>
      </c>
      <c r="H649" t="str">
        <f t="shared" ca="1" si="74"/>
        <v>Active</v>
      </c>
      <c r="I649">
        <f t="shared" ca="1" si="75"/>
        <v>0</v>
      </c>
      <c r="J649" t="str">
        <f t="shared" si="76"/>
        <v>Environmental</v>
      </c>
    </row>
    <row r="650" spans="1:10">
      <c r="A650" t="str" cm="1">
        <f t="array" ref="A650">INDEX(Vendor_Master!$A$2:$A$401, ROUNDUP((ROW()-1)/4, 0))</f>
        <v>VND-163</v>
      </c>
      <c r="B650" t="str">
        <f t="shared" si="70"/>
        <v>ISO 14001</v>
      </c>
      <c r="C650" t="str">
        <f t="shared" si="71"/>
        <v>Yes</v>
      </c>
      <c r="D650" t="str">
        <f t="shared" si="72"/>
        <v>Yes</v>
      </c>
      <c r="E650" s="1">
        <v>45792</v>
      </c>
      <c r="F650" s="1">
        <v>46750</v>
      </c>
      <c r="G650">
        <f t="shared" ca="1" si="73"/>
        <v>667</v>
      </c>
      <c r="H650" t="str">
        <f t="shared" ca="1" si="74"/>
        <v>Active</v>
      </c>
      <c r="I650">
        <f t="shared" ca="1" si="75"/>
        <v>0</v>
      </c>
      <c r="J650" t="str">
        <f t="shared" si="76"/>
        <v>Environmental</v>
      </c>
    </row>
    <row r="651" spans="1:10">
      <c r="A651" t="str" cm="1">
        <f t="array" ref="A651">INDEX(Vendor_Master!$A$2:$A$401, ROUNDUP((ROW()-1)/4, 0))</f>
        <v>VND-163</v>
      </c>
      <c r="B651" t="str">
        <f t="shared" si="70"/>
        <v>Safety Certificate</v>
      </c>
      <c r="C651" t="str">
        <f t="shared" si="71"/>
        <v>Yes</v>
      </c>
      <c r="D651" t="str">
        <f t="shared" si="72"/>
        <v>Yes</v>
      </c>
      <c r="E651" s="1">
        <v>45806</v>
      </c>
      <c r="F651" s="1">
        <v>46962</v>
      </c>
      <c r="G651">
        <f t="shared" ca="1" si="73"/>
        <v>879</v>
      </c>
      <c r="H651" t="str">
        <f t="shared" ca="1" si="74"/>
        <v>Active</v>
      </c>
      <c r="I651">
        <f t="shared" ca="1" si="75"/>
        <v>0</v>
      </c>
      <c r="J651" t="str">
        <f t="shared" si="76"/>
        <v>Safety</v>
      </c>
    </row>
    <row r="652" spans="1:10">
      <c r="A652" t="str" cm="1">
        <f t="array" ref="A652">INDEX(Vendor_Master!$A$2:$A$401, ROUNDUP((ROW()-1)/4, 0))</f>
        <v>VND-163</v>
      </c>
      <c r="B652" t="str">
        <f t="shared" si="70"/>
        <v>Environmental Policy</v>
      </c>
      <c r="C652" t="str">
        <f t="shared" si="71"/>
        <v>Yes</v>
      </c>
      <c r="D652" t="str">
        <f t="shared" si="72"/>
        <v>Yes</v>
      </c>
      <c r="E652" s="1">
        <v>45793</v>
      </c>
      <c r="F652" s="1">
        <v>46300</v>
      </c>
      <c r="G652">
        <f t="shared" ca="1" si="73"/>
        <v>217</v>
      </c>
      <c r="H652" t="str">
        <f t="shared" ca="1" si="74"/>
        <v>Active</v>
      </c>
      <c r="I652">
        <f t="shared" ca="1" si="75"/>
        <v>0</v>
      </c>
      <c r="J652" t="str">
        <f t="shared" si="76"/>
        <v>Environmental</v>
      </c>
    </row>
    <row r="653" spans="1:10">
      <c r="A653" t="str" cm="1">
        <f t="array" ref="A653">INDEX(Vendor_Master!$A$2:$A$401, ROUNDUP((ROW()-1)/4, 0))</f>
        <v>VND-163</v>
      </c>
      <c r="B653" t="str">
        <f t="shared" si="70"/>
        <v>Sustainability Disclosure</v>
      </c>
      <c r="C653" t="str">
        <f t="shared" si="71"/>
        <v>Yes</v>
      </c>
      <c r="D653" t="str">
        <f t="shared" si="72"/>
        <v>Yes</v>
      </c>
      <c r="E653" s="1">
        <v>45783</v>
      </c>
      <c r="F653" s="1">
        <v>46936</v>
      </c>
      <c r="G653">
        <f t="shared" ca="1" si="73"/>
        <v>853</v>
      </c>
      <c r="H653" t="str">
        <f t="shared" ca="1" si="74"/>
        <v>Active</v>
      </c>
      <c r="I653">
        <f t="shared" ca="1" si="75"/>
        <v>0</v>
      </c>
      <c r="J653" t="str">
        <f t="shared" si="76"/>
        <v>Environmental</v>
      </c>
    </row>
    <row r="654" spans="1:10">
      <c r="A654" t="str" cm="1">
        <f t="array" ref="A654">INDEX(Vendor_Master!$A$2:$A$401, ROUNDUP((ROW()-1)/4, 0))</f>
        <v>VND-164</v>
      </c>
      <c r="B654" t="str">
        <f t="shared" si="70"/>
        <v>ISO 14001</v>
      </c>
      <c r="C654" t="str">
        <f t="shared" si="71"/>
        <v>Yes</v>
      </c>
      <c r="D654" t="str">
        <f t="shared" si="72"/>
        <v>Yes</v>
      </c>
      <c r="E654" s="1">
        <v>45896</v>
      </c>
      <c r="F654" s="1">
        <v>46970</v>
      </c>
      <c r="G654">
        <f t="shared" ca="1" si="73"/>
        <v>887</v>
      </c>
      <c r="H654" t="str">
        <f t="shared" ca="1" si="74"/>
        <v>Active</v>
      </c>
      <c r="I654">
        <f t="shared" ca="1" si="75"/>
        <v>0</v>
      </c>
      <c r="J654" t="str">
        <f t="shared" si="76"/>
        <v>Environmental</v>
      </c>
    </row>
    <row r="655" spans="1:10">
      <c r="A655" t="str" cm="1">
        <f t="array" ref="A655">INDEX(Vendor_Master!$A$2:$A$401, ROUNDUP((ROW()-1)/4, 0))</f>
        <v>VND-164</v>
      </c>
      <c r="B655" t="str">
        <f t="shared" si="70"/>
        <v>Safety Certificate</v>
      </c>
      <c r="C655" t="str">
        <f t="shared" si="71"/>
        <v>Yes</v>
      </c>
      <c r="D655" t="str">
        <f t="shared" si="72"/>
        <v>Yes</v>
      </c>
      <c r="E655" s="1">
        <v>45580</v>
      </c>
      <c r="F655" s="1">
        <v>46749</v>
      </c>
      <c r="G655">
        <f t="shared" ca="1" si="73"/>
        <v>666</v>
      </c>
      <c r="H655" t="str">
        <f t="shared" ca="1" si="74"/>
        <v>Active</v>
      </c>
      <c r="I655">
        <f t="shared" ca="1" si="75"/>
        <v>0</v>
      </c>
      <c r="J655" t="str">
        <f t="shared" si="76"/>
        <v>Safety</v>
      </c>
    </row>
    <row r="656" spans="1:10">
      <c r="A656" t="str" cm="1">
        <f t="array" ref="A656">INDEX(Vendor_Master!$A$2:$A$401, ROUNDUP((ROW()-1)/4, 0))</f>
        <v>VND-164</v>
      </c>
      <c r="B656" t="str">
        <f t="shared" si="70"/>
        <v>Environmental Policy</v>
      </c>
      <c r="C656" t="str">
        <f t="shared" si="71"/>
        <v>Yes</v>
      </c>
      <c r="D656" t="str">
        <f t="shared" si="72"/>
        <v>Yes</v>
      </c>
      <c r="E656" s="1">
        <v>45551</v>
      </c>
      <c r="F656" s="1">
        <v>46951</v>
      </c>
      <c r="G656">
        <f t="shared" ca="1" si="73"/>
        <v>868</v>
      </c>
      <c r="H656" t="str">
        <f t="shared" ca="1" si="74"/>
        <v>Active</v>
      </c>
      <c r="I656">
        <f t="shared" ca="1" si="75"/>
        <v>0</v>
      </c>
      <c r="J656" t="str">
        <f t="shared" si="76"/>
        <v>Environmental</v>
      </c>
    </row>
    <row r="657" spans="1:10">
      <c r="A657" t="str" cm="1">
        <f t="array" ref="A657">INDEX(Vendor_Master!$A$2:$A$401, ROUNDUP((ROW()-1)/4, 0))</f>
        <v>VND-164</v>
      </c>
      <c r="B657" t="str">
        <f t="shared" si="70"/>
        <v>Sustainability Disclosure</v>
      </c>
      <c r="C657" t="str">
        <f t="shared" si="71"/>
        <v>Yes</v>
      </c>
      <c r="D657" t="str">
        <f t="shared" si="72"/>
        <v>Yes</v>
      </c>
      <c r="E657" s="1">
        <v>45948</v>
      </c>
      <c r="F657" s="1">
        <v>46477</v>
      </c>
      <c r="G657">
        <f t="shared" ca="1" si="73"/>
        <v>394</v>
      </c>
      <c r="H657" t="str">
        <f t="shared" ca="1" si="74"/>
        <v>Active</v>
      </c>
      <c r="I657">
        <f t="shared" ca="1" si="75"/>
        <v>0</v>
      </c>
      <c r="J657" t="str">
        <f t="shared" si="76"/>
        <v>Environmental</v>
      </c>
    </row>
    <row r="658" spans="1:10">
      <c r="A658" t="str" cm="1">
        <f t="array" ref="A658">INDEX(Vendor_Master!$A$2:$A$401, ROUNDUP((ROW()-1)/4, 0))</f>
        <v>VND-165</v>
      </c>
      <c r="B658" t="str">
        <f t="shared" si="70"/>
        <v>ISO 14001</v>
      </c>
      <c r="C658" t="str">
        <f t="shared" si="71"/>
        <v>Yes</v>
      </c>
      <c r="D658" t="str">
        <f t="shared" si="72"/>
        <v>Yes</v>
      </c>
      <c r="E658" s="1">
        <v>45757</v>
      </c>
      <c r="F658" s="1">
        <v>46745</v>
      </c>
      <c r="G658">
        <f t="shared" ca="1" si="73"/>
        <v>662</v>
      </c>
      <c r="H658" t="str">
        <f t="shared" ca="1" si="74"/>
        <v>Active</v>
      </c>
      <c r="I658">
        <f t="shared" ca="1" si="75"/>
        <v>0</v>
      </c>
      <c r="J658" t="str">
        <f t="shared" si="76"/>
        <v>Environmental</v>
      </c>
    </row>
    <row r="659" spans="1:10">
      <c r="A659" t="str" cm="1">
        <f t="array" ref="A659">INDEX(Vendor_Master!$A$2:$A$401, ROUNDUP((ROW()-1)/4, 0))</f>
        <v>VND-165</v>
      </c>
      <c r="B659" t="str">
        <f t="shared" si="70"/>
        <v>Safety Certificate</v>
      </c>
      <c r="C659" t="str">
        <f t="shared" si="71"/>
        <v>Yes</v>
      </c>
      <c r="D659" t="str">
        <f t="shared" si="72"/>
        <v>Yes</v>
      </c>
      <c r="E659" s="1">
        <v>46068</v>
      </c>
      <c r="F659" s="1">
        <v>46716</v>
      </c>
      <c r="G659">
        <f t="shared" ca="1" si="73"/>
        <v>633</v>
      </c>
      <c r="H659" t="str">
        <f t="shared" ca="1" si="74"/>
        <v>Active</v>
      </c>
      <c r="I659">
        <f t="shared" ca="1" si="75"/>
        <v>0</v>
      </c>
      <c r="J659" t="str">
        <f t="shared" si="76"/>
        <v>Safety</v>
      </c>
    </row>
    <row r="660" spans="1:10">
      <c r="A660" t="str" cm="1">
        <f t="array" ref="A660">INDEX(Vendor_Master!$A$2:$A$401, ROUNDUP((ROW()-1)/4, 0))</f>
        <v>VND-165</v>
      </c>
      <c r="B660" t="str">
        <f t="shared" si="70"/>
        <v>Environmental Policy</v>
      </c>
      <c r="C660" t="str">
        <f t="shared" si="71"/>
        <v>Yes</v>
      </c>
      <c r="D660" t="str">
        <f t="shared" si="72"/>
        <v>Yes</v>
      </c>
      <c r="E660" s="1">
        <v>45660</v>
      </c>
      <c r="F660" s="1">
        <v>46976</v>
      </c>
      <c r="G660">
        <f t="shared" ca="1" si="73"/>
        <v>893</v>
      </c>
      <c r="H660" t="str">
        <f t="shared" ca="1" si="74"/>
        <v>Active</v>
      </c>
      <c r="I660">
        <f t="shared" ca="1" si="75"/>
        <v>0</v>
      </c>
      <c r="J660" t="str">
        <f t="shared" si="76"/>
        <v>Environmental</v>
      </c>
    </row>
    <row r="661" spans="1:10">
      <c r="A661" t="str" cm="1">
        <f t="array" ref="A661">INDEX(Vendor_Master!$A$2:$A$401, ROUNDUP((ROW()-1)/4, 0))</f>
        <v>VND-165</v>
      </c>
      <c r="B661" t="str">
        <f t="shared" si="70"/>
        <v>Sustainability Disclosure</v>
      </c>
      <c r="C661" t="str">
        <f t="shared" si="71"/>
        <v>Yes</v>
      </c>
      <c r="D661" t="str">
        <f t="shared" si="72"/>
        <v>Yes</v>
      </c>
      <c r="E661" s="1">
        <v>45421</v>
      </c>
      <c r="F661" s="1">
        <v>46250</v>
      </c>
      <c r="G661">
        <f t="shared" ca="1" si="73"/>
        <v>167</v>
      </c>
      <c r="H661" t="str">
        <f t="shared" ca="1" si="74"/>
        <v>Active</v>
      </c>
      <c r="I661">
        <f t="shared" ca="1" si="75"/>
        <v>0</v>
      </c>
      <c r="J661" t="str">
        <f t="shared" si="76"/>
        <v>Environmental</v>
      </c>
    </row>
    <row r="662" spans="1:10">
      <c r="A662" t="str" cm="1">
        <f t="array" ref="A662">INDEX(Vendor_Master!$A$2:$A$401, ROUNDUP((ROW()-1)/4, 0))</f>
        <v>VND-166</v>
      </c>
      <c r="B662" t="str">
        <f t="shared" si="70"/>
        <v>ISO 14001</v>
      </c>
      <c r="C662" t="str">
        <f t="shared" si="71"/>
        <v>Yes</v>
      </c>
      <c r="D662" t="str">
        <f t="shared" si="72"/>
        <v>Yes</v>
      </c>
      <c r="E662" s="1">
        <v>45761</v>
      </c>
      <c r="F662" s="1">
        <v>46529</v>
      </c>
      <c r="G662">
        <f t="shared" ca="1" si="73"/>
        <v>446</v>
      </c>
      <c r="H662" t="str">
        <f t="shared" ca="1" si="74"/>
        <v>Active</v>
      </c>
      <c r="I662">
        <f t="shared" ca="1" si="75"/>
        <v>0</v>
      </c>
      <c r="J662" t="str">
        <f t="shared" si="76"/>
        <v>Environmental</v>
      </c>
    </row>
    <row r="663" spans="1:10">
      <c r="A663" t="str" cm="1">
        <f t="array" ref="A663">INDEX(Vendor_Master!$A$2:$A$401, ROUNDUP((ROW()-1)/4, 0))</f>
        <v>VND-166</v>
      </c>
      <c r="B663" t="str">
        <f t="shared" si="70"/>
        <v>Safety Certificate</v>
      </c>
      <c r="C663" t="str">
        <f t="shared" si="71"/>
        <v>Yes</v>
      </c>
      <c r="D663" t="str">
        <f t="shared" si="72"/>
        <v>Yes</v>
      </c>
      <c r="E663" s="1">
        <v>46003</v>
      </c>
      <c r="F663" s="1">
        <v>46302</v>
      </c>
      <c r="G663">
        <f t="shared" ca="1" si="73"/>
        <v>219</v>
      </c>
      <c r="H663" t="str">
        <f t="shared" ca="1" si="74"/>
        <v>Active</v>
      </c>
      <c r="I663">
        <f t="shared" ca="1" si="75"/>
        <v>0</v>
      </c>
      <c r="J663" t="str">
        <f t="shared" si="76"/>
        <v>Safety</v>
      </c>
    </row>
    <row r="664" spans="1:10">
      <c r="A664" t="str" cm="1">
        <f t="array" ref="A664">INDEX(Vendor_Master!$A$2:$A$401, ROUNDUP((ROW()-1)/4, 0))</f>
        <v>VND-166</v>
      </c>
      <c r="B664" t="str">
        <f t="shared" si="70"/>
        <v>Environmental Policy</v>
      </c>
      <c r="C664" t="str">
        <f t="shared" si="71"/>
        <v>Yes</v>
      </c>
      <c r="D664" t="str">
        <f t="shared" si="72"/>
        <v>Yes</v>
      </c>
      <c r="E664" s="1">
        <v>45543</v>
      </c>
      <c r="F664" s="1">
        <v>46658</v>
      </c>
      <c r="G664">
        <f t="shared" ca="1" si="73"/>
        <v>575</v>
      </c>
      <c r="H664" t="str">
        <f t="shared" ca="1" si="74"/>
        <v>Active</v>
      </c>
      <c r="I664">
        <f t="shared" ca="1" si="75"/>
        <v>0</v>
      </c>
      <c r="J664" t="str">
        <f t="shared" si="76"/>
        <v>Environmental</v>
      </c>
    </row>
    <row r="665" spans="1:10">
      <c r="A665" t="str" cm="1">
        <f t="array" ref="A665">INDEX(Vendor_Master!$A$2:$A$401, ROUNDUP((ROW()-1)/4, 0))</f>
        <v>VND-166</v>
      </c>
      <c r="B665" t="str">
        <f t="shared" si="70"/>
        <v>Sustainability Disclosure</v>
      </c>
      <c r="C665" t="str">
        <f t="shared" si="71"/>
        <v>Yes</v>
      </c>
      <c r="D665" t="str">
        <f t="shared" si="72"/>
        <v>Yes</v>
      </c>
      <c r="E665" s="1">
        <v>45936</v>
      </c>
      <c r="F665" s="1">
        <v>46335</v>
      </c>
      <c r="G665">
        <f t="shared" ca="1" si="73"/>
        <v>252</v>
      </c>
      <c r="H665" t="str">
        <f t="shared" ca="1" si="74"/>
        <v>Active</v>
      </c>
      <c r="I665">
        <f t="shared" ca="1" si="75"/>
        <v>0</v>
      </c>
      <c r="J665" t="str">
        <f t="shared" si="76"/>
        <v>Environmental</v>
      </c>
    </row>
    <row r="666" spans="1:10">
      <c r="A666" t="str" cm="1">
        <f t="array" ref="A666">INDEX(Vendor_Master!$A$2:$A$401, ROUNDUP((ROW()-1)/4, 0))</f>
        <v>VND-167</v>
      </c>
      <c r="B666" t="str">
        <f t="shared" si="70"/>
        <v>ISO 14001</v>
      </c>
      <c r="C666" t="str">
        <f t="shared" si="71"/>
        <v>Yes</v>
      </c>
      <c r="D666" t="str">
        <f t="shared" si="72"/>
        <v>Yes</v>
      </c>
      <c r="E666" s="1">
        <v>45958</v>
      </c>
      <c r="F666" s="1">
        <v>46847</v>
      </c>
      <c r="G666">
        <f t="shared" ca="1" si="73"/>
        <v>764</v>
      </c>
      <c r="H666" t="str">
        <f t="shared" ca="1" si="74"/>
        <v>Active</v>
      </c>
      <c r="I666">
        <f t="shared" ca="1" si="75"/>
        <v>0</v>
      </c>
      <c r="J666" t="str">
        <f t="shared" si="76"/>
        <v>Environmental</v>
      </c>
    </row>
    <row r="667" spans="1:10">
      <c r="A667" t="str" cm="1">
        <f t="array" ref="A667">INDEX(Vendor_Master!$A$2:$A$401, ROUNDUP((ROW()-1)/4, 0))</f>
        <v>VND-167</v>
      </c>
      <c r="B667" t="str">
        <f t="shared" si="70"/>
        <v>Safety Certificate</v>
      </c>
      <c r="C667" t="str">
        <f t="shared" si="71"/>
        <v>Yes</v>
      </c>
      <c r="D667" t="str">
        <f t="shared" si="72"/>
        <v>Yes</v>
      </c>
      <c r="E667" s="1">
        <v>45591</v>
      </c>
      <c r="F667" s="1">
        <v>46405</v>
      </c>
      <c r="G667">
        <f t="shared" ca="1" si="73"/>
        <v>322</v>
      </c>
      <c r="H667" t="str">
        <f t="shared" ca="1" si="74"/>
        <v>Active</v>
      </c>
      <c r="I667">
        <f t="shared" ca="1" si="75"/>
        <v>0</v>
      </c>
      <c r="J667" t="str">
        <f t="shared" si="76"/>
        <v>Safety</v>
      </c>
    </row>
    <row r="668" spans="1:10">
      <c r="A668" t="str" cm="1">
        <f t="array" ref="A668">INDEX(Vendor_Master!$A$2:$A$401, ROUNDUP((ROW()-1)/4, 0))</f>
        <v>VND-167</v>
      </c>
      <c r="B668" t="str">
        <f t="shared" si="70"/>
        <v>Environmental Policy</v>
      </c>
      <c r="C668" t="str">
        <f t="shared" si="71"/>
        <v>Yes</v>
      </c>
      <c r="D668" t="str">
        <f t="shared" si="72"/>
        <v>Yes</v>
      </c>
      <c r="E668" s="1">
        <v>45554</v>
      </c>
      <c r="F668" s="1">
        <v>46606</v>
      </c>
      <c r="G668">
        <f t="shared" ca="1" si="73"/>
        <v>523</v>
      </c>
      <c r="H668" t="str">
        <f t="shared" ca="1" si="74"/>
        <v>Active</v>
      </c>
      <c r="I668">
        <f t="shared" ca="1" si="75"/>
        <v>0</v>
      </c>
      <c r="J668" t="str">
        <f t="shared" si="76"/>
        <v>Environmental</v>
      </c>
    </row>
    <row r="669" spans="1:10">
      <c r="A669" t="str" cm="1">
        <f t="array" ref="A669">INDEX(Vendor_Master!$A$2:$A$401, ROUNDUP((ROW()-1)/4, 0))</f>
        <v>VND-167</v>
      </c>
      <c r="B669" t="str">
        <f t="shared" si="70"/>
        <v>Sustainability Disclosure</v>
      </c>
      <c r="C669" t="str">
        <f t="shared" si="71"/>
        <v>Yes</v>
      </c>
      <c r="D669" t="str">
        <f t="shared" si="72"/>
        <v>Yes</v>
      </c>
      <c r="E669" s="1">
        <v>45954</v>
      </c>
      <c r="F669" s="1">
        <v>46550</v>
      </c>
      <c r="G669">
        <f t="shared" ca="1" si="73"/>
        <v>467</v>
      </c>
      <c r="H669" t="str">
        <f t="shared" ca="1" si="74"/>
        <v>Active</v>
      </c>
      <c r="I669">
        <f t="shared" ca="1" si="75"/>
        <v>0</v>
      </c>
      <c r="J669" t="str">
        <f t="shared" si="76"/>
        <v>Environmental</v>
      </c>
    </row>
    <row r="670" spans="1:10">
      <c r="A670" t="str" cm="1">
        <f t="array" ref="A670">INDEX(Vendor_Master!$A$2:$A$401, ROUNDUP((ROW()-1)/4, 0))</f>
        <v>VND-168</v>
      </c>
      <c r="B670" t="str">
        <f t="shared" si="70"/>
        <v>ISO 14001</v>
      </c>
      <c r="C670" t="str">
        <f t="shared" si="71"/>
        <v>Yes</v>
      </c>
      <c r="D670" t="str">
        <f t="shared" si="72"/>
        <v>Yes</v>
      </c>
      <c r="E670" s="1">
        <v>45540</v>
      </c>
      <c r="F670" s="1">
        <v>46980</v>
      </c>
      <c r="G670">
        <f t="shared" ca="1" si="73"/>
        <v>897</v>
      </c>
      <c r="H670" t="str">
        <f t="shared" ca="1" si="74"/>
        <v>Active</v>
      </c>
      <c r="I670">
        <f t="shared" ca="1" si="75"/>
        <v>0</v>
      </c>
      <c r="J670" t="str">
        <f t="shared" si="76"/>
        <v>Environmental</v>
      </c>
    </row>
    <row r="671" spans="1:10">
      <c r="A671" t="str" cm="1">
        <f t="array" ref="A671">INDEX(Vendor_Master!$A$2:$A$401, ROUNDUP((ROW()-1)/4, 0))</f>
        <v>VND-168</v>
      </c>
      <c r="B671" t="str">
        <f t="shared" si="70"/>
        <v>Safety Certificate</v>
      </c>
      <c r="C671" t="str">
        <f t="shared" si="71"/>
        <v>Yes</v>
      </c>
      <c r="D671" t="str">
        <f t="shared" si="72"/>
        <v>Yes</v>
      </c>
      <c r="E671" s="1">
        <v>45990</v>
      </c>
      <c r="F671" s="1">
        <v>46521</v>
      </c>
      <c r="G671">
        <f t="shared" ca="1" si="73"/>
        <v>438</v>
      </c>
      <c r="H671" t="str">
        <f t="shared" ca="1" si="74"/>
        <v>Active</v>
      </c>
      <c r="I671">
        <f t="shared" ca="1" si="75"/>
        <v>0</v>
      </c>
      <c r="J671" t="str">
        <f t="shared" si="76"/>
        <v>Safety</v>
      </c>
    </row>
    <row r="672" spans="1:10">
      <c r="A672" t="str" cm="1">
        <f t="array" ref="A672">INDEX(Vendor_Master!$A$2:$A$401, ROUNDUP((ROW()-1)/4, 0))</f>
        <v>VND-168</v>
      </c>
      <c r="B672" t="str">
        <f t="shared" si="70"/>
        <v>Environmental Policy</v>
      </c>
      <c r="C672" t="str">
        <f t="shared" si="71"/>
        <v>Yes</v>
      </c>
      <c r="D672" t="str">
        <f t="shared" si="72"/>
        <v>Yes</v>
      </c>
      <c r="E672" s="1">
        <v>45582</v>
      </c>
      <c r="F672" s="1">
        <v>46480</v>
      </c>
      <c r="G672">
        <f t="shared" ca="1" si="73"/>
        <v>397</v>
      </c>
      <c r="H672" t="str">
        <f t="shared" ca="1" si="74"/>
        <v>Active</v>
      </c>
      <c r="I672">
        <f t="shared" ca="1" si="75"/>
        <v>0</v>
      </c>
      <c r="J672" t="str">
        <f t="shared" si="76"/>
        <v>Environmental</v>
      </c>
    </row>
    <row r="673" spans="1:10">
      <c r="A673" t="str" cm="1">
        <f t="array" ref="A673">INDEX(Vendor_Master!$A$2:$A$401, ROUNDUP((ROW()-1)/4, 0))</f>
        <v>VND-168</v>
      </c>
      <c r="B673" t="str">
        <f t="shared" si="70"/>
        <v>Sustainability Disclosure</v>
      </c>
      <c r="C673" t="str">
        <f t="shared" si="71"/>
        <v>Yes</v>
      </c>
      <c r="D673" t="str">
        <f t="shared" si="72"/>
        <v>Yes</v>
      </c>
      <c r="E673" s="1">
        <v>45921</v>
      </c>
      <c r="F673" s="1">
        <v>46972</v>
      </c>
      <c r="G673">
        <f t="shared" ca="1" si="73"/>
        <v>889</v>
      </c>
      <c r="H673" t="str">
        <f t="shared" ca="1" si="74"/>
        <v>Active</v>
      </c>
      <c r="I673">
        <f t="shared" ca="1" si="75"/>
        <v>0</v>
      </c>
      <c r="J673" t="str">
        <f t="shared" si="76"/>
        <v>Environmental</v>
      </c>
    </row>
    <row r="674" spans="1:10">
      <c r="A674" t="str" cm="1">
        <f t="array" ref="A674">INDEX(Vendor_Master!$A$2:$A$401, ROUNDUP((ROW()-1)/4, 0))</f>
        <v>VND-169</v>
      </c>
      <c r="B674" t="str">
        <f t="shared" si="70"/>
        <v>ISO 14001</v>
      </c>
      <c r="C674" t="str">
        <f t="shared" si="71"/>
        <v>Yes</v>
      </c>
      <c r="D674" t="str">
        <f t="shared" si="72"/>
        <v>Yes</v>
      </c>
      <c r="E674" s="1">
        <v>46023</v>
      </c>
      <c r="F674" s="1">
        <v>46367</v>
      </c>
      <c r="G674">
        <f t="shared" ca="1" si="73"/>
        <v>284</v>
      </c>
      <c r="H674" t="str">
        <f t="shared" ca="1" si="74"/>
        <v>Active</v>
      </c>
      <c r="I674">
        <f t="shared" ca="1" si="75"/>
        <v>0</v>
      </c>
      <c r="J674" t="str">
        <f t="shared" si="76"/>
        <v>Environmental</v>
      </c>
    </row>
    <row r="675" spans="1:10">
      <c r="A675" t="str" cm="1">
        <f t="array" ref="A675">INDEX(Vendor_Master!$A$2:$A$401, ROUNDUP((ROW()-1)/4, 0))</f>
        <v>VND-169</v>
      </c>
      <c r="B675" t="str">
        <f t="shared" si="70"/>
        <v>Safety Certificate</v>
      </c>
      <c r="C675" t="str">
        <f t="shared" si="71"/>
        <v>Yes</v>
      </c>
      <c r="D675" t="str">
        <f t="shared" si="72"/>
        <v>Yes</v>
      </c>
      <c r="E675" s="1">
        <v>46067</v>
      </c>
      <c r="F675" s="1">
        <v>46800</v>
      </c>
      <c r="G675">
        <f t="shared" ca="1" si="73"/>
        <v>717</v>
      </c>
      <c r="H675" t="str">
        <f t="shared" ca="1" si="74"/>
        <v>Active</v>
      </c>
      <c r="I675">
        <f t="shared" ca="1" si="75"/>
        <v>0</v>
      </c>
      <c r="J675" t="str">
        <f t="shared" si="76"/>
        <v>Safety</v>
      </c>
    </row>
    <row r="676" spans="1:10">
      <c r="A676" t="str" cm="1">
        <f t="array" ref="A676">INDEX(Vendor_Master!$A$2:$A$401, ROUNDUP((ROW()-1)/4, 0))</f>
        <v>VND-169</v>
      </c>
      <c r="B676" t="str">
        <f t="shared" si="70"/>
        <v>Environmental Policy</v>
      </c>
      <c r="C676" t="str">
        <f t="shared" si="71"/>
        <v>Yes</v>
      </c>
      <c r="D676" t="str">
        <f t="shared" si="72"/>
        <v>Yes</v>
      </c>
      <c r="E676" s="1">
        <v>46015</v>
      </c>
      <c r="F676" s="1">
        <v>46425</v>
      </c>
      <c r="G676">
        <f t="shared" ca="1" si="73"/>
        <v>342</v>
      </c>
      <c r="H676" t="str">
        <f t="shared" ca="1" si="74"/>
        <v>Active</v>
      </c>
      <c r="I676">
        <f t="shared" ca="1" si="75"/>
        <v>0</v>
      </c>
      <c r="J676" t="str">
        <f t="shared" si="76"/>
        <v>Environmental</v>
      </c>
    </row>
    <row r="677" spans="1:10">
      <c r="A677" t="str" cm="1">
        <f t="array" ref="A677">INDEX(Vendor_Master!$A$2:$A$401, ROUNDUP((ROW()-1)/4, 0))</f>
        <v>VND-169</v>
      </c>
      <c r="B677" t="str">
        <f t="shared" si="70"/>
        <v>Sustainability Disclosure</v>
      </c>
      <c r="C677" t="str">
        <f t="shared" si="71"/>
        <v>Yes</v>
      </c>
      <c r="D677" t="str">
        <f t="shared" si="72"/>
        <v>Yes</v>
      </c>
      <c r="E677" s="1">
        <v>45690</v>
      </c>
      <c r="F677" s="1">
        <v>46875</v>
      </c>
      <c r="G677">
        <f t="shared" ca="1" si="73"/>
        <v>792</v>
      </c>
      <c r="H677" t="str">
        <f t="shared" ca="1" si="74"/>
        <v>Active</v>
      </c>
      <c r="I677">
        <f t="shared" ca="1" si="75"/>
        <v>0</v>
      </c>
      <c r="J677" t="str">
        <f t="shared" si="76"/>
        <v>Environmental</v>
      </c>
    </row>
    <row r="678" spans="1:10">
      <c r="A678" t="str" cm="1">
        <f t="array" ref="A678">INDEX(Vendor_Master!$A$2:$A$401, ROUNDUP((ROW()-1)/4, 0))</f>
        <v>VND-170</v>
      </c>
      <c r="B678" t="str">
        <f t="shared" si="70"/>
        <v>ISO 14001</v>
      </c>
      <c r="C678" t="str">
        <f t="shared" si="71"/>
        <v>Yes</v>
      </c>
      <c r="D678" t="str">
        <f t="shared" si="72"/>
        <v>Yes</v>
      </c>
      <c r="E678" s="1">
        <v>45605</v>
      </c>
      <c r="F678" s="1">
        <v>46793</v>
      </c>
      <c r="G678">
        <f t="shared" ca="1" si="73"/>
        <v>710</v>
      </c>
      <c r="H678" t="str">
        <f t="shared" ca="1" si="74"/>
        <v>Active</v>
      </c>
      <c r="I678">
        <f t="shared" ca="1" si="75"/>
        <v>0</v>
      </c>
      <c r="J678" t="str">
        <f t="shared" si="76"/>
        <v>Environmental</v>
      </c>
    </row>
    <row r="679" spans="1:10">
      <c r="A679" t="str" cm="1">
        <f t="array" ref="A679">INDEX(Vendor_Master!$A$2:$A$401, ROUNDUP((ROW()-1)/4, 0))</f>
        <v>VND-170</v>
      </c>
      <c r="B679" t="str">
        <f t="shared" si="70"/>
        <v>Safety Certificate</v>
      </c>
      <c r="C679" t="str">
        <f t="shared" si="71"/>
        <v>Yes</v>
      </c>
      <c r="D679" t="str">
        <f t="shared" si="72"/>
        <v>Yes</v>
      </c>
      <c r="E679" s="1">
        <v>46043</v>
      </c>
      <c r="F679" s="1">
        <v>46778</v>
      </c>
      <c r="G679">
        <f t="shared" ca="1" si="73"/>
        <v>695</v>
      </c>
      <c r="H679" t="str">
        <f t="shared" ca="1" si="74"/>
        <v>Active</v>
      </c>
      <c r="I679">
        <f t="shared" ca="1" si="75"/>
        <v>0</v>
      </c>
      <c r="J679" t="str">
        <f t="shared" si="76"/>
        <v>Safety</v>
      </c>
    </row>
    <row r="680" spans="1:10">
      <c r="A680" t="str" cm="1">
        <f t="array" ref="A680">INDEX(Vendor_Master!$A$2:$A$401, ROUNDUP((ROW()-1)/4, 0))</f>
        <v>VND-170</v>
      </c>
      <c r="B680" t="str">
        <f t="shared" si="70"/>
        <v>Environmental Policy</v>
      </c>
      <c r="C680" t="str">
        <f t="shared" si="71"/>
        <v>Yes</v>
      </c>
      <c r="D680" t="str">
        <f t="shared" si="72"/>
        <v>Yes</v>
      </c>
      <c r="E680" s="1">
        <v>45907</v>
      </c>
      <c r="F680" s="1">
        <v>46589</v>
      </c>
      <c r="G680">
        <f t="shared" ca="1" si="73"/>
        <v>506</v>
      </c>
      <c r="H680" t="str">
        <f t="shared" ca="1" si="74"/>
        <v>Active</v>
      </c>
      <c r="I680">
        <f t="shared" ca="1" si="75"/>
        <v>0</v>
      </c>
      <c r="J680" t="str">
        <f t="shared" si="76"/>
        <v>Environmental</v>
      </c>
    </row>
    <row r="681" spans="1:10">
      <c r="A681" t="str" cm="1">
        <f t="array" ref="A681">INDEX(Vendor_Master!$A$2:$A$401, ROUNDUP((ROW()-1)/4, 0))</f>
        <v>VND-170</v>
      </c>
      <c r="B681" t="str">
        <f t="shared" si="70"/>
        <v>Sustainability Disclosure</v>
      </c>
      <c r="C681" t="str">
        <f t="shared" si="71"/>
        <v>Yes</v>
      </c>
      <c r="D681" t="str">
        <f t="shared" si="72"/>
        <v>Yes</v>
      </c>
      <c r="E681" s="1">
        <v>45812</v>
      </c>
      <c r="F681" s="1">
        <v>46646</v>
      </c>
      <c r="G681">
        <f t="shared" ca="1" si="73"/>
        <v>563</v>
      </c>
      <c r="H681" t="str">
        <f t="shared" ca="1" si="74"/>
        <v>Active</v>
      </c>
      <c r="I681">
        <f t="shared" ca="1" si="75"/>
        <v>0</v>
      </c>
      <c r="J681" t="str">
        <f t="shared" si="76"/>
        <v>Environmental</v>
      </c>
    </row>
    <row r="682" spans="1:10">
      <c r="A682" t="str" cm="1">
        <f t="array" ref="A682">INDEX(Vendor_Master!$A$2:$A$401, ROUNDUP((ROW()-1)/4, 0))</f>
        <v>VND-171</v>
      </c>
      <c r="B682" t="str">
        <f t="shared" si="70"/>
        <v>ISO 14001</v>
      </c>
      <c r="C682" t="str">
        <f t="shared" si="71"/>
        <v>Yes</v>
      </c>
      <c r="D682" t="str">
        <f t="shared" si="72"/>
        <v>Yes</v>
      </c>
      <c r="E682" s="1">
        <v>45870</v>
      </c>
      <c r="F682" s="1">
        <v>46414</v>
      </c>
      <c r="G682">
        <f t="shared" ca="1" si="73"/>
        <v>331</v>
      </c>
      <c r="H682" t="str">
        <f t="shared" ca="1" si="74"/>
        <v>Active</v>
      </c>
      <c r="I682">
        <f t="shared" ca="1" si="75"/>
        <v>0</v>
      </c>
      <c r="J682" t="str">
        <f t="shared" si="76"/>
        <v>Environmental</v>
      </c>
    </row>
    <row r="683" spans="1:10">
      <c r="A683" t="str" cm="1">
        <f t="array" ref="A683">INDEX(Vendor_Master!$A$2:$A$401, ROUNDUP((ROW()-1)/4, 0))</f>
        <v>VND-171</v>
      </c>
      <c r="B683" t="str">
        <f t="shared" si="70"/>
        <v>Safety Certificate</v>
      </c>
      <c r="C683" t="str">
        <f t="shared" si="71"/>
        <v>Yes</v>
      </c>
      <c r="D683" t="str">
        <f t="shared" si="72"/>
        <v>Yes</v>
      </c>
      <c r="E683" s="1">
        <v>45454</v>
      </c>
      <c r="F683" s="1">
        <v>46396</v>
      </c>
      <c r="G683">
        <f t="shared" ca="1" si="73"/>
        <v>313</v>
      </c>
      <c r="H683" t="str">
        <f t="shared" ca="1" si="74"/>
        <v>Active</v>
      </c>
      <c r="I683">
        <f t="shared" ca="1" si="75"/>
        <v>0</v>
      </c>
      <c r="J683" t="str">
        <f t="shared" si="76"/>
        <v>Safety</v>
      </c>
    </row>
    <row r="684" spans="1:10">
      <c r="A684" t="str" cm="1">
        <f t="array" ref="A684">INDEX(Vendor_Master!$A$2:$A$401, ROUNDUP((ROW()-1)/4, 0))</f>
        <v>VND-171</v>
      </c>
      <c r="B684" t="str">
        <f t="shared" si="70"/>
        <v>Environmental Policy</v>
      </c>
      <c r="C684" t="str">
        <f t="shared" si="71"/>
        <v>Yes</v>
      </c>
      <c r="D684" t="str">
        <f t="shared" si="72"/>
        <v>Yes</v>
      </c>
      <c r="E684" s="1">
        <v>45469</v>
      </c>
      <c r="F684" s="1">
        <v>46383</v>
      </c>
      <c r="G684">
        <f t="shared" ca="1" si="73"/>
        <v>300</v>
      </c>
      <c r="H684" t="str">
        <f t="shared" ca="1" si="74"/>
        <v>Active</v>
      </c>
      <c r="I684">
        <f t="shared" ca="1" si="75"/>
        <v>0</v>
      </c>
      <c r="J684" t="str">
        <f t="shared" si="76"/>
        <v>Environmental</v>
      </c>
    </row>
    <row r="685" spans="1:10">
      <c r="A685" t="str" cm="1">
        <f t="array" ref="A685">INDEX(Vendor_Master!$A$2:$A$401, ROUNDUP((ROW()-1)/4, 0))</f>
        <v>VND-171</v>
      </c>
      <c r="B685" t="str">
        <f t="shared" si="70"/>
        <v>Sustainability Disclosure</v>
      </c>
      <c r="C685" t="str">
        <f t="shared" si="71"/>
        <v>Yes</v>
      </c>
      <c r="D685" t="str">
        <f t="shared" si="72"/>
        <v>Yes</v>
      </c>
      <c r="E685" s="1">
        <v>45930</v>
      </c>
      <c r="F685" s="1">
        <v>46519</v>
      </c>
      <c r="G685">
        <f t="shared" ca="1" si="73"/>
        <v>436</v>
      </c>
      <c r="H685" t="str">
        <f t="shared" ca="1" si="74"/>
        <v>Active</v>
      </c>
      <c r="I685">
        <f t="shared" ca="1" si="75"/>
        <v>0</v>
      </c>
      <c r="J685" t="str">
        <f t="shared" si="76"/>
        <v>Environmental</v>
      </c>
    </row>
    <row r="686" spans="1:10">
      <c r="A686" t="str" cm="1">
        <f t="array" ref="A686">INDEX(Vendor_Master!$A$2:$A$401, ROUNDUP((ROW()-1)/4, 0))</f>
        <v>VND-172</v>
      </c>
      <c r="B686" t="str">
        <f t="shared" si="70"/>
        <v>ISO 14001</v>
      </c>
      <c r="C686" t="str">
        <f t="shared" si="71"/>
        <v>Yes</v>
      </c>
      <c r="D686" t="str">
        <f t="shared" si="72"/>
        <v>Yes</v>
      </c>
      <c r="E686" s="1">
        <v>45527</v>
      </c>
      <c r="F686" s="1">
        <v>46779</v>
      </c>
      <c r="G686">
        <f t="shared" ca="1" si="73"/>
        <v>696</v>
      </c>
      <c r="H686" t="str">
        <f t="shared" ca="1" si="74"/>
        <v>Active</v>
      </c>
      <c r="I686">
        <f t="shared" ca="1" si="75"/>
        <v>0</v>
      </c>
      <c r="J686" t="str">
        <f t="shared" si="76"/>
        <v>Environmental</v>
      </c>
    </row>
    <row r="687" spans="1:10">
      <c r="A687" t="str" cm="1">
        <f t="array" ref="A687">INDEX(Vendor_Master!$A$2:$A$401, ROUNDUP((ROW()-1)/4, 0))</f>
        <v>VND-172</v>
      </c>
      <c r="B687" t="str">
        <f t="shared" si="70"/>
        <v>Safety Certificate</v>
      </c>
      <c r="C687" t="str">
        <f t="shared" si="71"/>
        <v>Yes</v>
      </c>
      <c r="D687" t="str">
        <f t="shared" si="72"/>
        <v>Yes</v>
      </c>
      <c r="E687" s="1">
        <v>45481</v>
      </c>
      <c r="F687" s="1">
        <v>46733</v>
      </c>
      <c r="G687">
        <f t="shared" ca="1" si="73"/>
        <v>650</v>
      </c>
      <c r="H687" t="str">
        <f t="shared" ca="1" si="74"/>
        <v>Active</v>
      </c>
      <c r="I687">
        <f t="shared" ca="1" si="75"/>
        <v>0</v>
      </c>
      <c r="J687" t="str">
        <f t="shared" si="76"/>
        <v>Safety</v>
      </c>
    </row>
    <row r="688" spans="1:10">
      <c r="A688" t="str" cm="1">
        <f t="array" ref="A688">INDEX(Vendor_Master!$A$2:$A$401, ROUNDUP((ROW()-1)/4, 0))</f>
        <v>VND-172</v>
      </c>
      <c r="B688" t="str">
        <f t="shared" si="70"/>
        <v>Environmental Policy</v>
      </c>
      <c r="C688" t="str">
        <f t="shared" si="71"/>
        <v>Yes</v>
      </c>
      <c r="D688" t="str">
        <f t="shared" si="72"/>
        <v>Yes</v>
      </c>
      <c r="E688" s="1">
        <v>45535</v>
      </c>
      <c r="F688" s="1">
        <v>46332</v>
      </c>
      <c r="G688">
        <f t="shared" ca="1" si="73"/>
        <v>249</v>
      </c>
      <c r="H688" t="str">
        <f t="shared" ca="1" si="74"/>
        <v>Active</v>
      </c>
      <c r="I688">
        <f t="shared" ca="1" si="75"/>
        <v>0</v>
      </c>
      <c r="J688" t="str">
        <f t="shared" si="76"/>
        <v>Environmental</v>
      </c>
    </row>
    <row r="689" spans="1:10">
      <c r="A689" t="str" cm="1">
        <f t="array" ref="A689">INDEX(Vendor_Master!$A$2:$A$401, ROUNDUP((ROW()-1)/4, 0))</f>
        <v>VND-172</v>
      </c>
      <c r="B689" t="str">
        <f t="shared" si="70"/>
        <v>Sustainability Disclosure</v>
      </c>
      <c r="C689" t="str">
        <f t="shared" si="71"/>
        <v>Yes</v>
      </c>
      <c r="D689" t="str">
        <f t="shared" si="72"/>
        <v>Yes</v>
      </c>
      <c r="E689" s="1">
        <v>45893</v>
      </c>
      <c r="F689" s="1">
        <v>46289</v>
      </c>
      <c r="G689">
        <f t="shared" ca="1" si="73"/>
        <v>206</v>
      </c>
      <c r="H689" t="str">
        <f t="shared" ca="1" si="74"/>
        <v>Active</v>
      </c>
      <c r="I689">
        <f t="shared" ca="1" si="75"/>
        <v>0</v>
      </c>
      <c r="J689" t="str">
        <f t="shared" si="76"/>
        <v>Environmental</v>
      </c>
    </row>
    <row r="690" spans="1:10">
      <c r="A690" t="str" cm="1">
        <f t="array" ref="A690">INDEX(Vendor_Master!$A$2:$A$401, ROUNDUP((ROW()-1)/4, 0))</f>
        <v>VND-173</v>
      </c>
      <c r="B690" t="str">
        <f t="shared" si="70"/>
        <v>ISO 14001</v>
      </c>
      <c r="C690" t="str">
        <f t="shared" si="71"/>
        <v>Yes</v>
      </c>
      <c r="D690" t="str">
        <f t="shared" si="72"/>
        <v>Yes</v>
      </c>
      <c r="E690" s="1">
        <v>45558</v>
      </c>
      <c r="F690" s="1">
        <v>46875</v>
      </c>
      <c r="G690">
        <f t="shared" ca="1" si="73"/>
        <v>792</v>
      </c>
      <c r="H690" t="str">
        <f t="shared" ca="1" si="74"/>
        <v>Active</v>
      </c>
      <c r="I690">
        <f t="shared" ca="1" si="75"/>
        <v>0</v>
      </c>
      <c r="J690" t="str">
        <f t="shared" si="76"/>
        <v>Environmental</v>
      </c>
    </row>
    <row r="691" spans="1:10">
      <c r="A691" t="str" cm="1">
        <f t="array" ref="A691">INDEX(Vendor_Master!$A$2:$A$401, ROUNDUP((ROW()-1)/4, 0))</f>
        <v>VND-173</v>
      </c>
      <c r="B691" t="str">
        <f t="shared" si="70"/>
        <v>Safety Certificate</v>
      </c>
      <c r="C691" t="str">
        <f t="shared" si="71"/>
        <v>Yes</v>
      </c>
      <c r="D691" t="str">
        <f t="shared" si="72"/>
        <v>Yes</v>
      </c>
      <c r="E691" s="1">
        <v>46053</v>
      </c>
      <c r="F691" s="1">
        <v>46250</v>
      </c>
      <c r="G691">
        <f t="shared" ca="1" si="73"/>
        <v>167</v>
      </c>
      <c r="H691" t="str">
        <f t="shared" ca="1" si="74"/>
        <v>Active</v>
      </c>
      <c r="I691">
        <f t="shared" ca="1" si="75"/>
        <v>0</v>
      </c>
      <c r="J691" t="str">
        <f t="shared" si="76"/>
        <v>Safety</v>
      </c>
    </row>
    <row r="692" spans="1:10">
      <c r="A692" t="str" cm="1">
        <f t="array" ref="A692">INDEX(Vendor_Master!$A$2:$A$401, ROUNDUP((ROW()-1)/4, 0))</f>
        <v>VND-173</v>
      </c>
      <c r="B692" t="str">
        <f t="shared" si="70"/>
        <v>Environmental Policy</v>
      </c>
      <c r="C692" t="str">
        <f t="shared" si="71"/>
        <v>Yes</v>
      </c>
      <c r="D692" t="str">
        <f t="shared" si="72"/>
        <v>Yes</v>
      </c>
      <c r="E692" s="1">
        <v>46046</v>
      </c>
      <c r="F692" s="1">
        <v>46911</v>
      </c>
      <c r="G692">
        <f t="shared" ca="1" si="73"/>
        <v>828</v>
      </c>
      <c r="H692" t="str">
        <f t="shared" ca="1" si="74"/>
        <v>Active</v>
      </c>
      <c r="I692">
        <f t="shared" ca="1" si="75"/>
        <v>0</v>
      </c>
      <c r="J692" t="str">
        <f t="shared" si="76"/>
        <v>Environmental</v>
      </c>
    </row>
    <row r="693" spans="1:10">
      <c r="A693" t="str" cm="1">
        <f t="array" ref="A693">INDEX(Vendor_Master!$A$2:$A$401, ROUNDUP((ROW()-1)/4, 0))</f>
        <v>VND-173</v>
      </c>
      <c r="B693" t="str">
        <f t="shared" si="70"/>
        <v>Sustainability Disclosure</v>
      </c>
      <c r="C693" t="str">
        <f t="shared" si="71"/>
        <v>Yes</v>
      </c>
      <c r="D693" t="str">
        <f t="shared" si="72"/>
        <v>Yes</v>
      </c>
      <c r="E693" s="1">
        <v>45429</v>
      </c>
      <c r="F693" s="1">
        <v>46642</v>
      </c>
      <c r="G693">
        <f t="shared" ca="1" si="73"/>
        <v>559</v>
      </c>
      <c r="H693" t="str">
        <f t="shared" ca="1" si="74"/>
        <v>Active</v>
      </c>
      <c r="I693">
        <f t="shared" ca="1" si="75"/>
        <v>0</v>
      </c>
      <c r="J693" t="str">
        <f t="shared" si="76"/>
        <v>Environmental</v>
      </c>
    </row>
    <row r="694" spans="1:10">
      <c r="A694" t="str" cm="1">
        <f t="array" ref="A694">INDEX(Vendor_Master!$A$2:$A$401, ROUNDUP((ROW()-1)/4, 0))</f>
        <v>VND-174</v>
      </c>
      <c r="B694" t="str">
        <f t="shared" si="70"/>
        <v>ISO 14001</v>
      </c>
      <c r="C694" t="str">
        <f t="shared" si="71"/>
        <v>Yes</v>
      </c>
      <c r="D694" t="str">
        <f t="shared" si="72"/>
        <v>Yes</v>
      </c>
      <c r="E694" s="1">
        <v>45887</v>
      </c>
      <c r="F694" s="1">
        <v>46843</v>
      </c>
      <c r="G694">
        <f t="shared" ca="1" si="73"/>
        <v>760</v>
      </c>
      <c r="H694" t="str">
        <f t="shared" ca="1" si="74"/>
        <v>Active</v>
      </c>
      <c r="I694">
        <f t="shared" ca="1" si="75"/>
        <v>0</v>
      </c>
      <c r="J694" t="str">
        <f t="shared" si="76"/>
        <v>Environmental</v>
      </c>
    </row>
    <row r="695" spans="1:10">
      <c r="A695" t="str" cm="1">
        <f t="array" ref="A695">INDEX(Vendor_Master!$A$2:$A$401, ROUNDUP((ROW()-1)/4, 0))</f>
        <v>VND-174</v>
      </c>
      <c r="B695" t="str">
        <f t="shared" si="70"/>
        <v>Safety Certificate</v>
      </c>
      <c r="C695" t="str">
        <f t="shared" si="71"/>
        <v>Yes</v>
      </c>
      <c r="D695" t="str">
        <f t="shared" si="72"/>
        <v>Yes</v>
      </c>
      <c r="E695" s="1">
        <v>45386</v>
      </c>
      <c r="F695" s="1">
        <v>46861</v>
      </c>
      <c r="G695">
        <f t="shared" ca="1" si="73"/>
        <v>778</v>
      </c>
      <c r="H695" t="str">
        <f t="shared" ca="1" si="74"/>
        <v>Active</v>
      </c>
      <c r="I695">
        <f t="shared" ca="1" si="75"/>
        <v>0</v>
      </c>
      <c r="J695" t="str">
        <f t="shared" si="76"/>
        <v>Safety</v>
      </c>
    </row>
    <row r="696" spans="1:10">
      <c r="A696" t="str" cm="1">
        <f t="array" ref="A696">INDEX(Vendor_Master!$A$2:$A$401, ROUNDUP((ROW()-1)/4, 0))</f>
        <v>VND-174</v>
      </c>
      <c r="B696" t="str">
        <f t="shared" si="70"/>
        <v>Environmental Policy</v>
      </c>
      <c r="C696" t="str">
        <f t="shared" si="71"/>
        <v>Yes</v>
      </c>
      <c r="D696" t="str">
        <f t="shared" si="72"/>
        <v>Yes</v>
      </c>
      <c r="E696" s="1">
        <v>45468</v>
      </c>
      <c r="F696" s="1">
        <v>46945</v>
      </c>
      <c r="G696">
        <f t="shared" ca="1" si="73"/>
        <v>862</v>
      </c>
      <c r="H696" t="str">
        <f t="shared" ca="1" si="74"/>
        <v>Active</v>
      </c>
      <c r="I696">
        <f t="shared" ca="1" si="75"/>
        <v>0</v>
      </c>
      <c r="J696" t="str">
        <f t="shared" si="76"/>
        <v>Environmental</v>
      </c>
    </row>
    <row r="697" spans="1:10">
      <c r="A697" t="str" cm="1">
        <f t="array" ref="A697">INDEX(Vendor_Master!$A$2:$A$401, ROUNDUP((ROW()-1)/4, 0))</f>
        <v>VND-174</v>
      </c>
      <c r="B697" t="str">
        <f t="shared" si="70"/>
        <v>Sustainability Disclosure</v>
      </c>
      <c r="C697" t="str">
        <f t="shared" si="71"/>
        <v>Yes</v>
      </c>
      <c r="D697" t="str">
        <f t="shared" si="72"/>
        <v>Yes</v>
      </c>
      <c r="E697" s="1">
        <v>45718</v>
      </c>
      <c r="F697" s="1">
        <v>46472</v>
      </c>
      <c r="G697">
        <f t="shared" ca="1" si="73"/>
        <v>389</v>
      </c>
      <c r="H697" t="str">
        <f t="shared" ca="1" si="74"/>
        <v>Active</v>
      </c>
      <c r="I697">
        <f t="shared" ca="1" si="75"/>
        <v>0</v>
      </c>
      <c r="J697" t="str">
        <f t="shared" si="76"/>
        <v>Environmental</v>
      </c>
    </row>
    <row r="698" spans="1:10">
      <c r="A698" t="str" cm="1">
        <f t="array" ref="A698">INDEX(Vendor_Master!$A$2:$A$401, ROUNDUP((ROW()-1)/4, 0))</f>
        <v>VND-175</v>
      </c>
      <c r="B698" t="str">
        <f t="shared" si="70"/>
        <v>ISO 14001</v>
      </c>
      <c r="C698" t="str">
        <f t="shared" si="71"/>
        <v>Yes</v>
      </c>
      <c r="D698" t="str">
        <f t="shared" si="72"/>
        <v>Yes</v>
      </c>
      <c r="E698" s="1">
        <v>45721</v>
      </c>
      <c r="F698" s="1">
        <v>46950</v>
      </c>
      <c r="G698">
        <f t="shared" ca="1" si="73"/>
        <v>867</v>
      </c>
      <c r="H698" t="str">
        <f t="shared" ca="1" si="74"/>
        <v>Active</v>
      </c>
      <c r="I698">
        <f t="shared" ca="1" si="75"/>
        <v>0</v>
      </c>
      <c r="J698" t="str">
        <f t="shared" si="76"/>
        <v>Environmental</v>
      </c>
    </row>
    <row r="699" spans="1:10">
      <c r="A699" t="str" cm="1">
        <f t="array" ref="A699">INDEX(Vendor_Master!$A$2:$A$401, ROUNDUP((ROW()-1)/4, 0))</f>
        <v>VND-175</v>
      </c>
      <c r="B699" t="str">
        <f t="shared" si="70"/>
        <v>Safety Certificate</v>
      </c>
      <c r="C699" t="str">
        <f t="shared" si="71"/>
        <v>Yes</v>
      </c>
      <c r="D699" t="str">
        <f t="shared" si="72"/>
        <v>Yes</v>
      </c>
      <c r="E699" s="1">
        <v>45452</v>
      </c>
      <c r="F699" s="1">
        <v>46388</v>
      </c>
      <c r="G699">
        <f t="shared" ca="1" si="73"/>
        <v>305</v>
      </c>
      <c r="H699" t="str">
        <f t="shared" ca="1" si="74"/>
        <v>Active</v>
      </c>
      <c r="I699">
        <f t="shared" ca="1" si="75"/>
        <v>0</v>
      </c>
      <c r="J699" t="str">
        <f t="shared" si="76"/>
        <v>Safety</v>
      </c>
    </row>
    <row r="700" spans="1:10">
      <c r="A700" t="str" cm="1">
        <f t="array" ref="A700">INDEX(Vendor_Master!$A$2:$A$401, ROUNDUP((ROW()-1)/4, 0))</f>
        <v>VND-175</v>
      </c>
      <c r="B700" t="str">
        <f t="shared" si="70"/>
        <v>Environmental Policy</v>
      </c>
      <c r="C700" t="str">
        <f t="shared" si="71"/>
        <v>Yes</v>
      </c>
      <c r="D700" t="str">
        <f t="shared" si="72"/>
        <v>Yes</v>
      </c>
      <c r="E700" s="1">
        <v>46029</v>
      </c>
      <c r="F700" s="1">
        <v>46712</v>
      </c>
      <c r="G700">
        <f t="shared" ca="1" si="73"/>
        <v>629</v>
      </c>
      <c r="H700" t="str">
        <f t="shared" ca="1" si="74"/>
        <v>Active</v>
      </c>
      <c r="I700">
        <f t="shared" ca="1" si="75"/>
        <v>0</v>
      </c>
      <c r="J700" t="str">
        <f t="shared" si="76"/>
        <v>Environmental</v>
      </c>
    </row>
    <row r="701" spans="1:10">
      <c r="A701" t="str" cm="1">
        <f t="array" ref="A701">INDEX(Vendor_Master!$A$2:$A$401, ROUNDUP((ROW()-1)/4, 0))</f>
        <v>VND-175</v>
      </c>
      <c r="B701" t="str">
        <f t="shared" si="70"/>
        <v>Sustainability Disclosure</v>
      </c>
      <c r="C701" t="str">
        <f t="shared" si="71"/>
        <v>Yes</v>
      </c>
      <c r="D701" t="str">
        <f t="shared" si="72"/>
        <v>Yes</v>
      </c>
      <c r="E701" s="1">
        <v>45972</v>
      </c>
      <c r="F701" s="1">
        <v>46940</v>
      </c>
      <c r="G701">
        <f t="shared" ca="1" si="73"/>
        <v>857</v>
      </c>
      <c r="H701" t="str">
        <f t="shared" ca="1" si="74"/>
        <v>Active</v>
      </c>
      <c r="I701">
        <f t="shared" ca="1" si="75"/>
        <v>0</v>
      </c>
      <c r="J701" t="str">
        <f t="shared" si="76"/>
        <v>Environmental</v>
      </c>
    </row>
    <row r="702" spans="1:10">
      <c r="A702" t="str" cm="1">
        <f t="array" ref="A702">INDEX(Vendor_Master!$A$2:$A$401, ROUNDUP((ROW()-1)/4, 0))</f>
        <v>VND-176</v>
      </c>
      <c r="B702" t="str">
        <f t="shared" si="70"/>
        <v>ISO 14001</v>
      </c>
      <c r="C702" t="str">
        <f t="shared" si="71"/>
        <v>Yes</v>
      </c>
      <c r="D702" t="str">
        <f t="shared" si="72"/>
        <v>Yes</v>
      </c>
      <c r="E702" s="1">
        <v>45440</v>
      </c>
      <c r="F702" s="1">
        <v>46332</v>
      </c>
      <c r="G702">
        <f t="shared" ca="1" si="73"/>
        <v>249</v>
      </c>
      <c r="H702" t="str">
        <f t="shared" ca="1" si="74"/>
        <v>Active</v>
      </c>
      <c r="I702">
        <f t="shared" ca="1" si="75"/>
        <v>0</v>
      </c>
      <c r="J702" t="str">
        <f t="shared" si="76"/>
        <v>Environmental</v>
      </c>
    </row>
    <row r="703" spans="1:10">
      <c r="A703" t="str" cm="1">
        <f t="array" ref="A703">INDEX(Vendor_Master!$A$2:$A$401, ROUNDUP((ROW()-1)/4, 0))</f>
        <v>VND-176</v>
      </c>
      <c r="B703" t="str">
        <f t="shared" si="70"/>
        <v>Safety Certificate</v>
      </c>
      <c r="C703" t="str">
        <f t="shared" si="71"/>
        <v>Yes</v>
      </c>
      <c r="D703" t="str">
        <f t="shared" si="72"/>
        <v>Yes</v>
      </c>
      <c r="E703" s="1">
        <v>46068</v>
      </c>
      <c r="F703" s="1">
        <v>46518</v>
      </c>
      <c r="G703">
        <f t="shared" ca="1" si="73"/>
        <v>435</v>
      </c>
      <c r="H703" t="str">
        <f t="shared" ca="1" si="74"/>
        <v>Active</v>
      </c>
      <c r="I703">
        <f t="shared" ca="1" si="75"/>
        <v>0</v>
      </c>
      <c r="J703" t="str">
        <f t="shared" si="76"/>
        <v>Safety</v>
      </c>
    </row>
    <row r="704" spans="1:10">
      <c r="A704" t="str" cm="1">
        <f t="array" ref="A704">INDEX(Vendor_Master!$A$2:$A$401, ROUNDUP((ROW()-1)/4, 0))</f>
        <v>VND-176</v>
      </c>
      <c r="B704" t="str">
        <f t="shared" si="70"/>
        <v>Environmental Policy</v>
      </c>
      <c r="C704" t="str">
        <f t="shared" si="71"/>
        <v>Yes</v>
      </c>
      <c r="D704" t="str">
        <f t="shared" si="72"/>
        <v>Yes</v>
      </c>
      <c r="E704" s="1">
        <v>45516</v>
      </c>
      <c r="F704" s="1">
        <v>46797</v>
      </c>
      <c r="G704">
        <f t="shared" ca="1" si="73"/>
        <v>714</v>
      </c>
      <c r="H704" t="str">
        <f t="shared" ca="1" si="74"/>
        <v>Active</v>
      </c>
      <c r="I704">
        <f t="shared" ca="1" si="75"/>
        <v>0</v>
      </c>
      <c r="J704" t="str">
        <f t="shared" si="76"/>
        <v>Environmental</v>
      </c>
    </row>
    <row r="705" spans="1:10">
      <c r="A705" t="str" cm="1">
        <f t="array" ref="A705">INDEX(Vendor_Master!$A$2:$A$401, ROUNDUP((ROW()-1)/4, 0))</f>
        <v>VND-176</v>
      </c>
      <c r="B705" t="str">
        <f t="shared" si="70"/>
        <v>Sustainability Disclosure</v>
      </c>
      <c r="C705" t="str">
        <f t="shared" si="71"/>
        <v>Yes</v>
      </c>
      <c r="D705" t="str">
        <f t="shared" si="72"/>
        <v>Yes</v>
      </c>
      <c r="E705" s="1">
        <v>45846</v>
      </c>
      <c r="F705" s="1">
        <v>46610</v>
      </c>
      <c r="G705">
        <f t="shared" ca="1" si="73"/>
        <v>527</v>
      </c>
      <c r="H705" t="str">
        <f t="shared" ca="1" si="74"/>
        <v>Active</v>
      </c>
      <c r="I705">
        <f t="shared" ca="1" si="75"/>
        <v>0</v>
      </c>
      <c r="J705" t="str">
        <f t="shared" si="76"/>
        <v>Environmental</v>
      </c>
    </row>
    <row r="706" spans="1:10">
      <c r="A706" t="str" cm="1">
        <f t="array" ref="A706">INDEX(Vendor_Master!$A$2:$A$401, ROUNDUP((ROW()-1)/4, 0))</f>
        <v>VND-177</v>
      </c>
      <c r="B706" t="str">
        <f t="shared" si="70"/>
        <v>ISO 14001</v>
      </c>
      <c r="C706" t="str">
        <f t="shared" si="71"/>
        <v>Yes</v>
      </c>
      <c r="D706" t="str">
        <f t="shared" si="72"/>
        <v>Yes</v>
      </c>
      <c r="E706" s="1">
        <v>45641</v>
      </c>
      <c r="F706" s="1">
        <v>46461</v>
      </c>
      <c r="G706">
        <f t="shared" ca="1" si="73"/>
        <v>378</v>
      </c>
      <c r="H706" t="str">
        <f t="shared" ca="1" si="74"/>
        <v>Active</v>
      </c>
      <c r="I706">
        <f t="shared" ca="1" si="75"/>
        <v>0</v>
      </c>
      <c r="J706" t="str">
        <f t="shared" si="76"/>
        <v>Environmental</v>
      </c>
    </row>
    <row r="707" spans="1:10">
      <c r="A707" t="str" cm="1">
        <f t="array" ref="A707">INDEX(Vendor_Master!$A$2:$A$401, ROUNDUP((ROW()-1)/4, 0))</f>
        <v>VND-177</v>
      </c>
      <c r="B707" t="str">
        <f t="shared" ref="B707:B770" si="77">CHOOSE(MOD(ROW()-2,4)+1,"ISO 14001","Safety Certificate","Environmental Policy","Sustainability Disclosure")</f>
        <v>Safety Certificate</v>
      </c>
      <c r="C707" t="str">
        <f t="shared" ref="C707:C770" si="78">"Yes"</f>
        <v>Yes</v>
      </c>
      <c r="D707" t="str">
        <f t="shared" ref="D707:D770" si="79">IF(ROW()-1&lt;=1280,"Yes","No")</f>
        <v>Yes</v>
      </c>
      <c r="E707" s="1">
        <v>45576</v>
      </c>
      <c r="F707" s="1">
        <v>46932</v>
      </c>
      <c r="G707">
        <f t="shared" ref="G707:G770" ca="1" si="80">IF($F707="","",$F707-TODAY())</f>
        <v>849</v>
      </c>
      <c r="H707" t="str">
        <f t="shared" ref="H707:H770" ca="1" si="81">IF($C707="No","Not Required",
IF($D707="No","Missing",
IF($F707&lt;TODAY(),"Expired",
IF($F707&lt;=TODAY()+30,"Expiring Soon","Active"))))</f>
        <v>Active</v>
      </c>
      <c r="I707">
        <f t="shared" ref="I707:I770" ca="1" si="82">IF(OR($H707="Missing",$H707="Expired",$H707="Expiring Soon"),1,0)</f>
        <v>0</v>
      </c>
      <c r="J707" t="str">
        <f t="shared" ref="J707:J770" si="83">IF(B707="ISO 14001","Environmental",
 IF(B707="Environmental Policy","Environmental",
 IF(B707="Sustainability Disclosure","Environmental",
 IF(B707="Safety Certificate","Safety","Regulatory"))))</f>
        <v>Safety</v>
      </c>
    </row>
    <row r="708" spans="1:10">
      <c r="A708" t="str" cm="1">
        <f t="array" ref="A708">INDEX(Vendor_Master!$A$2:$A$401, ROUNDUP((ROW()-1)/4, 0))</f>
        <v>VND-177</v>
      </c>
      <c r="B708" t="str">
        <f t="shared" si="77"/>
        <v>Environmental Policy</v>
      </c>
      <c r="C708" t="str">
        <f t="shared" si="78"/>
        <v>Yes</v>
      </c>
      <c r="D708" t="str">
        <f t="shared" si="79"/>
        <v>Yes</v>
      </c>
      <c r="E708" s="1">
        <v>45657</v>
      </c>
      <c r="F708" s="1">
        <v>46389</v>
      </c>
      <c r="G708">
        <f t="shared" ca="1" si="80"/>
        <v>306</v>
      </c>
      <c r="H708" t="str">
        <f t="shared" ca="1" si="81"/>
        <v>Active</v>
      </c>
      <c r="I708">
        <f t="shared" ca="1" si="82"/>
        <v>0</v>
      </c>
      <c r="J708" t="str">
        <f t="shared" si="83"/>
        <v>Environmental</v>
      </c>
    </row>
    <row r="709" spans="1:10">
      <c r="A709" t="str" cm="1">
        <f t="array" ref="A709">INDEX(Vendor_Master!$A$2:$A$401, ROUNDUP((ROW()-1)/4, 0))</f>
        <v>VND-177</v>
      </c>
      <c r="B709" t="str">
        <f t="shared" si="77"/>
        <v>Sustainability Disclosure</v>
      </c>
      <c r="C709" t="str">
        <f t="shared" si="78"/>
        <v>Yes</v>
      </c>
      <c r="D709" t="str">
        <f t="shared" si="79"/>
        <v>Yes</v>
      </c>
      <c r="E709" s="1">
        <v>45569</v>
      </c>
      <c r="F709" s="1">
        <v>46972</v>
      </c>
      <c r="G709">
        <f t="shared" ca="1" si="80"/>
        <v>889</v>
      </c>
      <c r="H709" t="str">
        <f t="shared" ca="1" si="81"/>
        <v>Active</v>
      </c>
      <c r="I709">
        <f t="shared" ca="1" si="82"/>
        <v>0</v>
      </c>
      <c r="J709" t="str">
        <f t="shared" si="83"/>
        <v>Environmental</v>
      </c>
    </row>
    <row r="710" spans="1:10">
      <c r="A710" t="str" cm="1">
        <f t="array" ref="A710">INDEX(Vendor_Master!$A$2:$A$401, ROUNDUP((ROW()-1)/4, 0))</f>
        <v>VND-178</v>
      </c>
      <c r="B710" t="str">
        <f t="shared" si="77"/>
        <v>ISO 14001</v>
      </c>
      <c r="C710" t="str">
        <f t="shared" si="78"/>
        <v>Yes</v>
      </c>
      <c r="D710" t="str">
        <f t="shared" si="79"/>
        <v>Yes</v>
      </c>
      <c r="E710" s="1">
        <v>45761</v>
      </c>
      <c r="F710" s="1">
        <v>46930</v>
      </c>
      <c r="G710">
        <f t="shared" ca="1" si="80"/>
        <v>847</v>
      </c>
      <c r="H710" t="str">
        <f t="shared" ca="1" si="81"/>
        <v>Active</v>
      </c>
      <c r="I710">
        <f t="shared" ca="1" si="82"/>
        <v>0</v>
      </c>
      <c r="J710" t="str">
        <f t="shared" si="83"/>
        <v>Environmental</v>
      </c>
    </row>
    <row r="711" spans="1:10">
      <c r="A711" t="str" cm="1">
        <f t="array" ref="A711">INDEX(Vendor_Master!$A$2:$A$401, ROUNDUP((ROW()-1)/4, 0))</f>
        <v>VND-178</v>
      </c>
      <c r="B711" t="str">
        <f t="shared" si="77"/>
        <v>Safety Certificate</v>
      </c>
      <c r="C711" t="str">
        <f t="shared" si="78"/>
        <v>Yes</v>
      </c>
      <c r="D711" t="str">
        <f t="shared" si="79"/>
        <v>Yes</v>
      </c>
      <c r="E711" s="1">
        <v>46071</v>
      </c>
      <c r="F711" s="1">
        <v>46789</v>
      </c>
      <c r="G711">
        <f t="shared" ca="1" si="80"/>
        <v>706</v>
      </c>
      <c r="H711" t="str">
        <f t="shared" ca="1" si="81"/>
        <v>Active</v>
      </c>
      <c r="I711">
        <f t="shared" ca="1" si="82"/>
        <v>0</v>
      </c>
      <c r="J711" t="str">
        <f t="shared" si="83"/>
        <v>Safety</v>
      </c>
    </row>
    <row r="712" spans="1:10">
      <c r="A712" t="str" cm="1">
        <f t="array" ref="A712">INDEX(Vendor_Master!$A$2:$A$401, ROUNDUP((ROW()-1)/4, 0))</f>
        <v>VND-178</v>
      </c>
      <c r="B712" t="str">
        <f t="shared" si="77"/>
        <v>Environmental Policy</v>
      </c>
      <c r="C712" t="str">
        <f t="shared" si="78"/>
        <v>Yes</v>
      </c>
      <c r="D712" t="str">
        <f t="shared" si="79"/>
        <v>Yes</v>
      </c>
      <c r="E712" s="1">
        <v>45740</v>
      </c>
      <c r="F712" s="1">
        <v>46784</v>
      </c>
      <c r="G712">
        <f t="shared" ca="1" si="80"/>
        <v>701</v>
      </c>
      <c r="H712" t="str">
        <f t="shared" ca="1" si="81"/>
        <v>Active</v>
      </c>
      <c r="I712">
        <f t="shared" ca="1" si="82"/>
        <v>0</v>
      </c>
      <c r="J712" t="str">
        <f t="shared" si="83"/>
        <v>Environmental</v>
      </c>
    </row>
    <row r="713" spans="1:10">
      <c r="A713" t="str" cm="1">
        <f t="array" ref="A713">INDEX(Vendor_Master!$A$2:$A$401, ROUNDUP((ROW()-1)/4, 0))</f>
        <v>VND-178</v>
      </c>
      <c r="B713" t="str">
        <f t="shared" si="77"/>
        <v>Sustainability Disclosure</v>
      </c>
      <c r="C713" t="str">
        <f t="shared" si="78"/>
        <v>Yes</v>
      </c>
      <c r="D713" t="str">
        <f t="shared" si="79"/>
        <v>Yes</v>
      </c>
      <c r="E713" s="1">
        <v>45948</v>
      </c>
      <c r="F713" s="1">
        <v>46419</v>
      </c>
      <c r="G713">
        <f t="shared" ca="1" si="80"/>
        <v>336</v>
      </c>
      <c r="H713" t="str">
        <f t="shared" ca="1" si="81"/>
        <v>Active</v>
      </c>
      <c r="I713">
        <f t="shared" ca="1" si="82"/>
        <v>0</v>
      </c>
      <c r="J713" t="str">
        <f t="shared" si="83"/>
        <v>Environmental</v>
      </c>
    </row>
    <row r="714" spans="1:10">
      <c r="A714" t="str" cm="1">
        <f t="array" ref="A714">INDEX(Vendor_Master!$A$2:$A$401, ROUNDUP((ROW()-1)/4, 0))</f>
        <v>VND-179</v>
      </c>
      <c r="B714" t="str">
        <f t="shared" si="77"/>
        <v>ISO 14001</v>
      </c>
      <c r="C714" t="str">
        <f t="shared" si="78"/>
        <v>Yes</v>
      </c>
      <c r="D714" t="str">
        <f t="shared" si="79"/>
        <v>Yes</v>
      </c>
      <c r="E714" s="1">
        <v>45398</v>
      </c>
      <c r="F714" s="1">
        <v>46412</v>
      </c>
      <c r="G714">
        <f t="shared" ca="1" si="80"/>
        <v>329</v>
      </c>
      <c r="H714" t="str">
        <f t="shared" ca="1" si="81"/>
        <v>Active</v>
      </c>
      <c r="I714">
        <f t="shared" ca="1" si="82"/>
        <v>0</v>
      </c>
      <c r="J714" t="str">
        <f t="shared" si="83"/>
        <v>Environmental</v>
      </c>
    </row>
    <row r="715" spans="1:10">
      <c r="A715" t="str" cm="1">
        <f t="array" ref="A715">INDEX(Vendor_Master!$A$2:$A$401, ROUNDUP((ROW()-1)/4, 0))</f>
        <v>VND-179</v>
      </c>
      <c r="B715" t="str">
        <f t="shared" si="77"/>
        <v>Safety Certificate</v>
      </c>
      <c r="C715" t="str">
        <f t="shared" si="78"/>
        <v>Yes</v>
      </c>
      <c r="D715" t="str">
        <f t="shared" si="79"/>
        <v>Yes</v>
      </c>
      <c r="E715" s="1">
        <v>45673</v>
      </c>
      <c r="F715" s="1">
        <v>46716</v>
      </c>
      <c r="G715">
        <f t="shared" ca="1" si="80"/>
        <v>633</v>
      </c>
      <c r="H715" t="str">
        <f t="shared" ca="1" si="81"/>
        <v>Active</v>
      </c>
      <c r="I715">
        <f t="shared" ca="1" si="82"/>
        <v>0</v>
      </c>
      <c r="J715" t="str">
        <f t="shared" si="83"/>
        <v>Safety</v>
      </c>
    </row>
    <row r="716" spans="1:10">
      <c r="A716" t="str" cm="1">
        <f t="array" ref="A716">INDEX(Vendor_Master!$A$2:$A$401, ROUNDUP((ROW()-1)/4, 0))</f>
        <v>VND-179</v>
      </c>
      <c r="B716" t="str">
        <f t="shared" si="77"/>
        <v>Environmental Policy</v>
      </c>
      <c r="C716" t="str">
        <f t="shared" si="78"/>
        <v>Yes</v>
      </c>
      <c r="D716" t="str">
        <f t="shared" si="79"/>
        <v>Yes</v>
      </c>
      <c r="E716" s="1">
        <v>45890</v>
      </c>
      <c r="F716" s="1">
        <v>46510</v>
      </c>
      <c r="G716">
        <f t="shared" ca="1" si="80"/>
        <v>427</v>
      </c>
      <c r="H716" t="str">
        <f t="shared" ca="1" si="81"/>
        <v>Active</v>
      </c>
      <c r="I716">
        <f t="shared" ca="1" si="82"/>
        <v>0</v>
      </c>
      <c r="J716" t="str">
        <f t="shared" si="83"/>
        <v>Environmental</v>
      </c>
    </row>
    <row r="717" spans="1:10">
      <c r="A717" t="str" cm="1">
        <f t="array" ref="A717">INDEX(Vendor_Master!$A$2:$A$401, ROUNDUP((ROW()-1)/4, 0))</f>
        <v>VND-179</v>
      </c>
      <c r="B717" t="str">
        <f t="shared" si="77"/>
        <v>Sustainability Disclosure</v>
      </c>
      <c r="C717" t="str">
        <f t="shared" si="78"/>
        <v>Yes</v>
      </c>
      <c r="D717" t="str">
        <f t="shared" si="79"/>
        <v>Yes</v>
      </c>
      <c r="E717" s="1">
        <v>45385</v>
      </c>
      <c r="F717" s="1">
        <v>46709</v>
      </c>
      <c r="G717">
        <f t="shared" ca="1" si="80"/>
        <v>626</v>
      </c>
      <c r="H717" t="str">
        <f t="shared" ca="1" si="81"/>
        <v>Active</v>
      </c>
      <c r="I717">
        <f t="shared" ca="1" si="82"/>
        <v>0</v>
      </c>
      <c r="J717" t="str">
        <f t="shared" si="83"/>
        <v>Environmental</v>
      </c>
    </row>
    <row r="718" spans="1:10">
      <c r="A718" t="str" cm="1">
        <f t="array" ref="A718">INDEX(Vendor_Master!$A$2:$A$401, ROUNDUP((ROW()-1)/4, 0))</f>
        <v>VND-180</v>
      </c>
      <c r="B718" t="str">
        <f t="shared" si="77"/>
        <v>ISO 14001</v>
      </c>
      <c r="C718" t="str">
        <f t="shared" si="78"/>
        <v>Yes</v>
      </c>
      <c r="D718" t="str">
        <f t="shared" si="79"/>
        <v>Yes</v>
      </c>
      <c r="E718" s="1">
        <v>45963</v>
      </c>
      <c r="F718" s="1">
        <v>46593</v>
      </c>
      <c r="G718">
        <f t="shared" ca="1" si="80"/>
        <v>510</v>
      </c>
      <c r="H718" t="str">
        <f t="shared" ca="1" si="81"/>
        <v>Active</v>
      </c>
      <c r="I718">
        <f t="shared" ca="1" si="82"/>
        <v>0</v>
      </c>
      <c r="J718" t="str">
        <f t="shared" si="83"/>
        <v>Environmental</v>
      </c>
    </row>
    <row r="719" spans="1:10">
      <c r="A719" t="str" cm="1">
        <f t="array" ref="A719">INDEX(Vendor_Master!$A$2:$A$401, ROUNDUP((ROW()-1)/4, 0))</f>
        <v>VND-180</v>
      </c>
      <c r="B719" t="str">
        <f t="shared" si="77"/>
        <v>Safety Certificate</v>
      </c>
      <c r="C719" t="str">
        <f t="shared" si="78"/>
        <v>Yes</v>
      </c>
      <c r="D719" t="str">
        <f t="shared" si="79"/>
        <v>Yes</v>
      </c>
      <c r="E719" s="1">
        <v>45934</v>
      </c>
      <c r="F719" s="1">
        <v>46776</v>
      </c>
      <c r="G719">
        <f t="shared" ca="1" si="80"/>
        <v>693</v>
      </c>
      <c r="H719" t="str">
        <f t="shared" ca="1" si="81"/>
        <v>Active</v>
      </c>
      <c r="I719">
        <f t="shared" ca="1" si="82"/>
        <v>0</v>
      </c>
      <c r="J719" t="str">
        <f t="shared" si="83"/>
        <v>Safety</v>
      </c>
    </row>
    <row r="720" spans="1:10">
      <c r="A720" t="str" cm="1">
        <f t="array" ref="A720">INDEX(Vendor_Master!$A$2:$A$401, ROUNDUP((ROW()-1)/4, 0))</f>
        <v>VND-180</v>
      </c>
      <c r="B720" t="str">
        <f t="shared" si="77"/>
        <v>Environmental Policy</v>
      </c>
      <c r="C720" t="str">
        <f t="shared" si="78"/>
        <v>Yes</v>
      </c>
      <c r="D720" t="str">
        <f t="shared" si="79"/>
        <v>Yes</v>
      </c>
      <c r="E720" s="1">
        <v>45444</v>
      </c>
      <c r="F720" s="1">
        <v>46533</v>
      </c>
      <c r="G720">
        <f t="shared" ca="1" si="80"/>
        <v>450</v>
      </c>
      <c r="H720" t="str">
        <f t="shared" ca="1" si="81"/>
        <v>Active</v>
      </c>
      <c r="I720">
        <f t="shared" ca="1" si="82"/>
        <v>0</v>
      </c>
      <c r="J720" t="str">
        <f t="shared" si="83"/>
        <v>Environmental</v>
      </c>
    </row>
    <row r="721" spans="1:10">
      <c r="A721" t="str" cm="1">
        <f t="array" ref="A721">INDEX(Vendor_Master!$A$2:$A$401, ROUNDUP((ROW()-1)/4, 0))</f>
        <v>VND-180</v>
      </c>
      <c r="B721" t="str">
        <f t="shared" si="77"/>
        <v>Sustainability Disclosure</v>
      </c>
      <c r="C721" t="str">
        <f t="shared" si="78"/>
        <v>Yes</v>
      </c>
      <c r="D721" t="str">
        <f t="shared" si="79"/>
        <v>Yes</v>
      </c>
      <c r="E721" s="1">
        <v>45622</v>
      </c>
      <c r="F721" s="1">
        <v>46342</v>
      </c>
      <c r="G721">
        <f t="shared" ca="1" si="80"/>
        <v>259</v>
      </c>
      <c r="H721" t="str">
        <f t="shared" ca="1" si="81"/>
        <v>Active</v>
      </c>
      <c r="I721">
        <f t="shared" ca="1" si="82"/>
        <v>0</v>
      </c>
      <c r="J721" t="str">
        <f t="shared" si="83"/>
        <v>Environmental</v>
      </c>
    </row>
    <row r="722" spans="1:10">
      <c r="A722" t="str" cm="1">
        <f t="array" ref="A722">INDEX(Vendor_Master!$A$2:$A$401, ROUNDUP((ROW()-1)/4, 0))</f>
        <v>VND-181</v>
      </c>
      <c r="B722" t="str">
        <f t="shared" si="77"/>
        <v>ISO 14001</v>
      </c>
      <c r="C722" t="str">
        <f t="shared" si="78"/>
        <v>Yes</v>
      </c>
      <c r="D722" t="str">
        <f t="shared" si="79"/>
        <v>Yes</v>
      </c>
      <c r="E722" s="1">
        <v>45739</v>
      </c>
      <c r="F722" s="1">
        <v>46274</v>
      </c>
      <c r="G722">
        <f t="shared" ca="1" si="80"/>
        <v>191</v>
      </c>
      <c r="H722" t="str">
        <f t="shared" ca="1" si="81"/>
        <v>Active</v>
      </c>
      <c r="I722">
        <f t="shared" ca="1" si="82"/>
        <v>0</v>
      </c>
      <c r="J722" t="str">
        <f t="shared" si="83"/>
        <v>Environmental</v>
      </c>
    </row>
    <row r="723" spans="1:10">
      <c r="A723" t="str" cm="1">
        <f t="array" ref="A723">INDEX(Vendor_Master!$A$2:$A$401, ROUNDUP((ROW()-1)/4, 0))</f>
        <v>VND-181</v>
      </c>
      <c r="B723" t="str">
        <f t="shared" si="77"/>
        <v>Safety Certificate</v>
      </c>
      <c r="C723" t="str">
        <f t="shared" si="78"/>
        <v>Yes</v>
      </c>
      <c r="D723" t="str">
        <f t="shared" si="79"/>
        <v>Yes</v>
      </c>
      <c r="E723" s="1">
        <v>46006</v>
      </c>
      <c r="F723" s="1">
        <v>46440</v>
      </c>
      <c r="G723">
        <f t="shared" ca="1" si="80"/>
        <v>357</v>
      </c>
      <c r="H723" t="str">
        <f t="shared" ca="1" si="81"/>
        <v>Active</v>
      </c>
      <c r="I723">
        <f t="shared" ca="1" si="82"/>
        <v>0</v>
      </c>
      <c r="J723" t="str">
        <f t="shared" si="83"/>
        <v>Safety</v>
      </c>
    </row>
    <row r="724" spans="1:10">
      <c r="A724" t="str" cm="1">
        <f t="array" ref="A724">INDEX(Vendor_Master!$A$2:$A$401, ROUNDUP((ROW()-1)/4, 0))</f>
        <v>VND-181</v>
      </c>
      <c r="B724" t="str">
        <f t="shared" si="77"/>
        <v>Environmental Policy</v>
      </c>
      <c r="C724" t="str">
        <f t="shared" si="78"/>
        <v>Yes</v>
      </c>
      <c r="D724" t="str">
        <f t="shared" si="79"/>
        <v>Yes</v>
      </c>
      <c r="E724" s="1">
        <v>45522</v>
      </c>
      <c r="F724" s="1">
        <v>46771</v>
      </c>
      <c r="G724">
        <f t="shared" ca="1" si="80"/>
        <v>688</v>
      </c>
      <c r="H724" t="str">
        <f t="shared" ca="1" si="81"/>
        <v>Active</v>
      </c>
      <c r="I724">
        <f t="shared" ca="1" si="82"/>
        <v>0</v>
      </c>
      <c r="J724" t="str">
        <f t="shared" si="83"/>
        <v>Environmental</v>
      </c>
    </row>
    <row r="725" spans="1:10">
      <c r="A725" t="str" cm="1">
        <f t="array" ref="A725">INDEX(Vendor_Master!$A$2:$A$401, ROUNDUP((ROW()-1)/4, 0))</f>
        <v>VND-181</v>
      </c>
      <c r="B725" t="str">
        <f t="shared" si="77"/>
        <v>Sustainability Disclosure</v>
      </c>
      <c r="C725" t="str">
        <f t="shared" si="78"/>
        <v>Yes</v>
      </c>
      <c r="D725" t="str">
        <f t="shared" si="79"/>
        <v>Yes</v>
      </c>
      <c r="E725" s="1">
        <v>45937</v>
      </c>
      <c r="F725" s="1">
        <v>46341</v>
      </c>
      <c r="G725">
        <f t="shared" ca="1" si="80"/>
        <v>258</v>
      </c>
      <c r="H725" t="str">
        <f t="shared" ca="1" si="81"/>
        <v>Active</v>
      </c>
      <c r="I725">
        <f t="shared" ca="1" si="82"/>
        <v>0</v>
      </c>
      <c r="J725" t="str">
        <f t="shared" si="83"/>
        <v>Environmental</v>
      </c>
    </row>
    <row r="726" spans="1:10">
      <c r="A726" t="str" cm="1">
        <f t="array" ref="A726">INDEX(Vendor_Master!$A$2:$A$401, ROUNDUP((ROW()-1)/4, 0))</f>
        <v>VND-182</v>
      </c>
      <c r="B726" t="str">
        <f t="shared" si="77"/>
        <v>ISO 14001</v>
      </c>
      <c r="C726" t="str">
        <f t="shared" si="78"/>
        <v>Yes</v>
      </c>
      <c r="D726" t="str">
        <f t="shared" si="79"/>
        <v>Yes</v>
      </c>
      <c r="E726" s="1">
        <v>45490</v>
      </c>
      <c r="F726" s="1">
        <v>46456</v>
      </c>
      <c r="G726">
        <f t="shared" ca="1" si="80"/>
        <v>373</v>
      </c>
      <c r="H726" t="str">
        <f t="shared" ca="1" si="81"/>
        <v>Active</v>
      </c>
      <c r="I726">
        <f t="shared" ca="1" si="82"/>
        <v>0</v>
      </c>
      <c r="J726" t="str">
        <f t="shared" si="83"/>
        <v>Environmental</v>
      </c>
    </row>
    <row r="727" spans="1:10">
      <c r="A727" t="str" cm="1">
        <f t="array" ref="A727">INDEX(Vendor_Master!$A$2:$A$401, ROUNDUP((ROW()-1)/4, 0))</f>
        <v>VND-182</v>
      </c>
      <c r="B727" t="str">
        <f t="shared" si="77"/>
        <v>Safety Certificate</v>
      </c>
      <c r="C727" t="str">
        <f t="shared" si="78"/>
        <v>Yes</v>
      </c>
      <c r="D727" t="str">
        <f t="shared" si="79"/>
        <v>Yes</v>
      </c>
      <c r="E727" s="1">
        <v>45450</v>
      </c>
      <c r="F727" s="1">
        <v>46907</v>
      </c>
      <c r="G727">
        <f t="shared" ca="1" si="80"/>
        <v>824</v>
      </c>
      <c r="H727" t="str">
        <f t="shared" ca="1" si="81"/>
        <v>Active</v>
      </c>
      <c r="I727">
        <f t="shared" ca="1" si="82"/>
        <v>0</v>
      </c>
      <c r="J727" t="str">
        <f t="shared" si="83"/>
        <v>Safety</v>
      </c>
    </row>
    <row r="728" spans="1:10">
      <c r="A728" t="str" cm="1">
        <f t="array" ref="A728">INDEX(Vendor_Master!$A$2:$A$401, ROUNDUP((ROW()-1)/4, 0))</f>
        <v>VND-182</v>
      </c>
      <c r="B728" t="str">
        <f t="shared" si="77"/>
        <v>Environmental Policy</v>
      </c>
      <c r="C728" t="str">
        <f t="shared" si="78"/>
        <v>Yes</v>
      </c>
      <c r="D728" t="str">
        <f t="shared" si="79"/>
        <v>Yes</v>
      </c>
      <c r="E728" s="1">
        <v>46033</v>
      </c>
      <c r="F728" s="1">
        <v>46477</v>
      </c>
      <c r="G728">
        <f t="shared" ca="1" si="80"/>
        <v>394</v>
      </c>
      <c r="H728" t="str">
        <f t="shared" ca="1" si="81"/>
        <v>Active</v>
      </c>
      <c r="I728">
        <f t="shared" ca="1" si="82"/>
        <v>0</v>
      </c>
      <c r="J728" t="str">
        <f t="shared" si="83"/>
        <v>Environmental</v>
      </c>
    </row>
    <row r="729" spans="1:10">
      <c r="A729" t="str" cm="1">
        <f t="array" ref="A729">INDEX(Vendor_Master!$A$2:$A$401, ROUNDUP((ROW()-1)/4, 0))</f>
        <v>VND-182</v>
      </c>
      <c r="B729" t="str">
        <f t="shared" si="77"/>
        <v>Sustainability Disclosure</v>
      </c>
      <c r="C729" t="str">
        <f t="shared" si="78"/>
        <v>Yes</v>
      </c>
      <c r="D729" t="str">
        <f t="shared" si="79"/>
        <v>Yes</v>
      </c>
      <c r="E729" s="1">
        <v>45913</v>
      </c>
      <c r="F729" s="1">
        <v>46339</v>
      </c>
      <c r="G729">
        <f t="shared" ca="1" si="80"/>
        <v>256</v>
      </c>
      <c r="H729" t="str">
        <f t="shared" ca="1" si="81"/>
        <v>Active</v>
      </c>
      <c r="I729">
        <f t="shared" ca="1" si="82"/>
        <v>0</v>
      </c>
      <c r="J729" t="str">
        <f t="shared" si="83"/>
        <v>Environmental</v>
      </c>
    </row>
    <row r="730" spans="1:10">
      <c r="A730" t="str" cm="1">
        <f t="array" ref="A730">INDEX(Vendor_Master!$A$2:$A$401, ROUNDUP((ROW()-1)/4, 0))</f>
        <v>VND-183</v>
      </c>
      <c r="B730" t="str">
        <f t="shared" si="77"/>
        <v>ISO 14001</v>
      </c>
      <c r="C730" t="str">
        <f t="shared" si="78"/>
        <v>Yes</v>
      </c>
      <c r="D730" t="str">
        <f t="shared" si="79"/>
        <v>Yes</v>
      </c>
      <c r="E730" s="1">
        <v>45440</v>
      </c>
      <c r="F730" s="1">
        <v>46916</v>
      </c>
      <c r="G730">
        <f t="shared" ca="1" si="80"/>
        <v>833</v>
      </c>
      <c r="H730" t="str">
        <f t="shared" ca="1" si="81"/>
        <v>Active</v>
      </c>
      <c r="I730">
        <f t="shared" ca="1" si="82"/>
        <v>0</v>
      </c>
      <c r="J730" t="str">
        <f t="shared" si="83"/>
        <v>Environmental</v>
      </c>
    </row>
    <row r="731" spans="1:10">
      <c r="A731" t="str" cm="1">
        <f t="array" ref="A731">INDEX(Vendor_Master!$A$2:$A$401, ROUNDUP((ROW()-1)/4, 0))</f>
        <v>VND-183</v>
      </c>
      <c r="B731" t="str">
        <f t="shared" si="77"/>
        <v>Safety Certificate</v>
      </c>
      <c r="C731" t="str">
        <f t="shared" si="78"/>
        <v>Yes</v>
      </c>
      <c r="D731" t="str">
        <f t="shared" si="79"/>
        <v>Yes</v>
      </c>
      <c r="E731" s="1">
        <v>45591</v>
      </c>
      <c r="F731" s="1">
        <v>46587</v>
      </c>
      <c r="G731">
        <f t="shared" ca="1" si="80"/>
        <v>504</v>
      </c>
      <c r="H731" t="str">
        <f t="shared" ca="1" si="81"/>
        <v>Active</v>
      </c>
      <c r="I731">
        <f t="shared" ca="1" si="82"/>
        <v>0</v>
      </c>
      <c r="J731" t="str">
        <f t="shared" si="83"/>
        <v>Safety</v>
      </c>
    </row>
    <row r="732" spans="1:10">
      <c r="A732" t="str" cm="1">
        <f t="array" ref="A732">INDEX(Vendor_Master!$A$2:$A$401, ROUNDUP((ROW()-1)/4, 0))</f>
        <v>VND-183</v>
      </c>
      <c r="B732" t="str">
        <f t="shared" si="77"/>
        <v>Environmental Policy</v>
      </c>
      <c r="C732" t="str">
        <f t="shared" si="78"/>
        <v>Yes</v>
      </c>
      <c r="D732" t="str">
        <f t="shared" si="79"/>
        <v>Yes</v>
      </c>
      <c r="E732" s="1">
        <v>45550</v>
      </c>
      <c r="F732" s="1">
        <v>46752</v>
      </c>
      <c r="G732">
        <f t="shared" ca="1" si="80"/>
        <v>669</v>
      </c>
      <c r="H732" t="str">
        <f t="shared" ca="1" si="81"/>
        <v>Active</v>
      </c>
      <c r="I732">
        <f t="shared" ca="1" si="82"/>
        <v>0</v>
      </c>
      <c r="J732" t="str">
        <f t="shared" si="83"/>
        <v>Environmental</v>
      </c>
    </row>
    <row r="733" spans="1:10">
      <c r="A733" t="str" cm="1">
        <f t="array" ref="A733">INDEX(Vendor_Master!$A$2:$A$401, ROUNDUP((ROW()-1)/4, 0))</f>
        <v>VND-183</v>
      </c>
      <c r="B733" t="str">
        <f t="shared" si="77"/>
        <v>Sustainability Disclosure</v>
      </c>
      <c r="C733" t="str">
        <f t="shared" si="78"/>
        <v>Yes</v>
      </c>
      <c r="D733" t="str">
        <f t="shared" si="79"/>
        <v>Yes</v>
      </c>
      <c r="E733" s="1">
        <v>45805</v>
      </c>
      <c r="F733" s="1">
        <v>46574</v>
      </c>
      <c r="G733">
        <f t="shared" ca="1" si="80"/>
        <v>491</v>
      </c>
      <c r="H733" t="str">
        <f t="shared" ca="1" si="81"/>
        <v>Active</v>
      </c>
      <c r="I733">
        <f t="shared" ca="1" si="82"/>
        <v>0</v>
      </c>
      <c r="J733" t="str">
        <f t="shared" si="83"/>
        <v>Environmental</v>
      </c>
    </row>
    <row r="734" spans="1:10">
      <c r="A734" t="str" cm="1">
        <f t="array" ref="A734">INDEX(Vendor_Master!$A$2:$A$401, ROUNDUP((ROW()-1)/4, 0))</f>
        <v>VND-184</v>
      </c>
      <c r="B734" t="str">
        <f t="shared" si="77"/>
        <v>ISO 14001</v>
      </c>
      <c r="C734" t="str">
        <f t="shared" si="78"/>
        <v>Yes</v>
      </c>
      <c r="D734" t="str">
        <f t="shared" si="79"/>
        <v>Yes</v>
      </c>
      <c r="E734" s="1">
        <v>45994</v>
      </c>
      <c r="F734" s="1">
        <v>46254</v>
      </c>
      <c r="G734">
        <f t="shared" ca="1" si="80"/>
        <v>171</v>
      </c>
      <c r="H734" t="str">
        <f t="shared" ca="1" si="81"/>
        <v>Active</v>
      </c>
      <c r="I734">
        <f t="shared" ca="1" si="82"/>
        <v>0</v>
      </c>
      <c r="J734" t="str">
        <f t="shared" si="83"/>
        <v>Environmental</v>
      </c>
    </row>
    <row r="735" spans="1:10">
      <c r="A735" t="str" cm="1">
        <f t="array" ref="A735">INDEX(Vendor_Master!$A$2:$A$401, ROUNDUP((ROW()-1)/4, 0))</f>
        <v>VND-184</v>
      </c>
      <c r="B735" t="str">
        <f t="shared" si="77"/>
        <v>Safety Certificate</v>
      </c>
      <c r="C735" t="str">
        <f t="shared" si="78"/>
        <v>Yes</v>
      </c>
      <c r="D735" t="str">
        <f t="shared" si="79"/>
        <v>Yes</v>
      </c>
      <c r="E735" s="1">
        <v>45738</v>
      </c>
      <c r="F735" s="1">
        <v>46654</v>
      </c>
      <c r="G735">
        <f t="shared" ca="1" si="80"/>
        <v>571</v>
      </c>
      <c r="H735" t="str">
        <f t="shared" ca="1" si="81"/>
        <v>Active</v>
      </c>
      <c r="I735">
        <f t="shared" ca="1" si="82"/>
        <v>0</v>
      </c>
      <c r="J735" t="str">
        <f t="shared" si="83"/>
        <v>Safety</v>
      </c>
    </row>
    <row r="736" spans="1:10">
      <c r="A736" t="str" cm="1">
        <f t="array" ref="A736">INDEX(Vendor_Master!$A$2:$A$401, ROUNDUP((ROW()-1)/4, 0))</f>
        <v>VND-184</v>
      </c>
      <c r="B736" t="str">
        <f t="shared" si="77"/>
        <v>Environmental Policy</v>
      </c>
      <c r="C736" t="str">
        <f t="shared" si="78"/>
        <v>Yes</v>
      </c>
      <c r="D736" t="str">
        <f t="shared" si="79"/>
        <v>Yes</v>
      </c>
      <c r="E736" s="1">
        <v>45710</v>
      </c>
      <c r="F736" s="1">
        <v>46288</v>
      </c>
      <c r="G736">
        <f t="shared" ca="1" si="80"/>
        <v>205</v>
      </c>
      <c r="H736" t="str">
        <f t="shared" ca="1" si="81"/>
        <v>Active</v>
      </c>
      <c r="I736">
        <f t="shared" ca="1" si="82"/>
        <v>0</v>
      </c>
      <c r="J736" t="str">
        <f t="shared" si="83"/>
        <v>Environmental</v>
      </c>
    </row>
    <row r="737" spans="1:10">
      <c r="A737" t="str" cm="1">
        <f t="array" ref="A737">INDEX(Vendor_Master!$A$2:$A$401, ROUNDUP((ROW()-1)/4, 0))</f>
        <v>VND-184</v>
      </c>
      <c r="B737" t="str">
        <f t="shared" si="77"/>
        <v>Sustainability Disclosure</v>
      </c>
      <c r="C737" t="str">
        <f t="shared" si="78"/>
        <v>Yes</v>
      </c>
      <c r="D737" t="str">
        <f t="shared" si="79"/>
        <v>Yes</v>
      </c>
      <c r="E737" s="1">
        <v>46022</v>
      </c>
      <c r="F737" s="1">
        <v>46520</v>
      </c>
      <c r="G737">
        <f t="shared" ca="1" si="80"/>
        <v>437</v>
      </c>
      <c r="H737" t="str">
        <f t="shared" ca="1" si="81"/>
        <v>Active</v>
      </c>
      <c r="I737">
        <f t="shared" ca="1" si="82"/>
        <v>0</v>
      </c>
      <c r="J737" t="str">
        <f t="shared" si="83"/>
        <v>Environmental</v>
      </c>
    </row>
    <row r="738" spans="1:10">
      <c r="A738" t="str" cm="1">
        <f t="array" ref="A738">INDEX(Vendor_Master!$A$2:$A$401, ROUNDUP((ROW()-1)/4, 0))</f>
        <v>VND-185</v>
      </c>
      <c r="B738" t="str">
        <f t="shared" si="77"/>
        <v>ISO 14001</v>
      </c>
      <c r="C738" t="str">
        <f t="shared" si="78"/>
        <v>Yes</v>
      </c>
      <c r="D738" t="str">
        <f t="shared" si="79"/>
        <v>Yes</v>
      </c>
      <c r="E738" s="1">
        <v>45940</v>
      </c>
      <c r="F738" s="1">
        <v>46504</v>
      </c>
      <c r="G738">
        <f t="shared" ca="1" si="80"/>
        <v>421</v>
      </c>
      <c r="H738" t="str">
        <f t="shared" ca="1" si="81"/>
        <v>Active</v>
      </c>
      <c r="I738">
        <f t="shared" ca="1" si="82"/>
        <v>0</v>
      </c>
      <c r="J738" t="str">
        <f t="shared" si="83"/>
        <v>Environmental</v>
      </c>
    </row>
    <row r="739" spans="1:10">
      <c r="A739" t="str" cm="1">
        <f t="array" ref="A739">INDEX(Vendor_Master!$A$2:$A$401, ROUNDUP((ROW()-1)/4, 0))</f>
        <v>VND-185</v>
      </c>
      <c r="B739" t="str">
        <f t="shared" si="77"/>
        <v>Safety Certificate</v>
      </c>
      <c r="C739" t="str">
        <f t="shared" si="78"/>
        <v>Yes</v>
      </c>
      <c r="D739" t="str">
        <f t="shared" si="79"/>
        <v>Yes</v>
      </c>
      <c r="E739" s="1">
        <v>45411</v>
      </c>
      <c r="F739" s="1">
        <v>46363</v>
      </c>
      <c r="G739">
        <f t="shared" ca="1" si="80"/>
        <v>280</v>
      </c>
      <c r="H739" t="str">
        <f t="shared" ca="1" si="81"/>
        <v>Active</v>
      </c>
      <c r="I739">
        <f t="shared" ca="1" si="82"/>
        <v>0</v>
      </c>
      <c r="J739" t="str">
        <f t="shared" si="83"/>
        <v>Safety</v>
      </c>
    </row>
    <row r="740" spans="1:10">
      <c r="A740" t="str" cm="1">
        <f t="array" ref="A740">INDEX(Vendor_Master!$A$2:$A$401, ROUNDUP((ROW()-1)/4, 0))</f>
        <v>VND-185</v>
      </c>
      <c r="B740" t="str">
        <f t="shared" si="77"/>
        <v>Environmental Policy</v>
      </c>
      <c r="C740" t="str">
        <f t="shared" si="78"/>
        <v>Yes</v>
      </c>
      <c r="D740" t="str">
        <f t="shared" si="79"/>
        <v>Yes</v>
      </c>
      <c r="E740" s="1">
        <v>45910</v>
      </c>
      <c r="F740" s="1">
        <v>46545</v>
      </c>
      <c r="G740">
        <f t="shared" ca="1" si="80"/>
        <v>462</v>
      </c>
      <c r="H740" t="str">
        <f t="shared" ca="1" si="81"/>
        <v>Active</v>
      </c>
      <c r="I740">
        <f t="shared" ca="1" si="82"/>
        <v>0</v>
      </c>
      <c r="J740" t="str">
        <f t="shared" si="83"/>
        <v>Environmental</v>
      </c>
    </row>
    <row r="741" spans="1:10">
      <c r="A741" t="str" cm="1">
        <f t="array" ref="A741">INDEX(Vendor_Master!$A$2:$A$401, ROUNDUP((ROW()-1)/4, 0))</f>
        <v>VND-185</v>
      </c>
      <c r="B741" t="str">
        <f t="shared" si="77"/>
        <v>Sustainability Disclosure</v>
      </c>
      <c r="C741" t="str">
        <f t="shared" si="78"/>
        <v>Yes</v>
      </c>
      <c r="D741" t="str">
        <f t="shared" si="79"/>
        <v>Yes</v>
      </c>
      <c r="E741" s="1">
        <v>45494</v>
      </c>
      <c r="F741" s="1">
        <v>46956</v>
      </c>
      <c r="G741">
        <f t="shared" ca="1" si="80"/>
        <v>873</v>
      </c>
      <c r="H741" t="str">
        <f t="shared" ca="1" si="81"/>
        <v>Active</v>
      </c>
      <c r="I741">
        <f t="shared" ca="1" si="82"/>
        <v>0</v>
      </c>
      <c r="J741" t="str">
        <f t="shared" si="83"/>
        <v>Environmental</v>
      </c>
    </row>
    <row r="742" spans="1:10">
      <c r="A742" t="str" cm="1">
        <f t="array" ref="A742">INDEX(Vendor_Master!$A$2:$A$401, ROUNDUP((ROW()-1)/4, 0))</f>
        <v>VND-186</v>
      </c>
      <c r="B742" t="str">
        <f t="shared" si="77"/>
        <v>ISO 14001</v>
      </c>
      <c r="C742" t="str">
        <f t="shared" si="78"/>
        <v>Yes</v>
      </c>
      <c r="D742" t="str">
        <f t="shared" si="79"/>
        <v>Yes</v>
      </c>
      <c r="E742" s="1">
        <v>45596</v>
      </c>
      <c r="F742" s="1">
        <v>46901</v>
      </c>
      <c r="G742">
        <f t="shared" ca="1" si="80"/>
        <v>818</v>
      </c>
      <c r="H742" t="str">
        <f t="shared" ca="1" si="81"/>
        <v>Active</v>
      </c>
      <c r="I742">
        <f t="shared" ca="1" si="82"/>
        <v>0</v>
      </c>
      <c r="J742" t="str">
        <f t="shared" si="83"/>
        <v>Environmental</v>
      </c>
    </row>
    <row r="743" spans="1:10">
      <c r="A743" t="str" cm="1">
        <f t="array" ref="A743">INDEX(Vendor_Master!$A$2:$A$401, ROUNDUP((ROW()-1)/4, 0))</f>
        <v>VND-186</v>
      </c>
      <c r="B743" t="str">
        <f t="shared" si="77"/>
        <v>Safety Certificate</v>
      </c>
      <c r="C743" t="str">
        <f t="shared" si="78"/>
        <v>Yes</v>
      </c>
      <c r="D743" t="str">
        <f t="shared" si="79"/>
        <v>Yes</v>
      </c>
      <c r="E743" s="1">
        <v>45943</v>
      </c>
      <c r="F743" s="1">
        <v>46540</v>
      </c>
      <c r="G743">
        <f t="shared" ca="1" si="80"/>
        <v>457</v>
      </c>
      <c r="H743" t="str">
        <f t="shared" ca="1" si="81"/>
        <v>Active</v>
      </c>
      <c r="I743">
        <f t="shared" ca="1" si="82"/>
        <v>0</v>
      </c>
      <c r="J743" t="str">
        <f t="shared" si="83"/>
        <v>Safety</v>
      </c>
    </row>
    <row r="744" spans="1:10">
      <c r="A744" t="str" cm="1">
        <f t="array" ref="A744">INDEX(Vendor_Master!$A$2:$A$401, ROUNDUP((ROW()-1)/4, 0))</f>
        <v>VND-186</v>
      </c>
      <c r="B744" t="str">
        <f t="shared" si="77"/>
        <v>Environmental Policy</v>
      </c>
      <c r="C744" t="str">
        <f t="shared" si="78"/>
        <v>Yes</v>
      </c>
      <c r="D744" t="str">
        <f t="shared" si="79"/>
        <v>Yes</v>
      </c>
      <c r="E744" s="1">
        <v>45652</v>
      </c>
      <c r="F744" s="1">
        <v>46501</v>
      </c>
      <c r="G744">
        <f t="shared" ca="1" si="80"/>
        <v>418</v>
      </c>
      <c r="H744" t="str">
        <f t="shared" ca="1" si="81"/>
        <v>Active</v>
      </c>
      <c r="I744">
        <f t="shared" ca="1" si="82"/>
        <v>0</v>
      </c>
      <c r="J744" t="str">
        <f t="shared" si="83"/>
        <v>Environmental</v>
      </c>
    </row>
    <row r="745" spans="1:10">
      <c r="A745" t="str" cm="1">
        <f t="array" ref="A745">INDEX(Vendor_Master!$A$2:$A$401, ROUNDUP((ROW()-1)/4, 0))</f>
        <v>VND-186</v>
      </c>
      <c r="B745" t="str">
        <f t="shared" si="77"/>
        <v>Sustainability Disclosure</v>
      </c>
      <c r="C745" t="str">
        <f t="shared" si="78"/>
        <v>Yes</v>
      </c>
      <c r="D745" t="str">
        <f t="shared" si="79"/>
        <v>Yes</v>
      </c>
      <c r="E745" s="1">
        <v>45505</v>
      </c>
      <c r="F745" s="1">
        <v>46603</v>
      </c>
      <c r="G745">
        <f t="shared" ca="1" si="80"/>
        <v>520</v>
      </c>
      <c r="H745" t="str">
        <f t="shared" ca="1" si="81"/>
        <v>Active</v>
      </c>
      <c r="I745">
        <f t="shared" ca="1" si="82"/>
        <v>0</v>
      </c>
      <c r="J745" t="str">
        <f t="shared" si="83"/>
        <v>Environmental</v>
      </c>
    </row>
    <row r="746" spans="1:10">
      <c r="A746" t="str" cm="1">
        <f t="array" ref="A746">INDEX(Vendor_Master!$A$2:$A$401, ROUNDUP((ROW()-1)/4, 0))</f>
        <v>VND-187</v>
      </c>
      <c r="B746" t="str">
        <f t="shared" si="77"/>
        <v>ISO 14001</v>
      </c>
      <c r="C746" t="str">
        <f t="shared" si="78"/>
        <v>Yes</v>
      </c>
      <c r="D746" t="str">
        <f t="shared" si="79"/>
        <v>Yes</v>
      </c>
      <c r="E746" s="1">
        <v>45470</v>
      </c>
      <c r="F746" s="1">
        <v>46672</v>
      </c>
      <c r="G746">
        <f t="shared" ca="1" si="80"/>
        <v>589</v>
      </c>
      <c r="H746" t="str">
        <f t="shared" ca="1" si="81"/>
        <v>Active</v>
      </c>
      <c r="I746">
        <f t="shared" ca="1" si="82"/>
        <v>0</v>
      </c>
      <c r="J746" t="str">
        <f t="shared" si="83"/>
        <v>Environmental</v>
      </c>
    </row>
    <row r="747" spans="1:10">
      <c r="A747" t="str" cm="1">
        <f t="array" ref="A747">INDEX(Vendor_Master!$A$2:$A$401, ROUNDUP((ROW()-1)/4, 0))</f>
        <v>VND-187</v>
      </c>
      <c r="B747" t="str">
        <f t="shared" si="77"/>
        <v>Safety Certificate</v>
      </c>
      <c r="C747" t="str">
        <f t="shared" si="78"/>
        <v>Yes</v>
      </c>
      <c r="D747" t="str">
        <f t="shared" si="79"/>
        <v>Yes</v>
      </c>
      <c r="E747" s="1">
        <v>45539</v>
      </c>
      <c r="F747" s="1">
        <v>46695</v>
      </c>
      <c r="G747">
        <f t="shared" ca="1" si="80"/>
        <v>612</v>
      </c>
      <c r="H747" t="str">
        <f t="shared" ca="1" si="81"/>
        <v>Active</v>
      </c>
      <c r="I747">
        <f t="shared" ca="1" si="82"/>
        <v>0</v>
      </c>
      <c r="J747" t="str">
        <f t="shared" si="83"/>
        <v>Safety</v>
      </c>
    </row>
    <row r="748" spans="1:10">
      <c r="A748" t="str" cm="1">
        <f t="array" ref="A748">INDEX(Vendor_Master!$A$2:$A$401, ROUNDUP((ROW()-1)/4, 0))</f>
        <v>VND-187</v>
      </c>
      <c r="B748" t="str">
        <f t="shared" si="77"/>
        <v>Environmental Policy</v>
      </c>
      <c r="C748" t="str">
        <f t="shared" si="78"/>
        <v>Yes</v>
      </c>
      <c r="D748" t="str">
        <f t="shared" si="79"/>
        <v>Yes</v>
      </c>
      <c r="E748" s="1">
        <v>45707</v>
      </c>
      <c r="F748" s="1">
        <v>46337</v>
      </c>
      <c r="G748">
        <f t="shared" ca="1" si="80"/>
        <v>254</v>
      </c>
      <c r="H748" t="str">
        <f t="shared" ca="1" si="81"/>
        <v>Active</v>
      </c>
      <c r="I748">
        <f t="shared" ca="1" si="82"/>
        <v>0</v>
      </c>
      <c r="J748" t="str">
        <f t="shared" si="83"/>
        <v>Environmental</v>
      </c>
    </row>
    <row r="749" spans="1:10">
      <c r="A749" t="str" cm="1">
        <f t="array" ref="A749">INDEX(Vendor_Master!$A$2:$A$401, ROUNDUP((ROW()-1)/4, 0))</f>
        <v>VND-187</v>
      </c>
      <c r="B749" t="str">
        <f t="shared" si="77"/>
        <v>Sustainability Disclosure</v>
      </c>
      <c r="C749" t="str">
        <f t="shared" si="78"/>
        <v>Yes</v>
      </c>
      <c r="D749" t="str">
        <f t="shared" si="79"/>
        <v>Yes</v>
      </c>
      <c r="E749" s="1">
        <v>45823</v>
      </c>
      <c r="F749" s="1">
        <v>46940</v>
      </c>
      <c r="G749">
        <f t="shared" ca="1" si="80"/>
        <v>857</v>
      </c>
      <c r="H749" t="str">
        <f t="shared" ca="1" si="81"/>
        <v>Active</v>
      </c>
      <c r="I749">
        <f t="shared" ca="1" si="82"/>
        <v>0</v>
      </c>
      <c r="J749" t="str">
        <f t="shared" si="83"/>
        <v>Environmental</v>
      </c>
    </row>
    <row r="750" spans="1:10">
      <c r="A750" t="str" cm="1">
        <f t="array" ref="A750">INDEX(Vendor_Master!$A$2:$A$401, ROUNDUP((ROW()-1)/4, 0))</f>
        <v>VND-188</v>
      </c>
      <c r="B750" t="str">
        <f t="shared" si="77"/>
        <v>ISO 14001</v>
      </c>
      <c r="C750" t="str">
        <f t="shared" si="78"/>
        <v>Yes</v>
      </c>
      <c r="D750" t="str">
        <f t="shared" si="79"/>
        <v>Yes</v>
      </c>
      <c r="E750" s="1">
        <v>46044</v>
      </c>
      <c r="F750" s="1">
        <v>46707</v>
      </c>
      <c r="G750">
        <f t="shared" ca="1" si="80"/>
        <v>624</v>
      </c>
      <c r="H750" t="str">
        <f t="shared" ca="1" si="81"/>
        <v>Active</v>
      </c>
      <c r="I750">
        <f t="shared" ca="1" si="82"/>
        <v>0</v>
      </c>
      <c r="J750" t="str">
        <f t="shared" si="83"/>
        <v>Environmental</v>
      </c>
    </row>
    <row r="751" spans="1:10">
      <c r="A751" t="str" cm="1">
        <f t="array" ref="A751">INDEX(Vendor_Master!$A$2:$A$401, ROUNDUP((ROW()-1)/4, 0))</f>
        <v>VND-188</v>
      </c>
      <c r="B751" t="str">
        <f t="shared" si="77"/>
        <v>Safety Certificate</v>
      </c>
      <c r="C751" t="str">
        <f t="shared" si="78"/>
        <v>Yes</v>
      </c>
      <c r="D751" t="str">
        <f t="shared" si="79"/>
        <v>Yes</v>
      </c>
      <c r="E751" s="1">
        <v>45484</v>
      </c>
      <c r="F751" s="1">
        <v>46227</v>
      </c>
      <c r="G751">
        <f t="shared" ca="1" si="80"/>
        <v>144</v>
      </c>
      <c r="H751" t="str">
        <f t="shared" ca="1" si="81"/>
        <v>Active</v>
      </c>
      <c r="I751">
        <f t="shared" ca="1" si="82"/>
        <v>0</v>
      </c>
      <c r="J751" t="str">
        <f t="shared" si="83"/>
        <v>Safety</v>
      </c>
    </row>
    <row r="752" spans="1:10">
      <c r="A752" t="str" cm="1">
        <f t="array" ref="A752">INDEX(Vendor_Master!$A$2:$A$401, ROUNDUP((ROW()-1)/4, 0))</f>
        <v>VND-188</v>
      </c>
      <c r="B752" t="str">
        <f t="shared" si="77"/>
        <v>Environmental Policy</v>
      </c>
      <c r="C752" t="str">
        <f t="shared" si="78"/>
        <v>Yes</v>
      </c>
      <c r="D752" t="str">
        <f t="shared" si="79"/>
        <v>Yes</v>
      </c>
      <c r="E752" s="1">
        <v>45500</v>
      </c>
      <c r="F752" s="1">
        <v>46689</v>
      </c>
      <c r="G752">
        <f t="shared" ca="1" si="80"/>
        <v>606</v>
      </c>
      <c r="H752" t="str">
        <f t="shared" ca="1" si="81"/>
        <v>Active</v>
      </c>
      <c r="I752">
        <f t="shared" ca="1" si="82"/>
        <v>0</v>
      </c>
      <c r="J752" t="str">
        <f t="shared" si="83"/>
        <v>Environmental</v>
      </c>
    </row>
    <row r="753" spans="1:10">
      <c r="A753" t="str" cm="1">
        <f t="array" ref="A753">INDEX(Vendor_Master!$A$2:$A$401, ROUNDUP((ROW()-1)/4, 0))</f>
        <v>VND-188</v>
      </c>
      <c r="B753" t="str">
        <f t="shared" si="77"/>
        <v>Sustainability Disclosure</v>
      </c>
      <c r="C753" t="str">
        <f t="shared" si="78"/>
        <v>Yes</v>
      </c>
      <c r="D753" t="str">
        <f t="shared" si="79"/>
        <v>Yes</v>
      </c>
      <c r="E753" s="1">
        <v>45937</v>
      </c>
      <c r="F753" s="1">
        <v>46487</v>
      </c>
      <c r="G753">
        <f t="shared" ca="1" si="80"/>
        <v>404</v>
      </c>
      <c r="H753" t="str">
        <f t="shared" ca="1" si="81"/>
        <v>Active</v>
      </c>
      <c r="I753">
        <f t="shared" ca="1" si="82"/>
        <v>0</v>
      </c>
      <c r="J753" t="str">
        <f t="shared" si="83"/>
        <v>Environmental</v>
      </c>
    </row>
    <row r="754" spans="1:10">
      <c r="A754" t="str" cm="1">
        <f t="array" ref="A754">INDEX(Vendor_Master!$A$2:$A$401, ROUNDUP((ROW()-1)/4, 0))</f>
        <v>VND-189</v>
      </c>
      <c r="B754" t="str">
        <f t="shared" si="77"/>
        <v>ISO 14001</v>
      </c>
      <c r="C754" t="str">
        <f t="shared" si="78"/>
        <v>Yes</v>
      </c>
      <c r="D754" t="str">
        <f t="shared" si="79"/>
        <v>Yes</v>
      </c>
      <c r="E754" s="1">
        <v>45883</v>
      </c>
      <c r="F754" s="1">
        <v>46905</v>
      </c>
      <c r="G754">
        <f t="shared" ca="1" si="80"/>
        <v>822</v>
      </c>
      <c r="H754" t="str">
        <f t="shared" ca="1" si="81"/>
        <v>Active</v>
      </c>
      <c r="I754">
        <f t="shared" ca="1" si="82"/>
        <v>0</v>
      </c>
      <c r="J754" t="str">
        <f t="shared" si="83"/>
        <v>Environmental</v>
      </c>
    </row>
    <row r="755" spans="1:10">
      <c r="A755" t="str" cm="1">
        <f t="array" ref="A755">INDEX(Vendor_Master!$A$2:$A$401, ROUNDUP((ROW()-1)/4, 0))</f>
        <v>VND-189</v>
      </c>
      <c r="B755" t="str">
        <f t="shared" si="77"/>
        <v>Safety Certificate</v>
      </c>
      <c r="C755" t="str">
        <f t="shared" si="78"/>
        <v>Yes</v>
      </c>
      <c r="D755" t="str">
        <f t="shared" si="79"/>
        <v>Yes</v>
      </c>
      <c r="E755" s="1">
        <v>45892</v>
      </c>
      <c r="F755" s="1">
        <v>46966</v>
      </c>
      <c r="G755">
        <f t="shared" ca="1" si="80"/>
        <v>883</v>
      </c>
      <c r="H755" t="str">
        <f t="shared" ca="1" si="81"/>
        <v>Active</v>
      </c>
      <c r="I755">
        <f t="shared" ca="1" si="82"/>
        <v>0</v>
      </c>
      <c r="J755" t="str">
        <f t="shared" si="83"/>
        <v>Safety</v>
      </c>
    </row>
    <row r="756" spans="1:10">
      <c r="A756" t="str" cm="1">
        <f t="array" ref="A756">INDEX(Vendor_Master!$A$2:$A$401, ROUNDUP((ROW()-1)/4, 0))</f>
        <v>VND-189</v>
      </c>
      <c r="B756" t="str">
        <f t="shared" si="77"/>
        <v>Environmental Policy</v>
      </c>
      <c r="C756" t="str">
        <f t="shared" si="78"/>
        <v>Yes</v>
      </c>
      <c r="D756" t="str">
        <f t="shared" si="79"/>
        <v>Yes</v>
      </c>
      <c r="E756" s="1">
        <v>45783</v>
      </c>
      <c r="F756" s="1">
        <v>46960</v>
      </c>
      <c r="G756">
        <f t="shared" ca="1" si="80"/>
        <v>877</v>
      </c>
      <c r="H756" t="str">
        <f t="shared" ca="1" si="81"/>
        <v>Active</v>
      </c>
      <c r="I756">
        <f t="shared" ca="1" si="82"/>
        <v>0</v>
      </c>
      <c r="J756" t="str">
        <f t="shared" si="83"/>
        <v>Environmental</v>
      </c>
    </row>
    <row r="757" spans="1:10">
      <c r="A757" t="str" cm="1">
        <f t="array" ref="A757">INDEX(Vendor_Master!$A$2:$A$401, ROUNDUP((ROW()-1)/4, 0))</f>
        <v>VND-189</v>
      </c>
      <c r="B757" t="str">
        <f t="shared" si="77"/>
        <v>Sustainability Disclosure</v>
      </c>
      <c r="C757" t="str">
        <f t="shared" si="78"/>
        <v>Yes</v>
      </c>
      <c r="D757" t="str">
        <f t="shared" si="79"/>
        <v>Yes</v>
      </c>
      <c r="E757" s="1">
        <v>46030</v>
      </c>
      <c r="F757" s="1">
        <v>46354</v>
      </c>
      <c r="G757">
        <f t="shared" ca="1" si="80"/>
        <v>271</v>
      </c>
      <c r="H757" t="str">
        <f t="shared" ca="1" si="81"/>
        <v>Active</v>
      </c>
      <c r="I757">
        <f t="shared" ca="1" si="82"/>
        <v>0</v>
      </c>
      <c r="J757" t="str">
        <f t="shared" si="83"/>
        <v>Environmental</v>
      </c>
    </row>
    <row r="758" spans="1:10">
      <c r="A758" t="str" cm="1">
        <f t="array" ref="A758">INDEX(Vendor_Master!$A$2:$A$401, ROUNDUP((ROW()-1)/4, 0))</f>
        <v>VND-190</v>
      </c>
      <c r="B758" t="str">
        <f t="shared" si="77"/>
        <v>ISO 14001</v>
      </c>
      <c r="C758" t="str">
        <f t="shared" si="78"/>
        <v>Yes</v>
      </c>
      <c r="D758" t="str">
        <f t="shared" si="79"/>
        <v>Yes</v>
      </c>
      <c r="E758" s="1">
        <v>45760</v>
      </c>
      <c r="F758" s="1">
        <v>46786</v>
      </c>
      <c r="G758">
        <f t="shared" ca="1" si="80"/>
        <v>703</v>
      </c>
      <c r="H758" t="str">
        <f t="shared" ca="1" si="81"/>
        <v>Active</v>
      </c>
      <c r="I758">
        <f t="shared" ca="1" si="82"/>
        <v>0</v>
      </c>
      <c r="J758" t="str">
        <f t="shared" si="83"/>
        <v>Environmental</v>
      </c>
    </row>
    <row r="759" spans="1:10">
      <c r="A759" t="str" cm="1">
        <f t="array" ref="A759">INDEX(Vendor_Master!$A$2:$A$401, ROUNDUP((ROW()-1)/4, 0))</f>
        <v>VND-190</v>
      </c>
      <c r="B759" t="str">
        <f t="shared" si="77"/>
        <v>Safety Certificate</v>
      </c>
      <c r="C759" t="str">
        <f t="shared" si="78"/>
        <v>Yes</v>
      </c>
      <c r="D759" t="str">
        <f t="shared" si="79"/>
        <v>Yes</v>
      </c>
      <c r="E759" s="1">
        <v>45583</v>
      </c>
      <c r="F759" s="1">
        <v>46862</v>
      </c>
      <c r="G759">
        <f t="shared" ca="1" si="80"/>
        <v>779</v>
      </c>
      <c r="H759" t="str">
        <f t="shared" ca="1" si="81"/>
        <v>Active</v>
      </c>
      <c r="I759">
        <f t="shared" ca="1" si="82"/>
        <v>0</v>
      </c>
      <c r="J759" t="str">
        <f t="shared" si="83"/>
        <v>Safety</v>
      </c>
    </row>
    <row r="760" spans="1:10">
      <c r="A760" t="str" cm="1">
        <f t="array" ref="A760">INDEX(Vendor_Master!$A$2:$A$401, ROUNDUP((ROW()-1)/4, 0))</f>
        <v>VND-190</v>
      </c>
      <c r="B760" t="str">
        <f t="shared" si="77"/>
        <v>Environmental Policy</v>
      </c>
      <c r="C760" t="str">
        <f t="shared" si="78"/>
        <v>Yes</v>
      </c>
      <c r="D760" t="str">
        <f t="shared" si="79"/>
        <v>Yes</v>
      </c>
      <c r="E760" s="1">
        <v>45789</v>
      </c>
      <c r="F760" s="1">
        <v>46423</v>
      </c>
      <c r="G760">
        <f t="shared" ca="1" si="80"/>
        <v>340</v>
      </c>
      <c r="H760" t="str">
        <f t="shared" ca="1" si="81"/>
        <v>Active</v>
      </c>
      <c r="I760">
        <f t="shared" ca="1" si="82"/>
        <v>0</v>
      </c>
      <c r="J760" t="str">
        <f t="shared" si="83"/>
        <v>Environmental</v>
      </c>
    </row>
    <row r="761" spans="1:10">
      <c r="A761" t="str" cm="1">
        <f t="array" ref="A761">INDEX(Vendor_Master!$A$2:$A$401, ROUNDUP((ROW()-1)/4, 0))</f>
        <v>VND-190</v>
      </c>
      <c r="B761" t="str">
        <f t="shared" si="77"/>
        <v>Sustainability Disclosure</v>
      </c>
      <c r="C761" t="str">
        <f t="shared" si="78"/>
        <v>Yes</v>
      </c>
      <c r="D761" t="str">
        <f t="shared" si="79"/>
        <v>Yes</v>
      </c>
      <c r="E761" s="1">
        <v>45397</v>
      </c>
      <c r="F761" s="1">
        <v>46320</v>
      </c>
      <c r="G761">
        <f t="shared" ca="1" si="80"/>
        <v>237</v>
      </c>
      <c r="H761" t="str">
        <f t="shared" ca="1" si="81"/>
        <v>Active</v>
      </c>
      <c r="I761">
        <f t="shared" ca="1" si="82"/>
        <v>0</v>
      </c>
      <c r="J761" t="str">
        <f t="shared" si="83"/>
        <v>Environmental</v>
      </c>
    </row>
    <row r="762" spans="1:10">
      <c r="A762" t="str" cm="1">
        <f t="array" ref="A762">INDEX(Vendor_Master!$A$2:$A$401, ROUNDUP((ROW()-1)/4, 0))</f>
        <v>VND-191</v>
      </c>
      <c r="B762" t="str">
        <f t="shared" si="77"/>
        <v>ISO 14001</v>
      </c>
      <c r="C762" t="str">
        <f t="shared" si="78"/>
        <v>Yes</v>
      </c>
      <c r="D762" t="str">
        <f t="shared" si="79"/>
        <v>Yes</v>
      </c>
      <c r="E762" s="1">
        <v>45506</v>
      </c>
      <c r="F762" s="1">
        <v>46718</v>
      </c>
      <c r="G762">
        <f t="shared" ca="1" si="80"/>
        <v>635</v>
      </c>
      <c r="H762" t="str">
        <f t="shared" ca="1" si="81"/>
        <v>Active</v>
      </c>
      <c r="I762">
        <f t="shared" ca="1" si="82"/>
        <v>0</v>
      </c>
      <c r="J762" t="str">
        <f t="shared" si="83"/>
        <v>Environmental</v>
      </c>
    </row>
    <row r="763" spans="1:10">
      <c r="A763" t="str" cm="1">
        <f t="array" ref="A763">INDEX(Vendor_Master!$A$2:$A$401, ROUNDUP((ROW()-1)/4, 0))</f>
        <v>VND-191</v>
      </c>
      <c r="B763" t="str">
        <f t="shared" si="77"/>
        <v>Safety Certificate</v>
      </c>
      <c r="C763" t="str">
        <f t="shared" si="78"/>
        <v>Yes</v>
      </c>
      <c r="D763" t="str">
        <f t="shared" si="79"/>
        <v>Yes</v>
      </c>
      <c r="E763" s="1">
        <v>45411</v>
      </c>
      <c r="F763" s="1">
        <v>46292</v>
      </c>
      <c r="G763">
        <f t="shared" ca="1" si="80"/>
        <v>209</v>
      </c>
      <c r="H763" t="str">
        <f t="shared" ca="1" si="81"/>
        <v>Active</v>
      </c>
      <c r="I763">
        <f t="shared" ca="1" si="82"/>
        <v>0</v>
      </c>
      <c r="J763" t="str">
        <f t="shared" si="83"/>
        <v>Safety</v>
      </c>
    </row>
    <row r="764" spans="1:10">
      <c r="A764" t="str" cm="1">
        <f t="array" ref="A764">INDEX(Vendor_Master!$A$2:$A$401, ROUNDUP((ROW()-1)/4, 0))</f>
        <v>VND-191</v>
      </c>
      <c r="B764" t="str">
        <f t="shared" si="77"/>
        <v>Environmental Policy</v>
      </c>
      <c r="C764" t="str">
        <f t="shared" si="78"/>
        <v>Yes</v>
      </c>
      <c r="D764" t="str">
        <f t="shared" si="79"/>
        <v>Yes</v>
      </c>
      <c r="E764" s="1">
        <v>45658</v>
      </c>
      <c r="F764" s="1">
        <v>46281</v>
      </c>
      <c r="G764">
        <f t="shared" ca="1" si="80"/>
        <v>198</v>
      </c>
      <c r="H764" t="str">
        <f t="shared" ca="1" si="81"/>
        <v>Active</v>
      </c>
      <c r="I764">
        <f t="shared" ca="1" si="82"/>
        <v>0</v>
      </c>
      <c r="J764" t="str">
        <f t="shared" si="83"/>
        <v>Environmental</v>
      </c>
    </row>
    <row r="765" spans="1:10">
      <c r="A765" t="str" cm="1">
        <f t="array" ref="A765">INDEX(Vendor_Master!$A$2:$A$401, ROUNDUP((ROW()-1)/4, 0))</f>
        <v>VND-191</v>
      </c>
      <c r="B765" t="str">
        <f t="shared" si="77"/>
        <v>Sustainability Disclosure</v>
      </c>
      <c r="C765" t="str">
        <f t="shared" si="78"/>
        <v>Yes</v>
      </c>
      <c r="D765" t="str">
        <f t="shared" si="79"/>
        <v>Yes</v>
      </c>
      <c r="E765" s="1">
        <v>45929</v>
      </c>
      <c r="F765" s="1">
        <v>46441</v>
      </c>
      <c r="G765">
        <f t="shared" ca="1" si="80"/>
        <v>358</v>
      </c>
      <c r="H765" t="str">
        <f t="shared" ca="1" si="81"/>
        <v>Active</v>
      </c>
      <c r="I765">
        <f t="shared" ca="1" si="82"/>
        <v>0</v>
      </c>
      <c r="J765" t="str">
        <f t="shared" si="83"/>
        <v>Environmental</v>
      </c>
    </row>
    <row r="766" spans="1:10">
      <c r="A766" t="str" cm="1">
        <f t="array" ref="A766">INDEX(Vendor_Master!$A$2:$A$401, ROUNDUP((ROW()-1)/4, 0))</f>
        <v>VND-192</v>
      </c>
      <c r="B766" t="str">
        <f t="shared" si="77"/>
        <v>ISO 14001</v>
      </c>
      <c r="C766" t="str">
        <f t="shared" si="78"/>
        <v>Yes</v>
      </c>
      <c r="D766" t="str">
        <f t="shared" si="79"/>
        <v>Yes</v>
      </c>
      <c r="E766" s="1">
        <v>45881</v>
      </c>
      <c r="F766" s="1">
        <v>46948</v>
      </c>
      <c r="G766">
        <f t="shared" ca="1" si="80"/>
        <v>865</v>
      </c>
      <c r="H766" t="str">
        <f t="shared" ca="1" si="81"/>
        <v>Active</v>
      </c>
      <c r="I766">
        <f t="shared" ca="1" si="82"/>
        <v>0</v>
      </c>
      <c r="J766" t="str">
        <f t="shared" si="83"/>
        <v>Environmental</v>
      </c>
    </row>
    <row r="767" spans="1:10">
      <c r="A767" t="str" cm="1">
        <f t="array" ref="A767">INDEX(Vendor_Master!$A$2:$A$401, ROUNDUP((ROW()-1)/4, 0))</f>
        <v>VND-192</v>
      </c>
      <c r="B767" t="str">
        <f t="shared" si="77"/>
        <v>Safety Certificate</v>
      </c>
      <c r="C767" t="str">
        <f t="shared" si="78"/>
        <v>Yes</v>
      </c>
      <c r="D767" t="str">
        <f t="shared" si="79"/>
        <v>Yes</v>
      </c>
      <c r="E767" s="1">
        <v>45640</v>
      </c>
      <c r="F767" s="1">
        <v>46538</v>
      </c>
      <c r="G767">
        <f t="shared" ca="1" si="80"/>
        <v>455</v>
      </c>
      <c r="H767" t="str">
        <f t="shared" ca="1" si="81"/>
        <v>Active</v>
      </c>
      <c r="I767">
        <f t="shared" ca="1" si="82"/>
        <v>0</v>
      </c>
      <c r="J767" t="str">
        <f t="shared" si="83"/>
        <v>Safety</v>
      </c>
    </row>
    <row r="768" spans="1:10">
      <c r="A768" t="str" cm="1">
        <f t="array" ref="A768">INDEX(Vendor_Master!$A$2:$A$401, ROUNDUP((ROW()-1)/4, 0))</f>
        <v>VND-192</v>
      </c>
      <c r="B768" t="str">
        <f t="shared" si="77"/>
        <v>Environmental Policy</v>
      </c>
      <c r="C768" t="str">
        <f t="shared" si="78"/>
        <v>Yes</v>
      </c>
      <c r="D768" t="str">
        <f t="shared" si="79"/>
        <v>Yes</v>
      </c>
      <c r="E768" s="1">
        <v>45703</v>
      </c>
      <c r="F768" s="1">
        <v>46962</v>
      </c>
      <c r="G768">
        <f t="shared" ca="1" si="80"/>
        <v>879</v>
      </c>
      <c r="H768" t="str">
        <f t="shared" ca="1" si="81"/>
        <v>Active</v>
      </c>
      <c r="I768">
        <f t="shared" ca="1" si="82"/>
        <v>0</v>
      </c>
      <c r="J768" t="str">
        <f t="shared" si="83"/>
        <v>Environmental</v>
      </c>
    </row>
    <row r="769" spans="1:10">
      <c r="A769" t="str" cm="1">
        <f t="array" ref="A769">INDEX(Vendor_Master!$A$2:$A$401, ROUNDUP((ROW()-1)/4, 0))</f>
        <v>VND-192</v>
      </c>
      <c r="B769" t="str">
        <f t="shared" si="77"/>
        <v>Sustainability Disclosure</v>
      </c>
      <c r="C769" t="str">
        <f t="shared" si="78"/>
        <v>Yes</v>
      </c>
      <c r="D769" t="str">
        <f t="shared" si="79"/>
        <v>Yes</v>
      </c>
      <c r="E769" s="1">
        <v>45881</v>
      </c>
      <c r="F769" s="1">
        <v>46415</v>
      </c>
      <c r="G769">
        <f t="shared" ca="1" si="80"/>
        <v>332</v>
      </c>
      <c r="H769" t="str">
        <f t="shared" ca="1" si="81"/>
        <v>Active</v>
      </c>
      <c r="I769">
        <f t="shared" ca="1" si="82"/>
        <v>0</v>
      </c>
      <c r="J769" t="str">
        <f t="shared" si="83"/>
        <v>Environmental</v>
      </c>
    </row>
    <row r="770" spans="1:10">
      <c r="A770" t="str" cm="1">
        <f t="array" ref="A770">INDEX(Vendor_Master!$A$2:$A$401, ROUNDUP((ROW()-1)/4, 0))</f>
        <v>VND-193</v>
      </c>
      <c r="B770" t="str">
        <f t="shared" si="77"/>
        <v>ISO 14001</v>
      </c>
      <c r="C770" t="str">
        <f t="shared" si="78"/>
        <v>Yes</v>
      </c>
      <c r="D770" t="str">
        <f t="shared" si="79"/>
        <v>Yes</v>
      </c>
      <c r="E770" s="1">
        <v>46059</v>
      </c>
      <c r="F770" s="1">
        <v>46711</v>
      </c>
      <c r="G770">
        <f t="shared" ca="1" si="80"/>
        <v>628</v>
      </c>
      <c r="H770" t="str">
        <f t="shared" ca="1" si="81"/>
        <v>Active</v>
      </c>
      <c r="I770">
        <f t="shared" ca="1" si="82"/>
        <v>0</v>
      </c>
      <c r="J770" t="str">
        <f t="shared" si="83"/>
        <v>Environmental</v>
      </c>
    </row>
    <row r="771" spans="1:10">
      <c r="A771" t="str" cm="1">
        <f t="array" ref="A771">INDEX(Vendor_Master!$A$2:$A$401, ROUNDUP((ROW()-1)/4, 0))</f>
        <v>VND-193</v>
      </c>
      <c r="B771" t="str">
        <f t="shared" ref="B771:B834" si="84">CHOOSE(MOD(ROW()-2,4)+1,"ISO 14001","Safety Certificate","Environmental Policy","Sustainability Disclosure")</f>
        <v>Safety Certificate</v>
      </c>
      <c r="C771" t="str">
        <f t="shared" ref="C771:C834" si="85">"Yes"</f>
        <v>Yes</v>
      </c>
      <c r="D771" t="str">
        <f t="shared" ref="D771:D834" si="86">IF(ROW()-1&lt;=1280,"Yes","No")</f>
        <v>Yes</v>
      </c>
      <c r="E771" s="1">
        <v>45590</v>
      </c>
      <c r="F771" s="1">
        <v>46841</v>
      </c>
      <c r="G771">
        <f t="shared" ref="G771:G834" ca="1" si="87">IF($F771="","",$F771-TODAY())</f>
        <v>758</v>
      </c>
      <c r="H771" t="str">
        <f t="shared" ref="H771:H834" ca="1" si="88">IF($C771="No","Not Required",
IF($D771="No","Missing",
IF($F771&lt;TODAY(),"Expired",
IF($F771&lt;=TODAY()+30,"Expiring Soon","Active"))))</f>
        <v>Active</v>
      </c>
      <c r="I771">
        <f t="shared" ref="I771:I834" ca="1" si="89">IF(OR($H771="Missing",$H771="Expired",$H771="Expiring Soon"),1,0)</f>
        <v>0</v>
      </c>
      <c r="J771" t="str">
        <f t="shared" ref="J771:J834" si="90">IF(B771="ISO 14001","Environmental",
 IF(B771="Environmental Policy","Environmental",
 IF(B771="Sustainability Disclosure","Environmental",
 IF(B771="Safety Certificate","Safety","Regulatory"))))</f>
        <v>Safety</v>
      </c>
    </row>
    <row r="772" spans="1:10">
      <c r="A772" t="str" cm="1">
        <f t="array" ref="A772">INDEX(Vendor_Master!$A$2:$A$401, ROUNDUP((ROW()-1)/4, 0))</f>
        <v>VND-193</v>
      </c>
      <c r="B772" t="str">
        <f t="shared" si="84"/>
        <v>Environmental Policy</v>
      </c>
      <c r="C772" t="str">
        <f t="shared" si="85"/>
        <v>Yes</v>
      </c>
      <c r="D772" t="str">
        <f t="shared" si="86"/>
        <v>Yes</v>
      </c>
      <c r="E772" s="1">
        <v>45956</v>
      </c>
      <c r="F772" s="1">
        <v>46396</v>
      </c>
      <c r="G772">
        <f t="shared" ca="1" si="87"/>
        <v>313</v>
      </c>
      <c r="H772" t="str">
        <f t="shared" ca="1" si="88"/>
        <v>Active</v>
      </c>
      <c r="I772">
        <f t="shared" ca="1" si="89"/>
        <v>0</v>
      </c>
      <c r="J772" t="str">
        <f t="shared" si="90"/>
        <v>Environmental</v>
      </c>
    </row>
    <row r="773" spans="1:10">
      <c r="A773" t="str" cm="1">
        <f t="array" ref="A773">INDEX(Vendor_Master!$A$2:$A$401, ROUNDUP((ROW()-1)/4, 0))</f>
        <v>VND-193</v>
      </c>
      <c r="B773" t="str">
        <f t="shared" si="84"/>
        <v>Sustainability Disclosure</v>
      </c>
      <c r="C773" t="str">
        <f t="shared" si="85"/>
        <v>Yes</v>
      </c>
      <c r="D773" t="str">
        <f t="shared" si="86"/>
        <v>Yes</v>
      </c>
      <c r="E773" s="1">
        <v>45470</v>
      </c>
      <c r="F773" s="1">
        <v>46825</v>
      </c>
      <c r="G773">
        <f t="shared" ca="1" si="87"/>
        <v>742</v>
      </c>
      <c r="H773" t="str">
        <f t="shared" ca="1" si="88"/>
        <v>Active</v>
      </c>
      <c r="I773">
        <f t="shared" ca="1" si="89"/>
        <v>0</v>
      </c>
      <c r="J773" t="str">
        <f t="shared" si="90"/>
        <v>Environmental</v>
      </c>
    </row>
    <row r="774" spans="1:10">
      <c r="A774" t="str" cm="1">
        <f t="array" ref="A774">INDEX(Vendor_Master!$A$2:$A$401, ROUNDUP((ROW()-1)/4, 0))</f>
        <v>VND-194</v>
      </c>
      <c r="B774" t="str">
        <f t="shared" si="84"/>
        <v>ISO 14001</v>
      </c>
      <c r="C774" t="str">
        <f t="shared" si="85"/>
        <v>Yes</v>
      </c>
      <c r="D774" t="str">
        <f t="shared" si="86"/>
        <v>Yes</v>
      </c>
      <c r="E774" s="1">
        <v>45912</v>
      </c>
      <c r="F774" s="1">
        <v>46329</v>
      </c>
      <c r="G774">
        <f t="shared" ca="1" si="87"/>
        <v>246</v>
      </c>
      <c r="H774" t="str">
        <f t="shared" ca="1" si="88"/>
        <v>Active</v>
      </c>
      <c r="I774">
        <f t="shared" ca="1" si="89"/>
        <v>0</v>
      </c>
      <c r="J774" t="str">
        <f t="shared" si="90"/>
        <v>Environmental</v>
      </c>
    </row>
    <row r="775" spans="1:10">
      <c r="A775" t="str" cm="1">
        <f t="array" ref="A775">INDEX(Vendor_Master!$A$2:$A$401, ROUNDUP((ROW()-1)/4, 0))</f>
        <v>VND-194</v>
      </c>
      <c r="B775" t="str">
        <f t="shared" si="84"/>
        <v>Safety Certificate</v>
      </c>
      <c r="C775" t="str">
        <f t="shared" si="85"/>
        <v>Yes</v>
      </c>
      <c r="D775" t="str">
        <f t="shared" si="86"/>
        <v>Yes</v>
      </c>
      <c r="E775" s="1">
        <v>45500</v>
      </c>
      <c r="F775" s="1">
        <v>46679</v>
      </c>
      <c r="G775">
        <f t="shared" ca="1" si="87"/>
        <v>596</v>
      </c>
      <c r="H775" t="str">
        <f t="shared" ca="1" si="88"/>
        <v>Active</v>
      </c>
      <c r="I775">
        <f t="shared" ca="1" si="89"/>
        <v>0</v>
      </c>
      <c r="J775" t="str">
        <f t="shared" si="90"/>
        <v>Safety</v>
      </c>
    </row>
    <row r="776" spans="1:10">
      <c r="A776" t="str" cm="1">
        <f t="array" ref="A776">INDEX(Vendor_Master!$A$2:$A$401, ROUNDUP((ROW()-1)/4, 0))</f>
        <v>VND-194</v>
      </c>
      <c r="B776" t="str">
        <f t="shared" si="84"/>
        <v>Environmental Policy</v>
      </c>
      <c r="C776" t="str">
        <f t="shared" si="85"/>
        <v>Yes</v>
      </c>
      <c r="D776" t="str">
        <f t="shared" si="86"/>
        <v>Yes</v>
      </c>
      <c r="E776" s="1">
        <v>45583</v>
      </c>
      <c r="F776" s="1">
        <v>46710</v>
      </c>
      <c r="G776">
        <f t="shared" ca="1" si="87"/>
        <v>627</v>
      </c>
      <c r="H776" t="str">
        <f t="shared" ca="1" si="88"/>
        <v>Active</v>
      </c>
      <c r="I776">
        <f t="shared" ca="1" si="89"/>
        <v>0</v>
      </c>
      <c r="J776" t="str">
        <f t="shared" si="90"/>
        <v>Environmental</v>
      </c>
    </row>
    <row r="777" spans="1:10">
      <c r="A777" t="str" cm="1">
        <f t="array" ref="A777">INDEX(Vendor_Master!$A$2:$A$401, ROUNDUP((ROW()-1)/4, 0))</f>
        <v>VND-194</v>
      </c>
      <c r="B777" t="str">
        <f t="shared" si="84"/>
        <v>Sustainability Disclosure</v>
      </c>
      <c r="C777" t="str">
        <f t="shared" si="85"/>
        <v>Yes</v>
      </c>
      <c r="D777" t="str">
        <f t="shared" si="86"/>
        <v>Yes</v>
      </c>
      <c r="E777" s="1">
        <v>45729</v>
      </c>
      <c r="F777" s="1">
        <v>46399</v>
      </c>
      <c r="G777">
        <f t="shared" ca="1" si="87"/>
        <v>316</v>
      </c>
      <c r="H777" t="str">
        <f t="shared" ca="1" si="88"/>
        <v>Active</v>
      </c>
      <c r="I777">
        <f t="shared" ca="1" si="89"/>
        <v>0</v>
      </c>
      <c r="J777" t="str">
        <f t="shared" si="90"/>
        <v>Environmental</v>
      </c>
    </row>
    <row r="778" spans="1:10">
      <c r="A778" t="str" cm="1">
        <f t="array" ref="A778">INDEX(Vendor_Master!$A$2:$A$401, ROUNDUP((ROW()-1)/4, 0))</f>
        <v>VND-195</v>
      </c>
      <c r="B778" t="str">
        <f t="shared" si="84"/>
        <v>ISO 14001</v>
      </c>
      <c r="C778" t="str">
        <f t="shared" si="85"/>
        <v>Yes</v>
      </c>
      <c r="D778" t="str">
        <f t="shared" si="86"/>
        <v>Yes</v>
      </c>
      <c r="E778" s="1">
        <v>45918</v>
      </c>
      <c r="F778" s="1">
        <v>46683</v>
      </c>
      <c r="G778">
        <f t="shared" ca="1" si="87"/>
        <v>600</v>
      </c>
      <c r="H778" t="str">
        <f t="shared" ca="1" si="88"/>
        <v>Active</v>
      </c>
      <c r="I778">
        <f t="shared" ca="1" si="89"/>
        <v>0</v>
      </c>
      <c r="J778" t="str">
        <f t="shared" si="90"/>
        <v>Environmental</v>
      </c>
    </row>
    <row r="779" spans="1:10">
      <c r="A779" t="str" cm="1">
        <f t="array" ref="A779">INDEX(Vendor_Master!$A$2:$A$401, ROUNDUP((ROW()-1)/4, 0))</f>
        <v>VND-195</v>
      </c>
      <c r="B779" t="str">
        <f t="shared" si="84"/>
        <v>Safety Certificate</v>
      </c>
      <c r="C779" t="str">
        <f t="shared" si="85"/>
        <v>Yes</v>
      </c>
      <c r="D779" t="str">
        <f t="shared" si="86"/>
        <v>Yes</v>
      </c>
      <c r="E779" s="1">
        <v>45580</v>
      </c>
      <c r="F779" s="1">
        <v>46373</v>
      </c>
      <c r="G779">
        <f t="shared" ca="1" si="87"/>
        <v>290</v>
      </c>
      <c r="H779" t="str">
        <f t="shared" ca="1" si="88"/>
        <v>Active</v>
      </c>
      <c r="I779">
        <f t="shared" ca="1" si="89"/>
        <v>0</v>
      </c>
      <c r="J779" t="str">
        <f t="shared" si="90"/>
        <v>Safety</v>
      </c>
    </row>
    <row r="780" spans="1:10">
      <c r="A780" t="str" cm="1">
        <f t="array" ref="A780">INDEX(Vendor_Master!$A$2:$A$401, ROUNDUP((ROW()-1)/4, 0))</f>
        <v>VND-195</v>
      </c>
      <c r="B780" t="str">
        <f t="shared" si="84"/>
        <v>Environmental Policy</v>
      </c>
      <c r="C780" t="str">
        <f t="shared" si="85"/>
        <v>Yes</v>
      </c>
      <c r="D780" t="str">
        <f t="shared" si="86"/>
        <v>Yes</v>
      </c>
      <c r="E780" s="1">
        <v>45439</v>
      </c>
      <c r="F780" s="1">
        <v>46589</v>
      </c>
      <c r="G780">
        <f t="shared" ca="1" si="87"/>
        <v>506</v>
      </c>
      <c r="H780" t="str">
        <f t="shared" ca="1" si="88"/>
        <v>Active</v>
      </c>
      <c r="I780">
        <f t="shared" ca="1" si="89"/>
        <v>0</v>
      </c>
      <c r="J780" t="str">
        <f t="shared" si="90"/>
        <v>Environmental</v>
      </c>
    </row>
    <row r="781" spans="1:10">
      <c r="A781" t="str" cm="1">
        <f t="array" ref="A781">INDEX(Vendor_Master!$A$2:$A$401, ROUNDUP((ROW()-1)/4, 0))</f>
        <v>VND-195</v>
      </c>
      <c r="B781" t="str">
        <f t="shared" si="84"/>
        <v>Sustainability Disclosure</v>
      </c>
      <c r="C781" t="str">
        <f t="shared" si="85"/>
        <v>Yes</v>
      </c>
      <c r="D781" t="str">
        <f t="shared" si="86"/>
        <v>Yes</v>
      </c>
      <c r="E781" s="1">
        <v>45429</v>
      </c>
      <c r="F781" s="1">
        <v>46361</v>
      </c>
      <c r="G781">
        <f t="shared" ca="1" si="87"/>
        <v>278</v>
      </c>
      <c r="H781" t="str">
        <f t="shared" ca="1" si="88"/>
        <v>Active</v>
      </c>
      <c r="I781">
        <f t="shared" ca="1" si="89"/>
        <v>0</v>
      </c>
      <c r="J781" t="str">
        <f t="shared" si="90"/>
        <v>Environmental</v>
      </c>
    </row>
    <row r="782" spans="1:10">
      <c r="A782" t="str" cm="1">
        <f t="array" ref="A782">INDEX(Vendor_Master!$A$2:$A$401, ROUNDUP((ROW()-1)/4, 0))</f>
        <v>VND-196</v>
      </c>
      <c r="B782" t="str">
        <f t="shared" si="84"/>
        <v>ISO 14001</v>
      </c>
      <c r="C782" t="str">
        <f t="shared" si="85"/>
        <v>Yes</v>
      </c>
      <c r="D782" t="str">
        <f t="shared" si="86"/>
        <v>Yes</v>
      </c>
      <c r="E782" s="1">
        <v>45814</v>
      </c>
      <c r="F782" s="1">
        <v>46414</v>
      </c>
      <c r="G782">
        <f t="shared" ca="1" si="87"/>
        <v>331</v>
      </c>
      <c r="H782" t="str">
        <f t="shared" ca="1" si="88"/>
        <v>Active</v>
      </c>
      <c r="I782">
        <f t="shared" ca="1" si="89"/>
        <v>0</v>
      </c>
      <c r="J782" t="str">
        <f t="shared" si="90"/>
        <v>Environmental</v>
      </c>
    </row>
    <row r="783" spans="1:10">
      <c r="A783" t="str" cm="1">
        <f t="array" ref="A783">INDEX(Vendor_Master!$A$2:$A$401, ROUNDUP((ROW()-1)/4, 0))</f>
        <v>VND-196</v>
      </c>
      <c r="B783" t="str">
        <f t="shared" si="84"/>
        <v>Safety Certificate</v>
      </c>
      <c r="C783" t="str">
        <f t="shared" si="85"/>
        <v>Yes</v>
      </c>
      <c r="D783" t="str">
        <f t="shared" si="86"/>
        <v>Yes</v>
      </c>
      <c r="E783" s="1">
        <v>45711</v>
      </c>
      <c r="F783" s="1">
        <v>46922</v>
      </c>
      <c r="G783">
        <f t="shared" ca="1" si="87"/>
        <v>839</v>
      </c>
      <c r="H783" t="str">
        <f t="shared" ca="1" si="88"/>
        <v>Active</v>
      </c>
      <c r="I783">
        <f t="shared" ca="1" si="89"/>
        <v>0</v>
      </c>
      <c r="J783" t="str">
        <f t="shared" si="90"/>
        <v>Safety</v>
      </c>
    </row>
    <row r="784" spans="1:10">
      <c r="A784" t="str" cm="1">
        <f t="array" ref="A784">INDEX(Vendor_Master!$A$2:$A$401, ROUNDUP((ROW()-1)/4, 0))</f>
        <v>VND-196</v>
      </c>
      <c r="B784" t="str">
        <f t="shared" si="84"/>
        <v>Environmental Policy</v>
      </c>
      <c r="C784" t="str">
        <f t="shared" si="85"/>
        <v>Yes</v>
      </c>
      <c r="D784" t="str">
        <f t="shared" si="86"/>
        <v>Yes</v>
      </c>
      <c r="E784" s="1">
        <v>45405</v>
      </c>
      <c r="F784" s="1">
        <v>46935</v>
      </c>
      <c r="G784">
        <f t="shared" ca="1" si="87"/>
        <v>852</v>
      </c>
      <c r="H784" t="str">
        <f t="shared" ca="1" si="88"/>
        <v>Active</v>
      </c>
      <c r="I784">
        <f t="shared" ca="1" si="89"/>
        <v>0</v>
      </c>
      <c r="J784" t="str">
        <f t="shared" si="90"/>
        <v>Environmental</v>
      </c>
    </row>
    <row r="785" spans="1:10">
      <c r="A785" t="str" cm="1">
        <f t="array" ref="A785">INDEX(Vendor_Master!$A$2:$A$401, ROUNDUP((ROW()-1)/4, 0))</f>
        <v>VND-196</v>
      </c>
      <c r="B785" t="str">
        <f t="shared" si="84"/>
        <v>Sustainability Disclosure</v>
      </c>
      <c r="C785" t="str">
        <f t="shared" si="85"/>
        <v>Yes</v>
      </c>
      <c r="D785" t="str">
        <f t="shared" si="86"/>
        <v>Yes</v>
      </c>
      <c r="E785" s="1">
        <v>45814</v>
      </c>
      <c r="F785" s="1">
        <v>46617</v>
      </c>
      <c r="G785">
        <f t="shared" ca="1" si="87"/>
        <v>534</v>
      </c>
      <c r="H785" t="str">
        <f t="shared" ca="1" si="88"/>
        <v>Active</v>
      </c>
      <c r="I785">
        <f t="shared" ca="1" si="89"/>
        <v>0</v>
      </c>
      <c r="J785" t="str">
        <f t="shared" si="90"/>
        <v>Environmental</v>
      </c>
    </row>
    <row r="786" spans="1:10">
      <c r="A786" t="str" cm="1">
        <f t="array" ref="A786">INDEX(Vendor_Master!$A$2:$A$401, ROUNDUP((ROW()-1)/4, 0))</f>
        <v>VND-197</v>
      </c>
      <c r="B786" t="str">
        <f t="shared" si="84"/>
        <v>ISO 14001</v>
      </c>
      <c r="C786" t="str">
        <f t="shared" si="85"/>
        <v>Yes</v>
      </c>
      <c r="D786" t="str">
        <f t="shared" si="86"/>
        <v>Yes</v>
      </c>
      <c r="E786" s="1">
        <v>45408</v>
      </c>
      <c r="F786" s="1">
        <v>46898</v>
      </c>
      <c r="G786">
        <f t="shared" ca="1" si="87"/>
        <v>815</v>
      </c>
      <c r="H786" t="str">
        <f t="shared" ca="1" si="88"/>
        <v>Active</v>
      </c>
      <c r="I786">
        <f t="shared" ca="1" si="89"/>
        <v>0</v>
      </c>
      <c r="J786" t="str">
        <f t="shared" si="90"/>
        <v>Environmental</v>
      </c>
    </row>
    <row r="787" spans="1:10">
      <c r="A787" t="str" cm="1">
        <f t="array" ref="A787">INDEX(Vendor_Master!$A$2:$A$401, ROUNDUP((ROW()-1)/4, 0))</f>
        <v>VND-197</v>
      </c>
      <c r="B787" t="str">
        <f t="shared" si="84"/>
        <v>Safety Certificate</v>
      </c>
      <c r="C787" t="str">
        <f t="shared" si="85"/>
        <v>Yes</v>
      </c>
      <c r="D787" t="str">
        <f t="shared" si="86"/>
        <v>Yes</v>
      </c>
      <c r="E787" s="1">
        <v>45813</v>
      </c>
      <c r="F787" s="1">
        <v>46912</v>
      </c>
      <c r="G787">
        <f t="shared" ca="1" si="87"/>
        <v>829</v>
      </c>
      <c r="H787" t="str">
        <f t="shared" ca="1" si="88"/>
        <v>Active</v>
      </c>
      <c r="I787">
        <f t="shared" ca="1" si="89"/>
        <v>0</v>
      </c>
      <c r="J787" t="str">
        <f t="shared" si="90"/>
        <v>Safety</v>
      </c>
    </row>
    <row r="788" spans="1:10">
      <c r="A788" t="str" cm="1">
        <f t="array" ref="A788">INDEX(Vendor_Master!$A$2:$A$401, ROUNDUP((ROW()-1)/4, 0))</f>
        <v>VND-197</v>
      </c>
      <c r="B788" t="str">
        <f t="shared" si="84"/>
        <v>Environmental Policy</v>
      </c>
      <c r="C788" t="str">
        <f t="shared" si="85"/>
        <v>Yes</v>
      </c>
      <c r="D788" t="str">
        <f t="shared" si="86"/>
        <v>Yes</v>
      </c>
      <c r="E788" s="1">
        <v>45908</v>
      </c>
      <c r="F788" s="1">
        <v>46759</v>
      </c>
      <c r="G788">
        <f t="shared" ca="1" si="87"/>
        <v>676</v>
      </c>
      <c r="H788" t="str">
        <f t="shared" ca="1" si="88"/>
        <v>Active</v>
      </c>
      <c r="I788">
        <f t="shared" ca="1" si="89"/>
        <v>0</v>
      </c>
      <c r="J788" t="str">
        <f t="shared" si="90"/>
        <v>Environmental</v>
      </c>
    </row>
    <row r="789" spans="1:10">
      <c r="A789" t="str" cm="1">
        <f t="array" ref="A789">INDEX(Vendor_Master!$A$2:$A$401, ROUNDUP((ROW()-1)/4, 0))</f>
        <v>VND-197</v>
      </c>
      <c r="B789" t="str">
        <f t="shared" si="84"/>
        <v>Sustainability Disclosure</v>
      </c>
      <c r="C789" t="str">
        <f t="shared" si="85"/>
        <v>Yes</v>
      </c>
      <c r="D789" t="str">
        <f t="shared" si="86"/>
        <v>Yes</v>
      </c>
      <c r="E789" s="1">
        <v>45606</v>
      </c>
      <c r="F789" s="1">
        <v>46836</v>
      </c>
      <c r="G789">
        <f t="shared" ca="1" si="87"/>
        <v>753</v>
      </c>
      <c r="H789" t="str">
        <f t="shared" ca="1" si="88"/>
        <v>Active</v>
      </c>
      <c r="I789">
        <f t="shared" ca="1" si="89"/>
        <v>0</v>
      </c>
      <c r="J789" t="str">
        <f t="shared" si="90"/>
        <v>Environmental</v>
      </c>
    </row>
    <row r="790" spans="1:10">
      <c r="A790" t="str" cm="1">
        <f t="array" ref="A790">INDEX(Vendor_Master!$A$2:$A$401, ROUNDUP((ROW()-1)/4, 0))</f>
        <v>VND-198</v>
      </c>
      <c r="B790" t="str">
        <f t="shared" si="84"/>
        <v>ISO 14001</v>
      </c>
      <c r="C790" t="str">
        <f t="shared" si="85"/>
        <v>Yes</v>
      </c>
      <c r="D790" t="str">
        <f t="shared" si="86"/>
        <v>Yes</v>
      </c>
      <c r="E790" s="1">
        <v>45817</v>
      </c>
      <c r="F790" s="1">
        <v>46387</v>
      </c>
      <c r="G790">
        <f t="shared" ca="1" si="87"/>
        <v>304</v>
      </c>
      <c r="H790" t="str">
        <f t="shared" ca="1" si="88"/>
        <v>Active</v>
      </c>
      <c r="I790">
        <f t="shared" ca="1" si="89"/>
        <v>0</v>
      </c>
      <c r="J790" t="str">
        <f t="shared" si="90"/>
        <v>Environmental</v>
      </c>
    </row>
    <row r="791" spans="1:10">
      <c r="A791" t="str" cm="1">
        <f t="array" ref="A791">INDEX(Vendor_Master!$A$2:$A$401, ROUNDUP((ROW()-1)/4, 0))</f>
        <v>VND-198</v>
      </c>
      <c r="B791" t="str">
        <f t="shared" si="84"/>
        <v>Safety Certificate</v>
      </c>
      <c r="C791" t="str">
        <f t="shared" si="85"/>
        <v>Yes</v>
      </c>
      <c r="D791" t="str">
        <f t="shared" si="86"/>
        <v>Yes</v>
      </c>
      <c r="E791" s="1">
        <v>45441</v>
      </c>
      <c r="F791" s="1">
        <v>46807</v>
      </c>
      <c r="G791">
        <f t="shared" ca="1" si="87"/>
        <v>724</v>
      </c>
      <c r="H791" t="str">
        <f t="shared" ca="1" si="88"/>
        <v>Active</v>
      </c>
      <c r="I791">
        <f t="shared" ca="1" si="89"/>
        <v>0</v>
      </c>
      <c r="J791" t="str">
        <f t="shared" si="90"/>
        <v>Safety</v>
      </c>
    </row>
    <row r="792" spans="1:10">
      <c r="A792" t="str" cm="1">
        <f t="array" ref="A792">INDEX(Vendor_Master!$A$2:$A$401, ROUNDUP((ROW()-1)/4, 0))</f>
        <v>VND-198</v>
      </c>
      <c r="B792" t="str">
        <f t="shared" si="84"/>
        <v>Environmental Policy</v>
      </c>
      <c r="C792" t="str">
        <f t="shared" si="85"/>
        <v>Yes</v>
      </c>
      <c r="D792" t="str">
        <f t="shared" si="86"/>
        <v>Yes</v>
      </c>
      <c r="E792" s="1">
        <v>46015</v>
      </c>
      <c r="F792" s="1">
        <v>46628</v>
      </c>
      <c r="G792">
        <f t="shared" ca="1" si="87"/>
        <v>545</v>
      </c>
      <c r="H792" t="str">
        <f t="shared" ca="1" si="88"/>
        <v>Active</v>
      </c>
      <c r="I792">
        <f t="shared" ca="1" si="89"/>
        <v>0</v>
      </c>
      <c r="J792" t="str">
        <f t="shared" si="90"/>
        <v>Environmental</v>
      </c>
    </row>
    <row r="793" spans="1:10">
      <c r="A793" t="str" cm="1">
        <f t="array" ref="A793">INDEX(Vendor_Master!$A$2:$A$401, ROUNDUP((ROW()-1)/4, 0))</f>
        <v>VND-198</v>
      </c>
      <c r="B793" t="str">
        <f t="shared" si="84"/>
        <v>Sustainability Disclosure</v>
      </c>
      <c r="C793" t="str">
        <f t="shared" si="85"/>
        <v>Yes</v>
      </c>
      <c r="D793" t="str">
        <f t="shared" si="86"/>
        <v>Yes</v>
      </c>
      <c r="E793" s="1">
        <v>45852</v>
      </c>
      <c r="F793" s="1">
        <v>46645</v>
      </c>
      <c r="G793">
        <f t="shared" ca="1" si="87"/>
        <v>562</v>
      </c>
      <c r="H793" t="str">
        <f t="shared" ca="1" si="88"/>
        <v>Active</v>
      </c>
      <c r="I793">
        <f t="shared" ca="1" si="89"/>
        <v>0</v>
      </c>
      <c r="J793" t="str">
        <f t="shared" si="90"/>
        <v>Environmental</v>
      </c>
    </row>
    <row r="794" spans="1:10">
      <c r="A794" t="str" cm="1">
        <f t="array" ref="A794">INDEX(Vendor_Master!$A$2:$A$401, ROUNDUP((ROW()-1)/4, 0))</f>
        <v>VND-199</v>
      </c>
      <c r="B794" t="str">
        <f t="shared" si="84"/>
        <v>ISO 14001</v>
      </c>
      <c r="C794" t="str">
        <f t="shared" si="85"/>
        <v>Yes</v>
      </c>
      <c r="D794" t="str">
        <f t="shared" si="86"/>
        <v>Yes</v>
      </c>
      <c r="E794" s="1">
        <v>45752</v>
      </c>
      <c r="F794" s="1">
        <v>46465</v>
      </c>
      <c r="G794">
        <f t="shared" ca="1" si="87"/>
        <v>382</v>
      </c>
      <c r="H794" t="str">
        <f t="shared" ca="1" si="88"/>
        <v>Active</v>
      </c>
      <c r="I794">
        <f t="shared" ca="1" si="89"/>
        <v>0</v>
      </c>
      <c r="J794" t="str">
        <f t="shared" si="90"/>
        <v>Environmental</v>
      </c>
    </row>
    <row r="795" spans="1:10">
      <c r="A795" t="str" cm="1">
        <f t="array" ref="A795">INDEX(Vendor_Master!$A$2:$A$401, ROUNDUP((ROW()-1)/4, 0))</f>
        <v>VND-199</v>
      </c>
      <c r="B795" t="str">
        <f t="shared" si="84"/>
        <v>Safety Certificate</v>
      </c>
      <c r="C795" t="str">
        <f t="shared" si="85"/>
        <v>Yes</v>
      </c>
      <c r="D795" t="str">
        <f t="shared" si="86"/>
        <v>Yes</v>
      </c>
      <c r="E795" s="1">
        <v>45389</v>
      </c>
      <c r="F795" s="1">
        <v>46322</v>
      </c>
      <c r="G795">
        <f t="shared" ca="1" si="87"/>
        <v>239</v>
      </c>
      <c r="H795" t="str">
        <f t="shared" ca="1" si="88"/>
        <v>Active</v>
      </c>
      <c r="I795">
        <f t="shared" ca="1" si="89"/>
        <v>0</v>
      </c>
      <c r="J795" t="str">
        <f t="shared" si="90"/>
        <v>Safety</v>
      </c>
    </row>
    <row r="796" spans="1:10">
      <c r="A796" t="str" cm="1">
        <f t="array" ref="A796">INDEX(Vendor_Master!$A$2:$A$401, ROUNDUP((ROW()-1)/4, 0))</f>
        <v>VND-199</v>
      </c>
      <c r="B796" t="str">
        <f t="shared" si="84"/>
        <v>Environmental Policy</v>
      </c>
      <c r="C796" t="str">
        <f t="shared" si="85"/>
        <v>Yes</v>
      </c>
      <c r="D796" t="str">
        <f t="shared" si="86"/>
        <v>Yes</v>
      </c>
      <c r="E796" s="1">
        <v>45623</v>
      </c>
      <c r="F796" s="1">
        <v>46485</v>
      </c>
      <c r="G796">
        <f t="shared" ca="1" si="87"/>
        <v>402</v>
      </c>
      <c r="H796" t="str">
        <f t="shared" ca="1" si="88"/>
        <v>Active</v>
      </c>
      <c r="I796">
        <f t="shared" ca="1" si="89"/>
        <v>0</v>
      </c>
      <c r="J796" t="str">
        <f t="shared" si="90"/>
        <v>Environmental</v>
      </c>
    </row>
    <row r="797" spans="1:10">
      <c r="A797" t="str" cm="1">
        <f t="array" ref="A797">INDEX(Vendor_Master!$A$2:$A$401, ROUNDUP((ROW()-1)/4, 0))</f>
        <v>VND-199</v>
      </c>
      <c r="B797" t="str">
        <f t="shared" si="84"/>
        <v>Sustainability Disclosure</v>
      </c>
      <c r="C797" t="str">
        <f t="shared" si="85"/>
        <v>Yes</v>
      </c>
      <c r="D797" t="str">
        <f t="shared" si="86"/>
        <v>Yes</v>
      </c>
      <c r="E797" s="1">
        <v>45874</v>
      </c>
      <c r="F797" s="1">
        <v>46450</v>
      </c>
      <c r="G797">
        <f t="shared" ca="1" si="87"/>
        <v>367</v>
      </c>
      <c r="H797" t="str">
        <f t="shared" ca="1" si="88"/>
        <v>Active</v>
      </c>
      <c r="I797">
        <f t="shared" ca="1" si="89"/>
        <v>0</v>
      </c>
      <c r="J797" t="str">
        <f t="shared" si="90"/>
        <v>Environmental</v>
      </c>
    </row>
    <row r="798" spans="1:10">
      <c r="A798" t="str" cm="1">
        <f t="array" ref="A798">INDEX(Vendor_Master!$A$2:$A$401, ROUNDUP((ROW()-1)/4, 0))</f>
        <v>VND-200</v>
      </c>
      <c r="B798" t="str">
        <f t="shared" si="84"/>
        <v>ISO 14001</v>
      </c>
      <c r="C798" t="str">
        <f t="shared" si="85"/>
        <v>Yes</v>
      </c>
      <c r="D798" t="str">
        <f t="shared" si="86"/>
        <v>Yes</v>
      </c>
      <c r="E798" s="1">
        <v>46027</v>
      </c>
      <c r="F798" s="1">
        <v>46956</v>
      </c>
      <c r="G798">
        <f t="shared" ca="1" si="87"/>
        <v>873</v>
      </c>
      <c r="H798" t="str">
        <f t="shared" ca="1" si="88"/>
        <v>Active</v>
      </c>
      <c r="I798">
        <f t="shared" ca="1" si="89"/>
        <v>0</v>
      </c>
      <c r="J798" t="str">
        <f t="shared" si="90"/>
        <v>Environmental</v>
      </c>
    </row>
    <row r="799" spans="1:10">
      <c r="A799" t="str" cm="1">
        <f t="array" ref="A799">INDEX(Vendor_Master!$A$2:$A$401, ROUNDUP((ROW()-1)/4, 0))</f>
        <v>VND-200</v>
      </c>
      <c r="B799" t="str">
        <f t="shared" si="84"/>
        <v>Safety Certificate</v>
      </c>
      <c r="C799" t="str">
        <f t="shared" si="85"/>
        <v>Yes</v>
      </c>
      <c r="D799" t="str">
        <f t="shared" si="86"/>
        <v>Yes</v>
      </c>
      <c r="E799" s="1">
        <v>46022</v>
      </c>
      <c r="F799" s="1">
        <v>46694</v>
      </c>
      <c r="G799">
        <f t="shared" ca="1" si="87"/>
        <v>611</v>
      </c>
      <c r="H799" t="str">
        <f t="shared" ca="1" si="88"/>
        <v>Active</v>
      </c>
      <c r="I799">
        <f t="shared" ca="1" si="89"/>
        <v>0</v>
      </c>
      <c r="J799" t="str">
        <f t="shared" si="90"/>
        <v>Safety</v>
      </c>
    </row>
    <row r="800" spans="1:10">
      <c r="A800" t="str" cm="1">
        <f t="array" ref="A800">INDEX(Vendor_Master!$A$2:$A$401, ROUNDUP((ROW()-1)/4, 0))</f>
        <v>VND-200</v>
      </c>
      <c r="B800" t="str">
        <f t="shared" si="84"/>
        <v>Environmental Policy</v>
      </c>
      <c r="C800" t="str">
        <f t="shared" si="85"/>
        <v>Yes</v>
      </c>
      <c r="D800" t="str">
        <f t="shared" si="86"/>
        <v>Yes</v>
      </c>
      <c r="E800" s="1">
        <v>45435</v>
      </c>
      <c r="F800" s="1">
        <v>46498</v>
      </c>
      <c r="G800">
        <f t="shared" ca="1" si="87"/>
        <v>415</v>
      </c>
      <c r="H800" t="str">
        <f t="shared" ca="1" si="88"/>
        <v>Active</v>
      </c>
      <c r="I800">
        <f t="shared" ca="1" si="89"/>
        <v>0</v>
      </c>
      <c r="J800" t="str">
        <f t="shared" si="90"/>
        <v>Environmental</v>
      </c>
    </row>
    <row r="801" spans="1:10">
      <c r="A801" t="str" cm="1">
        <f t="array" ref="A801">INDEX(Vendor_Master!$A$2:$A$401, ROUNDUP((ROW()-1)/4, 0))</f>
        <v>VND-200</v>
      </c>
      <c r="B801" t="str">
        <f t="shared" si="84"/>
        <v>Sustainability Disclosure</v>
      </c>
      <c r="C801" t="str">
        <f t="shared" si="85"/>
        <v>Yes</v>
      </c>
      <c r="D801" t="str">
        <f t="shared" si="86"/>
        <v>Yes</v>
      </c>
      <c r="E801" s="1">
        <v>45641</v>
      </c>
      <c r="F801" s="1">
        <v>46740</v>
      </c>
      <c r="G801">
        <f t="shared" ca="1" si="87"/>
        <v>657</v>
      </c>
      <c r="H801" t="str">
        <f t="shared" ca="1" si="88"/>
        <v>Active</v>
      </c>
      <c r="I801">
        <f t="shared" ca="1" si="89"/>
        <v>0</v>
      </c>
      <c r="J801" t="str">
        <f t="shared" si="90"/>
        <v>Environmental</v>
      </c>
    </row>
    <row r="802" spans="1:10">
      <c r="A802" t="str" cm="1">
        <f t="array" ref="A802">INDEX(Vendor_Master!$A$2:$A$401, ROUNDUP((ROW()-1)/4, 0))</f>
        <v>VND-201</v>
      </c>
      <c r="B802" t="str">
        <f t="shared" si="84"/>
        <v>ISO 14001</v>
      </c>
      <c r="C802" t="str">
        <f t="shared" si="85"/>
        <v>Yes</v>
      </c>
      <c r="D802" t="str">
        <f t="shared" si="86"/>
        <v>Yes</v>
      </c>
      <c r="E802" s="1">
        <v>45657</v>
      </c>
      <c r="F802" s="1">
        <v>46749</v>
      </c>
      <c r="G802">
        <f t="shared" ca="1" si="87"/>
        <v>666</v>
      </c>
      <c r="H802" t="str">
        <f t="shared" ca="1" si="88"/>
        <v>Active</v>
      </c>
      <c r="I802">
        <f t="shared" ca="1" si="89"/>
        <v>0</v>
      </c>
      <c r="J802" t="str">
        <f t="shared" si="90"/>
        <v>Environmental</v>
      </c>
    </row>
    <row r="803" spans="1:10">
      <c r="A803" t="str" cm="1">
        <f t="array" ref="A803">INDEX(Vendor_Master!$A$2:$A$401, ROUNDUP((ROW()-1)/4, 0))</f>
        <v>VND-201</v>
      </c>
      <c r="B803" t="str">
        <f t="shared" si="84"/>
        <v>Safety Certificate</v>
      </c>
      <c r="C803" t="str">
        <f t="shared" si="85"/>
        <v>Yes</v>
      </c>
      <c r="D803" t="str">
        <f t="shared" si="86"/>
        <v>Yes</v>
      </c>
      <c r="E803" s="1">
        <v>45593</v>
      </c>
      <c r="F803" s="1">
        <v>46449</v>
      </c>
      <c r="G803">
        <f t="shared" ca="1" si="87"/>
        <v>366</v>
      </c>
      <c r="H803" t="str">
        <f t="shared" ca="1" si="88"/>
        <v>Active</v>
      </c>
      <c r="I803">
        <f t="shared" ca="1" si="89"/>
        <v>0</v>
      </c>
      <c r="J803" t="str">
        <f t="shared" si="90"/>
        <v>Safety</v>
      </c>
    </row>
    <row r="804" spans="1:10">
      <c r="A804" t="str" cm="1">
        <f t="array" ref="A804">INDEX(Vendor_Master!$A$2:$A$401, ROUNDUP((ROW()-1)/4, 0))</f>
        <v>VND-201</v>
      </c>
      <c r="B804" t="str">
        <f t="shared" si="84"/>
        <v>Environmental Policy</v>
      </c>
      <c r="C804" t="str">
        <f t="shared" si="85"/>
        <v>Yes</v>
      </c>
      <c r="D804" t="str">
        <f t="shared" si="86"/>
        <v>Yes</v>
      </c>
      <c r="E804" s="1">
        <v>45755</v>
      </c>
      <c r="F804" s="1">
        <v>46374</v>
      </c>
      <c r="G804">
        <f t="shared" ca="1" si="87"/>
        <v>291</v>
      </c>
      <c r="H804" t="str">
        <f t="shared" ca="1" si="88"/>
        <v>Active</v>
      </c>
      <c r="I804">
        <f t="shared" ca="1" si="89"/>
        <v>0</v>
      </c>
      <c r="J804" t="str">
        <f t="shared" si="90"/>
        <v>Environmental</v>
      </c>
    </row>
    <row r="805" spans="1:10">
      <c r="A805" t="str" cm="1">
        <f t="array" ref="A805">INDEX(Vendor_Master!$A$2:$A$401, ROUNDUP((ROW()-1)/4, 0))</f>
        <v>VND-201</v>
      </c>
      <c r="B805" t="str">
        <f t="shared" si="84"/>
        <v>Sustainability Disclosure</v>
      </c>
      <c r="C805" t="str">
        <f t="shared" si="85"/>
        <v>Yes</v>
      </c>
      <c r="D805" t="str">
        <f t="shared" si="86"/>
        <v>Yes</v>
      </c>
      <c r="E805" s="1">
        <v>45756</v>
      </c>
      <c r="F805" s="1">
        <v>46249</v>
      </c>
      <c r="G805">
        <f t="shared" ca="1" si="87"/>
        <v>166</v>
      </c>
      <c r="H805" t="str">
        <f t="shared" ca="1" si="88"/>
        <v>Active</v>
      </c>
      <c r="I805">
        <f t="shared" ca="1" si="89"/>
        <v>0</v>
      </c>
      <c r="J805" t="str">
        <f t="shared" si="90"/>
        <v>Environmental</v>
      </c>
    </row>
    <row r="806" spans="1:10">
      <c r="A806" t="str" cm="1">
        <f t="array" ref="A806">INDEX(Vendor_Master!$A$2:$A$401, ROUNDUP((ROW()-1)/4, 0))</f>
        <v>VND-202</v>
      </c>
      <c r="B806" t="str">
        <f t="shared" si="84"/>
        <v>ISO 14001</v>
      </c>
      <c r="C806" t="str">
        <f t="shared" si="85"/>
        <v>Yes</v>
      </c>
      <c r="D806" t="str">
        <f t="shared" si="86"/>
        <v>Yes</v>
      </c>
      <c r="E806" s="1">
        <v>45819</v>
      </c>
      <c r="F806" s="1">
        <v>46666</v>
      </c>
      <c r="G806">
        <f t="shared" ca="1" si="87"/>
        <v>583</v>
      </c>
      <c r="H806" t="str">
        <f t="shared" ca="1" si="88"/>
        <v>Active</v>
      </c>
      <c r="I806">
        <f t="shared" ca="1" si="89"/>
        <v>0</v>
      </c>
      <c r="J806" t="str">
        <f t="shared" si="90"/>
        <v>Environmental</v>
      </c>
    </row>
    <row r="807" spans="1:10">
      <c r="A807" t="str" cm="1">
        <f t="array" ref="A807">INDEX(Vendor_Master!$A$2:$A$401, ROUNDUP((ROW()-1)/4, 0))</f>
        <v>VND-202</v>
      </c>
      <c r="B807" t="str">
        <f t="shared" si="84"/>
        <v>Safety Certificate</v>
      </c>
      <c r="C807" t="str">
        <f t="shared" si="85"/>
        <v>Yes</v>
      </c>
      <c r="D807" t="str">
        <f t="shared" si="86"/>
        <v>Yes</v>
      </c>
      <c r="E807" s="1">
        <v>45424</v>
      </c>
      <c r="F807" s="1">
        <v>46775</v>
      </c>
      <c r="G807">
        <f t="shared" ca="1" si="87"/>
        <v>692</v>
      </c>
      <c r="H807" t="str">
        <f t="shared" ca="1" si="88"/>
        <v>Active</v>
      </c>
      <c r="I807">
        <f t="shared" ca="1" si="89"/>
        <v>0</v>
      </c>
      <c r="J807" t="str">
        <f t="shared" si="90"/>
        <v>Safety</v>
      </c>
    </row>
    <row r="808" spans="1:10">
      <c r="A808" t="str" cm="1">
        <f t="array" ref="A808">INDEX(Vendor_Master!$A$2:$A$401, ROUNDUP((ROW()-1)/4, 0))</f>
        <v>VND-202</v>
      </c>
      <c r="B808" t="str">
        <f t="shared" si="84"/>
        <v>Environmental Policy</v>
      </c>
      <c r="C808" t="str">
        <f t="shared" si="85"/>
        <v>Yes</v>
      </c>
      <c r="D808" t="str">
        <f t="shared" si="86"/>
        <v>Yes</v>
      </c>
      <c r="E808" s="1">
        <v>45596</v>
      </c>
      <c r="F808" s="1">
        <v>46211</v>
      </c>
      <c r="G808">
        <f t="shared" ca="1" si="87"/>
        <v>128</v>
      </c>
      <c r="H808" t="str">
        <f t="shared" ca="1" si="88"/>
        <v>Active</v>
      </c>
      <c r="I808">
        <f t="shared" ca="1" si="89"/>
        <v>0</v>
      </c>
      <c r="J808" t="str">
        <f t="shared" si="90"/>
        <v>Environmental</v>
      </c>
    </row>
    <row r="809" spans="1:10">
      <c r="A809" t="str" cm="1">
        <f t="array" ref="A809">INDEX(Vendor_Master!$A$2:$A$401, ROUNDUP((ROW()-1)/4, 0))</f>
        <v>VND-202</v>
      </c>
      <c r="B809" t="str">
        <f t="shared" si="84"/>
        <v>Sustainability Disclosure</v>
      </c>
      <c r="C809" t="str">
        <f t="shared" si="85"/>
        <v>Yes</v>
      </c>
      <c r="D809" t="str">
        <f t="shared" si="86"/>
        <v>Yes</v>
      </c>
      <c r="E809" s="1">
        <v>45819</v>
      </c>
      <c r="F809" s="1">
        <v>46941</v>
      </c>
      <c r="G809">
        <f t="shared" ca="1" si="87"/>
        <v>858</v>
      </c>
      <c r="H809" t="str">
        <f t="shared" ca="1" si="88"/>
        <v>Active</v>
      </c>
      <c r="I809">
        <f t="shared" ca="1" si="89"/>
        <v>0</v>
      </c>
      <c r="J809" t="str">
        <f t="shared" si="90"/>
        <v>Environmental</v>
      </c>
    </row>
    <row r="810" spans="1:10">
      <c r="A810" t="str" cm="1">
        <f t="array" ref="A810">INDEX(Vendor_Master!$A$2:$A$401, ROUNDUP((ROW()-1)/4, 0))</f>
        <v>VND-203</v>
      </c>
      <c r="B810" t="str">
        <f t="shared" si="84"/>
        <v>ISO 14001</v>
      </c>
      <c r="C810" t="str">
        <f t="shared" si="85"/>
        <v>Yes</v>
      </c>
      <c r="D810" t="str">
        <f t="shared" si="86"/>
        <v>Yes</v>
      </c>
      <c r="E810" s="1">
        <v>45677</v>
      </c>
      <c r="F810" s="1">
        <v>46962</v>
      </c>
      <c r="G810">
        <f t="shared" ca="1" si="87"/>
        <v>879</v>
      </c>
      <c r="H810" t="str">
        <f t="shared" ca="1" si="88"/>
        <v>Active</v>
      </c>
      <c r="I810">
        <f t="shared" ca="1" si="89"/>
        <v>0</v>
      </c>
      <c r="J810" t="str">
        <f t="shared" si="90"/>
        <v>Environmental</v>
      </c>
    </row>
    <row r="811" spans="1:10">
      <c r="A811" t="str" cm="1">
        <f t="array" ref="A811">INDEX(Vendor_Master!$A$2:$A$401, ROUNDUP((ROW()-1)/4, 0))</f>
        <v>VND-203</v>
      </c>
      <c r="B811" t="str">
        <f t="shared" si="84"/>
        <v>Safety Certificate</v>
      </c>
      <c r="C811" t="str">
        <f t="shared" si="85"/>
        <v>Yes</v>
      </c>
      <c r="D811" t="str">
        <f t="shared" si="86"/>
        <v>Yes</v>
      </c>
      <c r="E811" s="1">
        <v>45440</v>
      </c>
      <c r="F811" s="1">
        <v>46381</v>
      </c>
      <c r="G811">
        <f t="shared" ca="1" si="87"/>
        <v>298</v>
      </c>
      <c r="H811" t="str">
        <f t="shared" ca="1" si="88"/>
        <v>Active</v>
      </c>
      <c r="I811">
        <f t="shared" ca="1" si="89"/>
        <v>0</v>
      </c>
      <c r="J811" t="str">
        <f t="shared" si="90"/>
        <v>Safety</v>
      </c>
    </row>
    <row r="812" spans="1:10">
      <c r="A812" t="str" cm="1">
        <f t="array" ref="A812">INDEX(Vendor_Master!$A$2:$A$401, ROUNDUP((ROW()-1)/4, 0))</f>
        <v>VND-203</v>
      </c>
      <c r="B812" t="str">
        <f t="shared" si="84"/>
        <v>Environmental Policy</v>
      </c>
      <c r="C812" t="str">
        <f t="shared" si="85"/>
        <v>Yes</v>
      </c>
      <c r="D812" t="str">
        <f t="shared" si="86"/>
        <v>Yes</v>
      </c>
      <c r="E812" s="1">
        <v>45597</v>
      </c>
      <c r="F812" s="1">
        <v>46295</v>
      </c>
      <c r="G812">
        <f t="shared" ca="1" si="87"/>
        <v>212</v>
      </c>
      <c r="H812" t="str">
        <f t="shared" ca="1" si="88"/>
        <v>Active</v>
      </c>
      <c r="I812">
        <f t="shared" ca="1" si="89"/>
        <v>0</v>
      </c>
      <c r="J812" t="str">
        <f t="shared" si="90"/>
        <v>Environmental</v>
      </c>
    </row>
    <row r="813" spans="1:10">
      <c r="A813" t="str" cm="1">
        <f t="array" ref="A813">INDEX(Vendor_Master!$A$2:$A$401, ROUNDUP((ROW()-1)/4, 0))</f>
        <v>VND-203</v>
      </c>
      <c r="B813" t="str">
        <f t="shared" si="84"/>
        <v>Sustainability Disclosure</v>
      </c>
      <c r="C813" t="str">
        <f t="shared" si="85"/>
        <v>Yes</v>
      </c>
      <c r="D813" t="str">
        <f t="shared" si="86"/>
        <v>Yes</v>
      </c>
      <c r="E813" s="1">
        <v>45816</v>
      </c>
      <c r="F813" s="1">
        <v>46330</v>
      </c>
      <c r="G813">
        <f t="shared" ca="1" si="87"/>
        <v>247</v>
      </c>
      <c r="H813" t="str">
        <f t="shared" ca="1" si="88"/>
        <v>Active</v>
      </c>
      <c r="I813">
        <f t="shared" ca="1" si="89"/>
        <v>0</v>
      </c>
      <c r="J813" t="str">
        <f t="shared" si="90"/>
        <v>Environmental</v>
      </c>
    </row>
    <row r="814" spans="1:10">
      <c r="A814" t="str" cm="1">
        <f t="array" ref="A814">INDEX(Vendor_Master!$A$2:$A$401, ROUNDUP((ROW()-1)/4, 0))</f>
        <v>VND-204</v>
      </c>
      <c r="B814" t="str">
        <f t="shared" si="84"/>
        <v>ISO 14001</v>
      </c>
      <c r="C814" t="str">
        <f t="shared" si="85"/>
        <v>Yes</v>
      </c>
      <c r="D814" t="str">
        <f t="shared" si="86"/>
        <v>Yes</v>
      </c>
      <c r="E814" s="1">
        <v>45473</v>
      </c>
      <c r="F814" s="1">
        <v>46279</v>
      </c>
      <c r="G814">
        <f t="shared" ca="1" si="87"/>
        <v>196</v>
      </c>
      <c r="H814" t="str">
        <f t="shared" ca="1" si="88"/>
        <v>Active</v>
      </c>
      <c r="I814">
        <f t="shared" ca="1" si="89"/>
        <v>0</v>
      </c>
      <c r="J814" t="str">
        <f t="shared" si="90"/>
        <v>Environmental</v>
      </c>
    </row>
    <row r="815" spans="1:10">
      <c r="A815" t="str" cm="1">
        <f t="array" ref="A815">INDEX(Vendor_Master!$A$2:$A$401, ROUNDUP((ROW()-1)/4, 0))</f>
        <v>VND-204</v>
      </c>
      <c r="B815" t="str">
        <f t="shared" si="84"/>
        <v>Safety Certificate</v>
      </c>
      <c r="C815" t="str">
        <f t="shared" si="85"/>
        <v>Yes</v>
      </c>
      <c r="D815" t="str">
        <f t="shared" si="86"/>
        <v>Yes</v>
      </c>
      <c r="E815" s="1">
        <v>45654</v>
      </c>
      <c r="F815" s="1">
        <v>46378</v>
      </c>
      <c r="G815">
        <f t="shared" ca="1" si="87"/>
        <v>295</v>
      </c>
      <c r="H815" t="str">
        <f t="shared" ca="1" si="88"/>
        <v>Active</v>
      </c>
      <c r="I815">
        <f t="shared" ca="1" si="89"/>
        <v>0</v>
      </c>
      <c r="J815" t="str">
        <f t="shared" si="90"/>
        <v>Safety</v>
      </c>
    </row>
    <row r="816" spans="1:10">
      <c r="A816" t="str" cm="1">
        <f t="array" ref="A816">INDEX(Vendor_Master!$A$2:$A$401, ROUNDUP((ROW()-1)/4, 0))</f>
        <v>VND-204</v>
      </c>
      <c r="B816" t="str">
        <f t="shared" si="84"/>
        <v>Environmental Policy</v>
      </c>
      <c r="C816" t="str">
        <f t="shared" si="85"/>
        <v>Yes</v>
      </c>
      <c r="D816" t="str">
        <f t="shared" si="86"/>
        <v>Yes</v>
      </c>
      <c r="E816" s="1">
        <v>46052</v>
      </c>
      <c r="F816" s="1">
        <v>46518</v>
      </c>
      <c r="G816">
        <f t="shared" ca="1" si="87"/>
        <v>435</v>
      </c>
      <c r="H816" t="str">
        <f t="shared" ca="1" si="88"/>
        <v>Active</v>
      </c>
      <c r="I816">
        <f t="shared" ca="1" si="89"/>
        <v>0</v>
      </c>
      <c r="J816" t="str">
        <f t="shared" si="90"/>
        <v>Environmental</v>
      </c>
    </row>
    <row r="817" spans="1:10">
      <c r="A817" t="str" cm="1">
        <f t="array" ref="A817">INDEX(Vendor_Master!$A$2:$A$401, ROUNDUP((ROW()-1)/4, 0))</f>
        <v>VND-204</v>
      </c>
      <c r="B817" t="str">
        <f t="shared" si="84"/>
        <v>Sustainability Disclosure</v>
      </c>
      <c r="C817" t="str">
        <f t="shared" si="85"/>
        <v>Yes</v>
      </c>
      <c r="D817" t="str">
        <f t="shared" si="86"/>
        <v>Yes</v>
      </c>
      <c r="E817" s="1">
        <v>45455</v>
      </c>
      <c r="F817" s="1">
        <v>46282</v>
      </c>
      <c r="G817">
        <f t="shared" ca="1" si="87"/>
        <v>199</v>
      </c>
      <c r="H817" t="str">
        <f t="shared" ca="1" si="88"/>
        <v>Active</v>
      </c>
      <c r="I817">
        <f t="shared" ca="1" si="89"/>
        <v>0</v>
      </c>
      <c r="J817" t="str">
        <f t="shared" si="90"/>
        <v>Environmental</v>
      </c>
    </row>
    <row r="818" spans="1:10">
      <c r="A818" t="str" cm="1">
        <f t="array" ref="A818">INDEX(Vendor_Master!$A$2:$A$401, ROUNDUP((ROW()-1)/4, 0))</f>
        <v>VND-205</v>
      </c>
      <c r="B818" t="str">
        <f t="shared" si="84"/>
        <v>ISO 14001</v>
      </c>
      <c r="C818" t="str">
        <f t="shared" si="85"/>
        <v>Yes</v>
      </c>
      <c r="D818" t="str">
        <f t="shared" si="86"/>
        <v>Yes</v>
      </c>
      <c r="E818" s="1">
        <v>45664</v>
      </c>
      <c r="F818" s="1">
        <v>46967</v>
      </c>
      <c r="G818">
        <f t="shared" ca="1" si="87"/>
        <v>884</v>
      </c>
      <c r="H818" t="str">
        <f t="shared" ca="1" si="88"/>
        <v>Active</v>
      </c>
      <c r="I818">
        <f t="shared" ca="1" si="89"/>
        <v>0</v>
      </c>
      <c r="J818" t="str">
        <f t="shared" si="90"/>
        <v>Environmental</v>
      </c>
    </row>
    <row r="819" spans="1:10">
      <c r="A819" t="str" cm="1">
        <f t="array" ref="A819">INDEX(Vendor_Master!$A$2:$A$401, ROUNDUP((ROW()-1)/4, 0))</f>
        <v>VND-205</v>
      </c>
      <c r="B819" t="str">
        <f t="shared" si="84"/>
        <v>Safety Certificate</v>
      </c>
      <c r="C819" t="str">
        <f t="shared" si="85"/>
        <v>Yes</v>
      </c>
      <c r="D819" t="str">
        <f t="shared" si="86"/>
        <v>Yes</v>
      </c>
      <c r="E819" s="1">
        <v>45410</v>
      </c>
      <c r="F819" s="1">
        <v>46764</v>
      </c>
      <c r="G819">
        <f t="shared" ca="1" si="87"/>
        <v>681</v>
      </c>
      <c r="H819" t="str">
        <f t="shared" ca="1" si="88"/>
        <v>Active</v>
      </c>
      <c r="I819">
        <f t="shared" ca="1" si="89"/>
        <v>0</v>
      </c>
      <c r="J819" t="str">
        <f t="shared" si="90"/>
        <v>Safety</v>
      </c>
    </row>
    <row r="820" spans="1:10">
      <c r="A820" t="str" cm="1">
        <f t="array" ref="A820">INDEX(Vendor_Master!$A$2:$A$401, ROUNDUP((ROW()-1)/4, 0))</f>
        <v>VND-205</v>
      </c>
      <c r="B820" t="str">
        <f t="shared" si="84"/>
        <v>Environmental Policy</v>
      </c>
      <c r="C820" t="str">
        <f t="shared" si="85"/>
        <v>Yes</v>
      </c>
      <c r="D820" t="str">
        <f t="shared" si="86"/>
        <v>Yes</v>
      </c>
      <c r="E820" s="1">
        <v>45989</v>
      </c>
      <c r="F820" s="1">
        <v>46827</v>
      </c>
      <c r="G820">
        <f t="shared" ca="1" si="87"/>
        <v>744</v>
      </c>
      <c r="H820" t="str">
        <f t="shared" ca="1" si="88"/>
        <v>Active</v>
      </c>
      <c r="I820">
        <f t="shared" ca="1" si="89"/>
        <v>0</v>
      </c>
      <c r="J820" t="str">
        <f t="shared" si="90"/>
        <v>Environmental</v>
      </c>
    </row>
    <row r="821" spans="1:10">
      <c r="A821" t="str" cm="1">
        <f t="array" ref="A821">INDEX(Vendor_Master!$A$2:$A$401, ROUNDUP((ROW()-1)/4, 0))</f>
        <v>VND-205</v>
      </c>
      <c r="B821" t="str">
        <f t="shared" si="84"/>
        <v>Sustainability Disclosure</v>
      </c>
      <c r="C821" t="str">
        <f t="shared" si="85"/>
        <v>Yes</v>
      </c>
      <c r="D821" t="str">
        <f t="shared" si="86"/>
        <v>Yes</v>
      </c>
      <c r="E821" s="1">
        <v>45616</v>
      </c>
      <c r="F821" s="1">
        <v>46831</v>
      </c>
      <c r="G821">
        <f t="shared" ca="1" si="87"/>
        <v>748</v>
      </c>
      <c r="H821" t="str">
        <f t="shared" ca="1" si="88"/>
        <v>Active</v>
      </c>
      <c r="I821">
        <f t="shared" ca="1" si="89"/>
        <v>0</v>
      </c>
      <c r="J821" t="str">
        <f t="shared" si="90"/>
        <v>Environmental</v>
      </c>
    </row>
    <row r="822" spans="1:10">
      <c r="A822" t="str" cm="1">
        <f t="array" ref="A822">INDEX(Vendor_Master!$A$2:$A$401, ROUNDUP((ROW()-1)/4, 0))</f>
        <v>VND-206</v>
      </c>
      <c r="B822" t="str">
        <f t="shared" si="84"/>
        <v>ISO 14001</v>
      </c>
      <c r="C822" t="str">
        <f t="shared" si="85"/>
        <v>Yes</v>
      </c>
      <c r="D822" t="str">
        <f t="shared" si="86"/>
        <v>Yes</v>
      </c>
      <c r="E822" s="1">
        <v>45976</v>
      </c>
      <c r="F822" s="1">
        <v>46923</v>
      </c>
      <c r="G822">
        <f t="shared" ca="1" si="87"/>
        <v>840</v>
      </c>
      <c r="H822" t="str">
        <f t="shared" ca="1" si="88"/>
        <v>Active</v>
      </c>
      <c r="I822">
        <f t="shared" ca="1" si="89"/>
        <v>0</v>
      </c>
      <c r="J822" t="str">
        <f t="shared" si="90"/>
        <v>Environmental</v>
      </c>
    </row>
    <row r="823" spans="1:10">
      <c r="A823" t="str" cm="1">
        <f t="array" ref="A823">INDEX(Vendor_Master!$A$2:$A$401, ROUNDUP((ROW()-1)/4, 0))</f>
        <v>VND-206</v>
      </c>
      <c r="B823" t="str">
        <f t="shared" si="84"/>
        <v>Safety Certificate</v>
      </c>
      <c r="C823" t="str">
        <f t="shared" si="85"/>
        <v>Yes</v>
      </c>
      <c r="D823" t="str">
        <f t="shared" si="86"/>
        <v>Yes</v>
      </c>
      <c r="E823" s="1">
        <v>45601</v>
      </c>
      <c r="F823" s="1">
        <v>46298</v>
      </c>
      <c r="G823">
        <f t="shared" ca="1" si="87"/>
        <v>215</v>
      </c>
      <c r="H823" t="str">
        <f t="shared" ca="1" si="88"/>
        <v>Active</v>
      </c>
      <c r="I823">
        <f t="shared" ca="1" si="89"/>
        <v>0</v>
      </c>
      <c r="J823" t="str">
        <f t="shared" si="90"/>
        <v>Safety</v>
      </c>
    </row>
    <row r="824" spans="1:10">
      <c r="A824" t="str" cm="1">
        <f t="array" ref="A824">INDEX(Vendor_Master!$A$2:$A$401, ROUNDUP((ROW()-1)/4, 0))</f>
        <v>VND-206</v>
      </c>
      <c r="B824" t="str">
        <f t="shared" si="84"/>
        <v>Environmental Policy</v>
      </c>
      <c r="C824" t="str">
        <f t="shared" si="85"/>
        <v>Yes</v>
      </c>
      <c r="D824" t="str">
        <f t="shared" si="86"/>
        <v>Yes</v>
      </c>
      <c r="E824" s="1">
        <v>45505</v>
      </c>
      <c r="F824" s="1">
        <v>46808</v>
      </c>
      <c r="G824">
        <f t="shared" ca="1" si="87"/>
        <v>725</v>
      </c>
      <c r="H824" t="str">
        <f t="shared" ca="1" si="88"/>
        <v>Active</v>
      </c>
      <c r="I824">
        <f t="shared" ca="1" si="89"/>
        <v>0</v>
      </c>
      <c r="J824" t="str">
        <f t="shared" si="90"/>
        <v>Environmental</v>
      </c>
    </row>
    <row r="825" spans="1:10">
      <c r="A825" t="str" cm="1">
        <f t="array" ref="A825">INDEX(Vendor_Master!$A$2:$A$401, ROUNDUP((ROW()-1)/4, 0))</f>
        <v>VND-206</v>
      </c>
      <c r="B825" t="str">
        <f t="shared" si="84"/>
        <v>Sustainability Disclosure</v>
      </c>
      <c r="C825" t="str">
        <f t="shared" si="85"/>
        <v>Yes</v>
      </c>
      <c r="D825" t="str">
        <f t="shared" si="86"/>
        <v>Yes</v>
      </c>
      <c r="E825" s="1">
        <v>45948</v>
      </c>
      <c r="F825" s="1">
        <v>46532</v>
      </c>
      <c r="G825">
        <f t="shared" ca="1" si="87"/>
        <v>449</v>
      </c>
      <c r="H825" t="str">
        <f t="shared" ca="1" si="88"/>
        <v>Active</v>
      </c>
      <c r="I825">
        <f t="shared" ca="1" si="89"/>
        <v>0</v>
      </c>
      <c r="J825" t="str">
        <f t="shared" si="90"/>
        <v>Environmental</v>
      </c>
    </row>
    <row r="826" spans="1:10">
      <c r="A826" t="str" cm="1">
        <f t="array" ref="A826">INDEX(Vendor_Master!$A$2:$A$401, ROUNDUP((ROW()-1)/4, 0))</f>
        <v>VND-207</v>
      </c>
      <c r="B826" t="str">
        <f t="shared" si="84"/>
        <v>ISO 14001</v>
      </c>
      <c r="C826" t="str">
        <f t="shared" si="85"/>
        <v>Yes</v>
      </c>
      <c r="D826" t="str">
        <f t="shared" si="86"/>
        <v>Yes</v>
      </c>
      <c r="E826" s="1">
        <v>45401</v>
      </c>
      <c r="F826" s="1">
        <v>46307</v>
      </c>
      <c r="G826">
        <f t="shared" ca="1" si="87"/>
        <v>224</v>
      </c>
      <c r="H826" t="str">
        <f t="shared" ca="1" si="88"/>
        <v>Active</v>
      </c>
      <c r="I826">
        <f t="shared" ca="1" si="89"/>
        <v>0</v>
      </c>
      <c r="J826" t="str">
        <f t="shared" si="90"/>
        <v>Environmental</v>
      </c>
    </row>
    <row r="827" spans="1:10">
      <c r="A827" t="str" cm="1">
        <f t="array" ref="A827">INDEX(Vendor_Master!$A$2:$A$401, ROUNDUP((ROW()-1)/4, 0))</f>
        <v>VND-207</v>
      </c>
      <c r="B827" t="str">
        <f t="shared" si="84"/>
        <v>Safety Certificate</v>
      </c>
      <c r="C827" t="str">
        <f t="shared" si="85"/>
        <v>Yes</v>
      </c>
      <c r="D827" t="str">
        <f t="shared" si="86"/>
        <v>Yes</v>
      </c>
      <c r="E827" s="1">
        <v>45751</v>
      </c>
      <c r="F827" s="1">
        <v>46527</v>
      </c>
      <c r="G827">
        <f t="shared" ca="1" si="87"/>
        <v>444</v>
      </c>
      <c r="H827" t="str">
        <f t="shared" ca="1" si="88"/>
        <v>Active</v>
      </c>
      <c r="I827">
        <f t="shared" ca="1" si="89"/>
        <v>0</v>
      </c>
      <c r="J827" t="str">
        <f t="shared" si="90"/>
        <v>Safety</v>
      </c>
    </row>
    <row r="828" spans="1:10">
      <c r="A828" t="str" cm="1">
        <f t="array" ref="A828">INDEX(Vendor_Master!$A$2:$A$401, ROUNDUP((ROW()-1)/4, 0))</f>
        <v>VND-207</v>
      </c>
      <c r="B828" t="str">
        <f t="shared" si="84"/>
        <v>Environmental Policy</v>
      </c>
      <c r="C828" t="str">
        <f t="shared" si="85"/>
        <v>Yes</v>
      </c>
      <c r="D828" t="str">
        <f t="shared" si="86"/>
        <v>Yes</v>
      </c>
      <c r="E828" s="1">
        <v>45863</v>
      </c>
      <c r="F828" s="1">
        <v>46631</v>
      </c>
      <c r="G828">
        <f t="shared" ca="1" si="87"/>
        <v>548</v>
      </c>
      <c r="H828" t="str">
        <f t="shared" ca="1" si="88"/>
        <v>Active</v>
      </c>
      <c r="I828">
        <f t="shared" ca="1" si="89"/>
        <v>0</v>
      </c>
      <c r="J828" t="str">
        <f t="shared" si="90"/>
        <v>Environmental</v>
      </c>
    </row>
    <row r="829" spans="1:10">
      <c r="A829" t="str" cm="1">
        <f t="array" ref="A829">INDEX(Vendor_Master!$A$2:$A$401, ROUNDUP((ROW()-1)/4, 0))</f>
        <v>VND-207</v>
      </c>
      <c r="B829" t="str">
        <f t="shared" si="84"/>
        <v>Sustainability Disclosure</v>
      </c>
      <c r="C829" t="str">
        <f t="shared" si="85"/>
        <v>Yes</v>
      </c>
      <c r="D829" t="str">
        <f t="shared" si="86"/>
        <v>Yes</v>
      </c>
      <c r="E829" s="1">
        <v>45968</v>
      </c>
      <c r="F829" s="1">
        <v>46517</v>
      </c>
      <c r="G829">
        <f t="shared" ca="1" si="87"/>
        <v>434</v>
      </c>
      <c r="H829" t="str">
        <f t="shared" ca="1" si="88"/>
        <v>Active</v>
      </c>
      <c r="I829">
        <f t="shared" ca="1" si="89"/>
        <v>0</v>
      </c>
      <c r="J829" t="str">
        <f t="shared" si="90"/>
        <v>Environmental</v>
      </c>
    </row>
    <row r="830" spans="1:10">
      <c r="A830" t="str" cm="1">
        <f t="array" ref="A830">INDEX(Vendor_Master!$A$2:$A$401, ROUNDUP((ROW()-1)/4, 0))</f>
        <v>VND-208</v>
      </c>
      <c r="B830" t="str">
        <f t="shared" si="84"/>
        <v>ISO 14001</v>
      </c>
      <c r="C830" t="str">
        <f t="shared" si="85"/>
        <v>Yes</v>
      </c>
      <c r="D830" t="str">
        <f t="shared" si="86"/>
        <v>Yes</v>
      </c>
      <c r="E830" s="1">
        <v>45636</v>
      </c>
      <c r="F830" s="1">
        <v>46689</v>
      </c>
      <c r="G830">
        <f t="shared" ca="1" si="87"/>
        <v>606</v>
      </c>
      <c r="H830" t="str">
        <f t="shared" ca="1" si="88"/>
        <v>Active</v>
      </c>
      <c r="I830">
        <f t="shared" ca="1" si="89"/>
        <v>0</v>
      </c>
      <c r="J830" t="str">
        <f t="shared" si="90"/>
        <v>Environmental</v>
      </c>
    </row>
    <row r="831" spans="1:10">
      <c r="A831" t="str" cm="1">
        <f t="array" ref="A831">INDEX(Vendor_Master!$A$2:$A$401, ROUNDUP((ROW()-1)/4, 0))</f>
        <v>VND-208</v>
      </c>
      <c r="B831" t="str">
        <f t="shared" si="84"/>
        <v>Safety Certificate</v>
      </c>
      <c r="C831" t="str">
        <f t="shared" si="85"/>
        <v>Yes</v>
      </c>
      <c r="D831" t="str">
        <f t="shared" si="86"/>
        <v>Yes</v>
      </c>
      <c r="E831" s="1">
        <v>45607</v>
      </c>
      <c r="F831" s="1">
        <v>46315</v>
      </c>
      <c r="G831">
        <f t="shared" ca="1" si="87"/>
        <v>232</v>
      </c>
      <c r="H831" t="str">
        <f t="shared" ca="1" si="88"/>
        <v>Active</v>
      </c>
      <c r="I831">
        <f t="shared" ca="1" si="89"/>
        <v>0</v>
      </c>
      <c r="J831" t="str">
        <f t="shared" si="90"/>
        <v>Safety</v>
      </c>
    </row>
    <row r="832" spans="1:10">
      <c r="A832" t="str" cm="1">
        <f t="array" ref="A832">INDEX(Vendor_Master!$A$2:$A$401, ROUNDUP((ROW()-1)/4, 0))</f>
        <v>VND-208</v>
      </c>
      <c r="B832" t="str">
        <f t="shared" si="84"/>
        <v>Environmental Policy</v>
      </c>
      <c r="C832" t="str">
        <f t="shared" si="85"/>
        <v>Yes</v>
      </c>
      <c r="D832" t="str">
        <f t="shared" si="86"/>
        <v>Yes</v>
      </c>
      <c r="E832" s="1">
        <v>45656</v>
      </c>
      <c r="F832" s="1">
        <v>46830</v>
      </c>
      <c r="G832">
        <f t="shared" ca="1" si="87"/>
        <v>747</v>
      </c>
      <c r="H832" t="str">
        <f t="shared" ca="1" si="88"/>
        <v>Active</v>
      </c>
      <c r="I832">
        <f t="shared" ca="1" si="89"/>
        <v>0</v>
      </c>
      <c r="J832" t="str">
        <f t="shared" si="90"/>
        <v>Environmental</v>
      </c>
    </row>
    <row r="833" spans="1:10">
      <c r="A833" t="str" cm="1">
        <f t="array" ref="A833">INDEX(Vendor_Master!$A$2:$A$401, ROUNDUP((ROW()-1)/4, 0))</f>
        <v>VND-208</v>
      </c>
      <c r="B833" t="str">
        <f t="shared" si="84"/>
        <v>Sustainability Disclosure</v>
      </c>
      <c r="C833" t="str">
        <f t="shared" si="85"/>
        <v>Yes</v>
      </c>
      <c r="D833" t="str">
        <f t="shared" si="86"/>
        <v>Yes</v>
      </c>
      <c r="E833" s="1">
        <v>45563</v>
      </c>
      <c r="F833" s="1">
        <v>46752</v>
      </c>
      <c r="G833">
        <f t="shared" ca="1" si="87"/>
        <v>669</v>
      </c>
      <c r="H833" t="str">
        <f t="shared" ca="1" si="88"/>
        <v>Active</v>
      </c>
      <c r="I833">
        <f t="shared" ca="1" si="89"/>
        <v>0</v>
      </c>
      <c r="J833" t="str">
        <f t="shared" si="90"/>
        <v>Environmental</v>
      </c>
    </row>
    <row r="834" spans="1:10">
      <c r="A834" t="str" cm="1">
        <f t="array" ref="A834">INDEX(Vendor_Master!$A$2:$A$401, ROUNDUP((ROW()-1)/4, 0))</f>
        <v>VND-209</v>
      </c>
      <c r="B834" t="str">
        <f t="shared" si="84"/>
        <v>ISO 14001</v>
      </c>
      <c r="C834" t="str">
        <f t="shared" si="85"/>
        <v>Yes</v>
      </c>
      <c r="D834" t="str">
        <f t="shared" si="86"/>
        <v>Yes</v>
      </c>
      <c r="E834" s="1">
        <v>45458</v>
      </c>
      <c r="F834" s="1">
        <v>46238</v>
      </c>
      <c r="G834">
        <f t="shared" ca="1" si="87"/>
        <v>155</v>
      </c>
      <c r="H834" t="str">
        <f t="shared" ca="1" si="88"/>
        <v>Active</v>
      </c>
      <c r="I834">
        <f t="shared" ca="1" si="89"/>
        <v>0</v>
      </c>
      <c r="J834" t="str">
        <f t="shared" si="90"/>
        <v>Environmental</v>
      </c>
    </row>
    <row r="835" spans="1:10">
      <c r="A835" t="str" cm="1">
        <f t="array" ref="A835">INDEX(Vendor_Master!$A$2:$A$401, ROUNDUP((ROW()-1)/4, 0))</f>
        <v>VND-209</v>
      </c>
      <c r="B835" t="str">
        <f t="shared" ref="B835:B897" si="91">CHOOSE(MOD(ROW()-2,4)+1,"ISO 14001","Safety Certificate","Environmental Policy","Sustainability Disclosure")</f>
        <v>Safety Certificate</v>
      </c>
      <c r="C835" t="str">
        <f t="shared" ref="C835:C897" si="92">"Yes"</f>
        <v>Yes</v>
      </c>
      <c r="D835" t="str">
        <f t="shared" ref="D835:D897" si="93">IF(ROW()-1&lt;=1280,"Yes","No")</f>
        <v>Yes</v>
      </c>
      <c r="E835" s="1">
        <v>45831</v>
      </c>
      <c r="F835" s="1">
        <v>46291</v>
      </c>
      <c r="G835">
        <f t="shared" ref="G835:G897" ca="1" si="94">IF($F835="","",$F835-TODAY())</f>
        <v>208</v>
      </c>
      <c r="H835" t="str">
        <f t="shared" ref="H835:H897" ca="1" si="95">IF($C835="No","Not Required",
IF($D835="No","Missing",
IF($F835&lt;TODAY(),"Expired",
IF($F835&lt;=TODAY()+30,"Expiring Soon","Active"))))</f>
        <v>Active</v>
      </c>
      <c r="I835">
        <f t="shared" ref="I835:I897" ca="1" si="96">IF(OR($H835="Missing",$H835="Expired",$H835="Expiring Soon"),1,0)</f>
        <v>0</v>
      </c>
      <c r="J835" t="str">
        <f t="shared" ref="J835:J898" si="97">IF(B835="ISO 14001","Environmental",
 IF(B835="Environmental Policy","Environmental",
 IF(B835="Sustainability Disclosure","Environmental",
 IF(B835="Safety Certificate","Safety","Regulatory"))))</f>
        <v>Safety</v>
      </c>
    </row>
    <row r="836" spans="1:10">
      <c r="A836" t="str" cm="1">
        <f t="array" ref="A836">INDEX(Vendor_Master!$A$2:$A$401, ROUNDUP((ROW()-1)/4, 0))</f>
        <v>VND-209</v>
      </c>
      <c r="B836" t="str">
        <f t="shared" si="91"/>
        <v>Environmental Policy</v>
      </c>
      <c r="C836" t="str">
        <f t="shared" si="92"/>
        <v>Yes</v>
      </c>
      <c r="D836" t="str">
        <f t="shared" si="93"/>
        <v>Yes</v>
      </c>
      <c r="E836" s="1">
        <v>46037</v>
      </c>
      <c r="F836" s="1">
        <v>46637</v>
      </c>
      <c r="G836">
        <f t="shared" ca="1" si="94"/>
        <v>554</v>
      </c>
      <c r="H836" t="str">
        <f t="shared" ca="1" si="95"/>
        <v>Active</v>
      </c>
      <c r="I836">
        <f t="shared" ca="1" si="96"/>
        <v>0</v>
      </c>
      <c r="J836" t="str">
        <f t="shared" si="97"/>
        <v>Environmental</v>
      </c>
    </row>
    <row r="837" spans="1:10">
      <c r="A837" t="str" cm="1">
        <f t="array" ref="A837">INDEX(Vendor_Master!$A$2:$A$401, ROUNDUP((ROW()-1)/4, 0))</f>
        <v>VND-209</v>
      </c>
      <c r="B837" t="str">
        <f t="shared" si="91"/>
        <v>Sustainability Disclosure</v>
      </c>
      <c r="C837" t="str">
        <f t="shared" si="92"/>
        <v>Yes</v>
      </c>
      <c r="D837" t="str">
        <f t="shared" si="93"/>
        <v>Yes</v>
      </c>
      <c r="E837" s="1">
        <v>46047</v>
      </c>
      <c r="F837" s="1">
        <v>46608</v>
      </c>
      <c r="G837">
        <f t="shared" ca="1" si="94"/>
        <v>525</v>
      </c>
      <c r="H837" t="str">
        <f t="shared" ca="1" si="95"/>
        <v>Active</v>
      </c>
      <c r="I837">
        <f t="shared" ca="1" si="96"/>
        <v>0</v>
      </c>
      <c r="J837" t="str">
        <f t="shared" si="97"/>
        <v>Environmental</v>
      </c>
    </row>
    <row r="838" spans="1:10">
      <c r="A838" t="str" cm="1">
        <f t="array" ref="A838">INDEX(Vendor_Master!$A$2:$A$401, ROUNDUP((ROW()-1)/4, 0))</f>
        <v>VND-210</v>
      </c>
      <c r="B838" t="str">
        <f t="shared" si="91"/>
        <v>ISO 14001</v>
      </c>
      <c r="C838" t="str">
        <f t="shared" si="92"/>
        <v>Yes</v>
      </c>
      <c r="D838" t="str">
        <f t="shared" si="93"/>
        <v>Yes</v>
      </c>
      <c r="E838" s="1">
        <v>45562</v>
      </c>
      <c r="F838" s="1">
        <v>46783</v>
      </c>
      <c r="G838">
        <f t="shared" ca="1" si="94"/>
        <v>700</v>
      </c>
      <c r="H838" t="str">
        <f t="shared" ca="1" si="95"/>
        <v>Active</v>
      </c>
      <c r="I838">
        <f t="shared" ca="1" si="96"/>
        <v>0</v>
      </c>
      <c r="J838" t="str">
        <f t="shared" si="97"/>
        <v>Environmental</v>
      </c>
    </row>
    <row r="839" spans="1:10">
      <c r="A839" t="str" cm="1">
        <f t="array" ref="A839">INDEX(Vendor_Master!$A$2:$A$401, ROUNDUP((ROW()-1)/4, 0))</f>
        <v>VND-210</v>
      </c>
      <c r="B839" t="str">
        <f t="shared" si="91"/>
        <v>Safety Certificate</v>
      </c>
      <c r="C839" t="str">
        <f t="shared" si="92"/>
        <v>Yes</v>
      </c>
      <c r="D839" t="str">
        <f t="shared" si="93"/>
        <v>Yes</v>
      </c>
      <c r="E839" s="1">
        <v>45666</v>
      </c>
      <c r="F839" s="1">
        <v>46607</v>
      </c>
      <c r="G839">
        <f t="shared" ca="1" si="94"/>
        <v>524</v>
      </c>
      <c r="H839" t="str">
        <f t="shared" ca="1" si="95"/>
        <v>Active</v>
      </c>
      <c r="I839">
        <f t="shared" ca="1" si="96"/>
        <v>0</v>
      </c>
      <c r="J839" t="str">
        <f t="shared" si="97"/>
        <v>Safety</v>
      </c>
    </row>
    <row r="840" spans="1:10">
      <c r="A840" t="str" cm="1">
        <f t="array" ref="A840">INDEX(Vendor_Master!$A$2:$A$401, ROUNDUP((ROW()-1)/4, 0))</f>
        <v>VND-210</v>
      </c>
      <c r="B840" t="str">
        <f t="shared" si="91"/>
        <v>Environmental Policy</v>
      </c>
      <c r="C840" t="str">
        <f t="shared" si="92"/>
        <v>Yes</v>
      </c>
      <c r="D840" t="str">
        <f t="shared" si="93"/>
        <v>Yes</v>
      </c>
      <c r="E840" s="1">
        <v>45792</v>
      </c>
      <c r="F840" s="1">
        <v>46255</v>
      </c>
      <c r="G840">
        <f t="shared" ca="1" si="94"/>
        <v>172</v>
      </c>
      <c r="H840" t="str">
        <f t="shared" ca="1" si="95"/>
        <v>Active</v>
      </c>
      <c r="I840">
        <f t="shared" ca="1" si="96"/>
        <v>0</v>
      </c>
      <c r="J840" t="str">
        <f t="shared" si="97"/>
        <v>Environmental</v>
      </c>
    </row>
    <row r="841" spans="1:10">
      <c r="A841" t="str" cm="1">
        <f t="array" ref="A841">INDEX(Vendor_Master!$A$2:$A$401, ROUNDUP((ROW()-1)/4, 0))</f>
        <v>VND-210</v>
      </c>
      <c r="B841" t="str">
        <f t="shared" si="91"/>
        <v>Sustainability Disclosure</v>
      </c>
      <c r="C841" t="str">
        <f t="shared" si="92"/>
        <v>Yes</v>
      </c>
      <c r="D841" t="str">
        <f t="shared" si="93"/>
        <v>Yes</v>
      </c>
      <c r="E841" s="1">
        <v>45858</v>
      </c>
      <c r="F841" s="1">
        <v>46627</v>
      </c>
      <c r="G841">
        <f t="shared" ca="1" si="94"/>
        <v>544</v>
      </c>
      <c r="H841" t="str">
        <f t="shared" ca="1" si="95"/>
        <v>Active</v>
      </c>
      <c r="I841">
        <f t="shared" ca="1" si="96"/>
        <v>0</v>
      </c>
      <c r="J841" t="str">
        <f t="shared" si="97"/>
        <v>Environmental</v>
      </c>
    </row>
    <row r="842" spans="1:10">
      <c r="A842" t="str" cm="1">
        <f t="array" ref="A842">INDEX(Vendor_Master!$A$2:$A$401, ROUNDUP((ROW()-1)/4, 0))</f>
        <v>VND-211</v>
      </c>
      <c r="B842" t="str">
        <f t="shared" si="91"/>
        <v>ISO 14001</v>
      </c>
      <c r="C842" t="str">
        <f t="shared" si="92"/>
        <v>Yes</v>
      </c>
      <c r="D842" t="str">
        <f t="shared" si="93"/>
        <v>Yes</v>
      </c>
      <c r="E842" s="1">
        <v>45947</v>
      </c>
      <c r="F842" s="1">
        <v>46511</v>
      </c>
      <c r="G842">
        <f t="shared" ca="1" si="94"/>
        <v>428</v>
      </c>
      <c r="H842" t="str">
        <f t="shared" ca="1" si="95"/>
        <v>Active</v>
      </c>
      <c r="I842">
        <f t="shared" ca="1" si="96"/>
        <v>0</v>
      </c>
      <c r="J842" t="str">
        <f t="shared" si="97"/>
        <v>Environmental</v>
      </c>
    </row>
    <row r="843" spans="1:10">
      <c r="A843" t="str" cm="1">
        <f t="array" ref="A843">INDEX(Vendor_Master!$A$2:$A$401, ROUNDUP((ROW()-1)/4, 0))</f>
        <v>VND-211</v>
      </c>
      <c r="B843" t="str">
        <f t="shared" si="91"/>
        <v>Safety Certificate</v>
      </c>
      <c r="C843" t="str">
        <f t="shared" si="92"/>
        <v>Yes</v>
      </c>
      <c r="D843" t="str">
        <f t="shared" si="93"/>
        <v>Yes</v>
      </c>
      <c r="E843" s="1">
        <v>45667</v>
      </c>
      <c r="F843" s="1">
        <v>46658</v>
      </c>
      <c r="G843">
        <f t="shared" ca="1" si="94"/>
        <v>575</v>
      </c>
      <c r="H843" t="str">
        <f t="shared" ca="1" si="95"/>
        <v>Active</v>
      </c>
      <c r="I843">
        <f t="shared" ca="1" si="96"/>
        <v>0</v>
      </c>
      <c r="J843" t="str">
        <f t="shared" si="97"/>
        <v>Safety</v>
      </c>
    </row>
    <row r="844" spans="1:10">
      <c r="A844" t="str" cm="1">
        <f t="array" ref="A844">INDEX(Vendor_Master!$A$2:$A$401, ROUNDUP((ROW()-1)/4, 0))</f>
        <v>VND-211</v>
      </c>
      <c r="B844" t="str">
        <f t="shared" si="91"/>
        <v>Environmental Policy</v>
      </c>
      <c r="C844" t="str">
        <f t="shared" si="92"/>
        <v>Yes</v>
      </c>
      <c r="D844" t="str">
        <f t="shared" si="93"/>
        <v>Yes</v>
      </c>
      <c r="E844" s="1">
        <v>45781</v>
      </c>
      <c r="F844" s="1">
        <v>46405</v>
      </c>
      <c r="G844">
        <f t="shared" ca="1" si="94"/>
        <v>322</v>
      </c>
      <c r="H844" t="str">
        <f t="shared" ca="1" si="95"/>
        <v>Active</v>
      </c>
      <c r="I844">
        <f t="shared" ca="1" si="96"/>
        <v>0</v>
      </c>
      <c r="J844" t="str">
        <f t="shared" si="97"/>
        <v>Environmental</v>
      </c>
    </row>
    <row r="845" spans="1:10">
      <c r="A845" t="str" cm="1">
        <f t="array" ref="A845">INDEX(Vendor_Master!$A$2:$A$401, ROUNDUP((ROW()-1)/4, 0))</f>
        <v>VND-211</v>
      </c>
      <c r="B845" t="str">
        <f t="shared" si="91"/>
        <v>Sustainability Disclosure</v>
      </c>
      <c r="C845" t="str">
        <f t="shared" si="92"/>
        <v>Yes</v>
      </c>
      <c r="D845" t="str">
        <f t="shared" si="93"/>
        <v>Yes</v>
      </c>
      <c r="E845" s="1">
        <v>46018</v>
      </c>
      <c r="F845" s="1">
        <v>46751</v>
      </c>
      <c r="G845">
        <f t="shared" ca="1" si="94"/>
        <v>668</v>
      </c>
      <c r="H845" t="str">
        <f t="shared" ca="1" si="95"/>
        <v>Active</v>
      </c>
      <c r="I845">
        <f t="shared" ca="1" si="96"/>
        <v>0</v>
      </c>
      <c r="J845" t="str">
        <f t="shared" si="97"/>
        <v>Environmental</v>
      </c>
    </row>
    <row r="846" spans="1:10">
      <c r="A846" t="str" cm="1">
        <f t="array" ref="A846">INDEX(Vendor_Master!$A$2:$A$401, ROUNDUP((ROW()-1)/4, 0))</f>
        <v>VND-212</v>
      </c>
      <c r="B846" t="str">
        <f t="shared" si="91"/>
        <v>ISO 14001</v>
      </c>
      <c r="C846" t="str">
        <f t="shared" si="92"/>
        <v>Yes</v>
      </c>
      <c r="D846" t="str">
        <f t="shared" si="93"/>
        <v>Yes</v>
      </c>
      <c r="E846" s="1">
        <v>45902</v>
      </c>
      <c r="F846" s="1">
        <v>46666</v>
      </c>
      <c r="G846">
        <f t="shared" ca="1" si="94"/>
        <v>583</v>
      </c>
      <c r="H846" t="str">
        <f t="shared" ca="1" si="95"/>
        <v>Active</v>
      </c>
      <c r="I846">
        <f t="shared" ca="1" si="96"/>
        <v>0</v>
      </c>
      <c r="J846" t="str">
        <f t="shared" si="97"/>
        <v>Environmental</v>
      </c>
    </row>
    <row r="847" spans="1:10">
      <c r="A847" t="str" cm="1">
        <f t="array" ref="A847">INDEX(Vendor_Master!$A$2:$A$401, ROUNDUP((ROW()-1)/4, 0))</f>
        <v>VND-212</v>
      </c>
      <c r="B847" t="str">
        <f t="shared" si="91"/>
        <v>Safety Certificate</v>
      </c>
      <c r="C847" t="str">
        <f t="shared" si="92"/>
        <v>Yes</v>
      </c>
      <c r="D847" t="str">
        <f t="shared" si="93"/>
        <v>Yes</v>
      </c>
      <c r="E847" s="1">
        <v>45878</v>
      </c>
      <c r="F847" s="1">
        <v>46361</v>
      </c>
      <c r="G847">
        <f t="shared" ca="1" si="94"/>
        <v>278</v>
      </c>
      <c r="H847" t="str">
        <f t="shared" ca="1" si="95"/>
        <v>Active</v>
      </c>
      <c r="I847">
        <f t="shared" ca="1" si="96"/>
        <v>0</v>
      </c>
      <c r="J847" t="str">
        <f t="shared" si="97"/>
        <v>Safety</v>
      </c>
    </row>
    <row r="848" spans="1:10">
      <c r="A848" t="str" cm="1">
        <f t="array" ref="A848">INDEX(Vendor_Master!$A$2:$A$401, ROUNDUP((ROW()-1)/4, 0))</f>
        <v>VND-212</v>
      </c>
      <c r="B848" t="str">
        <f t="shared" si="91"/>
        <v>Environmental Policy</v>
      </c>
      <c r="C848" t="str">
        <f t="shared" si="92"/>
        <v>Yes</v>
      </c>
      <c r="D848" t="str">
        <f t="shared" si="93"/>
        <v>Yes</v>
      </c>
      <c r="E848" s="1">
        <v>45875</v>
      </c>
      <c r="F848" s="1">
        <v>46919</v>
      </c>
      <c r="G848">
        <f t="shared" ca="1" si="94"/>
        <v>836</v>
      </c>
      <c r="H848" t="str">
        <f t="shared" ca="1" si="95"/>
        <v>Active</v>
      </c>
      <c r="I848">
        <f t="shared" ca="1" si="96"/>
        <v>0</v>
      </c>
      <c r="J848" t="str">
        <f t="shared" si="97"/>
        <v>Environmental</v>
      </c>
    </row>
    <row r="849" spans="1:10">
      <c r="A849" t="str" cm="1">
        <f t="array" ref="A849">INDEX(Vendor_Master!$A$2:$A$401, ROUNDUP((ROW()-1)/4, 0))</f>
        <v>VND-212</v>
      </c>
      <c r="B849" t="str">
        <f t="shared" si="91"/>
        <v>Sustainability Disclosure</v>
      </c>
      <c r="C849" t="str">
        <f t="shared" si="92"/>
        <v>Yes</v>
      </c>
      <c r="D849" t="str">
        <f t="shared" si="93"/>
        <v>Yes</v>
      </c>
      <c r="E849" s="1">
        <v>45485</v>
      </c>
      <c r="F849" s="1">
        <v>46781</v>
      </c>
      <c r="G849">
        <f t="shared" ca="1" si="94"/>
        <v>698</v>
      </c>
      <c r="H849" t="str">
        <f t="shared" ca="1" si="95"/>
        <v>Active</v>
      </c>
      <c r="I849">
        <f t="shared" ca="1" si="96"/>
        <v>0</v>
      </c>
      <c r="J849" t="str">
        <f t="shared" si="97"/>
        <v>Environmental</v>
      </c>
    </row>
    <row r="850" spans="1:10">
      <c r="A850" t="str" cm="1">
        <f t="array" ref="A850">INDEX(Vendor_Master!$A$2:$A$401, ROUNDUP((ROW()-1)/4, 0))</f>
        <v>VND-213</v>
      </c>
      <c r="B850" t="str">
        <f t="shared" si="91"/>
        <v>ISO 14001</v>
      </c>
      <c r="C850" t="str">
        <f t="shared" si="92"/>
        <v>Yes</v>
      </c>
      <c r="D850" t="str">
        <f t="shared" si="93"/>
        <v>Yes</v>
      </c>
      <c r="E850" s="1">
        <v>45662</v>
      </c>
      <c r="F850" s="1">
        <v>46886</v>
      </c>
      <c r="G850">
        <f t="shared" ca="1" si="94"/>
        <v>803</v>
      </c>
      <c r="H850" t="str">
        <f t="shared" ca="1" si="95"/>
        <v>Active</v>
      </c>
      <c r="I850">
        <f t="shared" ca="1" si="96"/>
        <v>0</v>
      </c>
      <c r="J850" t="str">
        <f t="shared" si="97"/>
        <v>Environmental</v>
      </c>
    </row>
    <row r="851" spans="1:10">
      <c r="A851" t="str" cm="1">
        <f t="array" ref="A851">INDEX(Vendor_Master!$A$2:$A$401, ROUNDUP((ROW()-1)/4, 0))</f>
        <v>VND-213</v>
      </c>
      <c r="B851" t="str">
        <f t="shared" si="91"/>
        <v>Safety Certificate</v>
      </c>
      <c r="C851" t="str">
        <f t="shared" si="92"/>
        <v>Yes</v>
      </c>
      <c r="D851" t="str">
        <f t="shared" si="93"/>
        <v>Yes</v>
      </c>
      <c r="E851" s="1">
        <v>45823</v>
      </c>
      <c r="F851" s="1">
        <v>46866</v>
      </c>
      <c r="G851">
        <f t="shared" ca="1" si="94"/>
        <v>783</v>
      </c>
      <c r="H851" t="str">
        <f t="shared" ca="1" si="95"/>
        <v>Active</v>
      </c>
      <c r="I851">
        <f t="shared" ca="1" si="96"/>
        <v>0</v>
      </c>
      <c r="J851" t="str">
        <f t="shared" si="97"/>
        <v>Safety</v>
      </c>
    </row>
    <row r="852" spans="1:10">
      <c r="A852" t="str" cm="1">
        <f t="array" ref="A852">INDEX(Vendor_Master!$A$2:$A$401, ROUNDUP((ROW()-1)/4, 0))</f>
        <v>VND-213</v>
      </c>
      <c r="B852" t="str">
        <f t="shared" si="91"/>
        <v>Environmental Policy</v>
      </c>
      <c r="C852" t="str">
        <f t="shared" si="92"/>
        <v>Yes</v>
      </c>
      <c r="D852" t="str">
        <f t="shared" si="93"/>
        <v>Yes</v>
      </c>
      <c r="E852" s="1">
        <v>45850</v>
      </c>
      <c r="F852" s="1">
        <v>46600</v>
      </c>
      <c r="G852">
        <f t="shared" ca="1" si="94"/>
        <v>517</v>
      </c>
      <c r="H852" t="str">
        <f t="shared" ca="1" si="95"/>
        <v>Active</v>
      </c>
      <c r="I852">
        <f t="shared" ca="1" si="96"/>
        <v>0</v>
      </c>
      <c r="J852" t="str">
        <f t="shared" si="97"/>
        <v>Environmental</v>
      </c>
    </row>
    <row r="853" spans="1:10">
      <c r="A853" t="str" cm="1">
        <f t="array" ref="A853">INDEX(Vendor_Master!$A$2:$A$401, ROUNDUP((ROW()-1)/4, 0))</f>
        <v>VND-213</v>
      </c>
      <c r="B853" t="str">
        <f t="shared" si="91"/>
        <v>Sustainability Disclosure</v>
      </c>
      <c r="C853" t="str">
        <f t="shared" si="92"/>
        <v>Yes</v>
      </c>
      <c r="D853" t="str">
        <f t="shared" si="93"/>
        <v>Yes</v>
      </c>
      <c r="E853" s="1">
        <v>45388</v>
      </c>
      <c r="F853" s="1">
        <v>46864</v>
      </c>
      <c r="G853">
        <f t="shared" ca="1" si="94"/>
        <v>781</v>
      </c>
      <c r="H853" t="str">
        <f t="shared" ca="1" si="95"/>
        <v>Active</v>
      </c>
      <c r="I853">
        <f t="shared" ca="1" si="96"/>
        <v>0</v>
      </c>
      <c r="J853" t="str">
        <f t="shared" si="97"/>
        <v>Environmental</v>
      </c>
    </row>
    <row r="854" spans="1:10">
      <c r="A854" t="str" cm="1">
        <f t="array" ref="A854">INDEX(Vendor_Master!$A$2:$A$401, ROUNDUP((ROW()-1)/4, 0))</f>
        <v>VND-214</v>
      </c>
      <c r="B854" t="str">
        <f t="shared" si="91"/>
        <v>ISO 14001</v>
      </c>
      <c r="C854" t="str">
        <f t="shared" si="92"/>
        <v>Yes</v>
      </c>
      <c r="D854" t="str">
        <f t="shared" si="93"/>
        <v>Yes</v>
      </c>
      <c r="E854" s="1">
        <v>45614</v>
      </c>
      <c r="F854" s="1">
        <v>46799</v>
      </c>
      <c r="G854">
        <f t="shared" ca="1" si="94"/>
        <v>716</v>
      </c>
      <c r="H854" t="str">
        <f t="shared" ca="1" si="95"/>
        <v>Active</v>
      </c>
      <c r="I854">
        <f t="shared" ca="1" si="96"/>
        <v>0</v>
      </c>
      <c r="J854" t="str">
        <f t="shared" si="97"/>
        <v>Environmental</v>
      </c>
    </row>
    <row r="855" spans="1:10">
      <c r="A855" t="str" cm="1">
        <f t="array" ref="A855">INDEX(Vendor_Master!$A$2:$A$401, ROUNDUP((ROW()-1)/4, 0))</f>
        <v>VND-214</v>
      </c>
      <c r="B855" t="str">
        <f t="shared" si="91"/>
        <v>Safety Certificate</v>
      </c>
      <c r="C855" t="str">
        <f t="shared" si="92"/>
        <v>Yes</v>
      </c>
      <c r="D855" t="str">
        <f t="shared" si="93"/>
        <v>Yes</v>
      </c>
      <c r="E855" s="1">
        <v>45936</v>
      </c>
      <c r="F855" s="1">
        <v>46585</v>
      </c>
      <c r="G855">
        <f t="shared" ca="1" si="94"/>
        <v>502</v>
      </c>
      <c r="H855" t="str">
        <f t="shared" ca="1" si="95"/>
        <v>Active</v>
      </c>
      <c r="I855">
        <f t="shared" ca="1" si="96"/>
        <v>0</v>
      </c>
      <c r="J855" t="str">
        <f t="shared" si="97"/>
        <v>Safety</v>
      </c>
    </row>
    <row r="856" spans="1:10">
      <c r="A856" t="str" cm="1">
        <f t="array" ref="A856">INDEX(Vendor_Master!$A$2:$A$401, ROUNDUP((ROW()-1)/4, 0))</f>
        <v>VND-214</v>
      </c>
      <c r="B856" t="str">
        <f t="shared" si="91"/>
        <v>Environmental Policy</v>
      </c>
      <c r="C856" t="str">
        <f t="shared" si="92"/>
        <v>Yes</v>
      </c>
      <c r="D856" t="str">
        <f t="shared" si="93"/>
        <v>Yes</v>
      </c>
      <c r="E856" s="1">
        <v>45430</v>
      </c>
      <c r="F856" s="1">
        <v>46860</v>
      </c>
      <c r="G856">
        <f t="shared" ca="1" si="94"/>
        <v>777</v>
      </c>
      <c r="H856" t="str">
        <f t="shared" ca="1" si="95"/>
        <v>Active</v>
      </c>
      <c r="I856">
        <f t="shared" ca="1" si="96"/>
        <v>0</v>
      </c>
      <c r="J856" t="str">
        <f t="shared" si="97"/>
        <v>Environmental</v>
      </c>
    </row>
    <row r="857" spans="1:10">
      <c r="A857" t="str" cm="1">
        <f t="array" ref="A857">INDEX(Vendor_Master!$A$2:$A$401, ROUNDUP((ROW()-1)/4, 0))</f>
        <v>VND-214</v>
      </c>
      <c r="B857" t="str">
        <f t="shared" si="91"/>
        <v>Sustainability Disclosure</v>
      </c>
      <c r="C857" t="str">
        <f t="shared" si="92"/>
        <v>Yes</v>
      </c>
      <c r="D857" t="str">
        <f t="shared" si="93"/>
        <v>Yes</v>
      </c>
      <c r="E857" s="1">
        <v>45878</v>
      </c>
      <c r="F857" s="1">
        <v>46849</v>
      </c>
      <c r="G857">
        <f t="shared" ca="1" si="94"/>
        <v>766</v>
      </c>
      <c r="H857" t="str">
        <f t="shared" ca="1" si="95"/>
        <v>Active</v>
      </c>
      <c r="I857">
        <f t="shared" ca="1" si="96"/>
        <v>0</v>
      </c>
      <c r="J857" t="str">
        <f t="shared" si="97"/>
        <v>Environmental</v>
      </c>
    </row>
    <row r="858" spans="1:10">
      <c r="A858" t="str" cm="1">
        <f t="array" ref="A858">INDEX(Vendor_Master!$A$2:$A$401, ROUNDUP((ROW()-1)/4, 0))</f>
        <v>VND-215</v>
      </c>
      <c r="B858" t="str">
        <f t="shared" si="91"/>
        <v>ISO 14001</v>
      </c>
      <c r="C858" t="str">
        <f t="shared" si="92"/>
        <v>Yes</v>
      </c>
      <c r="D858" t="str">
        <f t="shared" si="93"/>
        <v>Yes</v>
      </c>
      <c r="E858" s="1">
        <v>45847</v>
      </c>
      <c r="F858" s="1">
        <v>46945</v>
      </c>
      <c r="G858">
        <f t="shared" ca="1" si="94"/>
        <v>862</v>
      </c>
      <c r="H858" t="str">
        <f t="shared" ca="1" si="95"/>
        <v>Active</v>
      </c>
      <c r="I858">
        <f t="shared" ca="1" si="96"/>
        <v>0</v>
      </c>
      <c r="J858" t="str">
        <f t="shared" si="97"/>
        <v>Environmental</v>
      </c>
    </row>
    <row r="859" spans="1:10">
      <c r="A859" t="str" cm="1">
        <f t="array" ref="A859">INDEX(Vendor_Master!$A$2:$A$401, ROUNDUP((ROW()-1)/4, 0))</f>
        <v>VND-215</v>
      </c>
      <c r="B859" t="str">
        <f t="shared" si="91"/>
        <v>Safety Certificate</v>
      </c>
      <c r="C859" t="str">
        <f t="shared" si="92"/>
        <v>Yes</v>
      </c>
      <c r="D859" t="str">
        <f t="shared" si="93"/>
        <v>Yes</v>
      </c>
      <c r="E859" s="1">
        <v>45833</v>
      </c>
      <c r="F859" s="1">
        <v>46377</v>
      </c>
      <c r="G859">
        <f t="shared" ca="1" si="94"/>
        <v>294</v>
      </c>
      <c r="H859" t="str">
        <f t="shared" ca="1" si="95"/>
        <v>Active</v>
      </c>
      <c r="I859">
        <f t="shared" ca="1" si="96"/>
        <v>0</v>
      </c>
      <c r="J859" t="str">
        <f t="shared" si="97"/>
        <v>Safety</v>
      </c>
    </row>
    <row r="860" spans="1:10">
      <c r="A860" t="str" cm="1">
        <f t="array" ref="A860">INDEX(Vendor_Master!$A$2:$A$401, ROUNDUP((ROW()-1)/4, 0))</f>
        <v>VND-215</v>
      </c>
      <c r="B860" t="str">
        <f t="shared" si="91"/>
        <v>Environmental Policy</v>
      </c>
      <c r="C860" t="str">
        <f t="shared" si="92"/>
        <v>Yes</v>
      </c>
      <c r="D860" t="str">
        <f t="shared" si="93"/>
        <v>Yes</v>
      </c>
      <c r="E860" s="1">
        <v>46053</v>
      </c>
      <c r="F860" s="1">
        <v>46492</v>
      </c>
      <c r="G860">
        <f t="shared" ca="1" si="94"/>
        <v>409</v>
      </c>
      <c r="H860" t="str">
        <f t="shared" ca="1" si="95"/>
        <v>Active</v>
      </c>
      <c r="I860">
        <f t="shared" ca="1" si="96"/>
        <v>0</v>
      </c>
      <c r="J860" t="str">
        <f t="shared" si="97"/>
        <v>Environmental</v>
      </c>
    </row>
    <row r="861" spans="1:10">
      <c r="A861" t="str" cm="1">
        <f t="array" ref="A861">INDEX(Vendor_Master!$A$2:$A$401, ROUNDUP((ROW()-1)/4, 0))</f>
        <v>VND-215</v>
      </c>
      <c r="B861" t="str">
        <f t="shared" si="91"/>
        <v>Sustainability Disclosure</v>
      </c>
      <c r="C861" t="str">
        <f t="shared" si="92"/>
        <v>Yes</v>
      </c>
      <c r="D861" t="str">
        <f t="shared" si="93"/>
        <v>Yes</v>
      </c>
      <c r="E861" s="1">
        <v>45753</v>
      </c>
      <c r="F861" s="1">
        <v>46723</v>
      </c>
      <c r="G861">
        <f t="shared" ca="1" si="94"/>
        <v>640</v>
      </c>
      <c r="H861" t="str">
        <f t="shared" ca="1" si="95"/>
        <v>Active</v>
      </c>
      <c r="I861">
        <f t="shared" ca="1" si="96"/>
        <v>0</v>
      </c>
      <c r="J861" t="str">
        <f t="shared" si="97"/>
        <v>Environmental</v>
      </c>
    </row>
    <row r="862" spans="1:10">
      <c r="A862" t="str" cm="1">
        <f t="array" ref="A862">INDEX(Vendor_Master!$A$2:$A$401, ROUNDUP((ROW()-1)/4, 0))</f>
        <v>VND-216</v>
      </c>
      <c r="B862" t="str">
        <f t="shared" si="91"/>
        <v>ISO 14001</v>
      </c>
      <c r="C862" t="str">
        <f t="shared" si="92"/>
        <v>Yes</v>
      </c>
      <c r="D862" t="str">
        <f t="shared" si="93"/>
        <v>Yes</v>
      </c>
      <c r="E862" s="1">
        <v>45653</v>
      </c>
      <c r="F862" s="1">
        <v>46848</v>
      </c>
      <c r="G862">
        <f t="shared" ca="1" si="94"/>
        <v>765</v>
      </c>
      <c r="H862" t="str">
        <f t="shared" ca="1" si="95"/>
        <v>Active</v>
      </c>
      <c r="I862">
        <f t="shared" ca="1" si="96"/>
        <v>0</v>
      </c>
      <c r="J862" t="str">
        <f t="shared" si="97"/>
        <v>Environmental</v>
      </c>
    </row>
    <row r="863" spans="1:10">
      <c r="A863" t="str" cm="1">
        <f t="array" ref="A863">INDEX(Vendor_Master!$A$2:$A$401, ROUNDUP((ROW()-1)/4, 0))</f>
        <v>VND-216</v>
      </c>
      <c r="B863" t="str">
        <f t="shared" si="91"/>
        <v>Safety Certificate</v>
      </c>
      <c r="C863" t="str">
        <f t="shared" si="92"/>
        <v>Yes</v>
      </c>
      <c r="D863" t="str">
        <f t="shared" si="93"/>
        <v>Yes</v>
      </c>
      <c r="E863" s="1">
        <v>45727</v>
      </c>
      <c r="F863" s="1">
        <v>46977</v>
      </c>
      <c r="G863">
        <f t="shared" ca="1" si="94"/>
        <v>894</v>
      </c>
      <c r="H863" t="str">
        <f t="shared" ca="1" si="95"/>
        <v>Active</v>
      </c>
      <c r="I863">
        <f t="shared" ca="1" si="96"/>
        <v>0</v>
      </c>
      <c r="J863" t="str">
        <f t="shared" si="97"/>
        <v>Safety</v>
      </c>
    </row>
    <row r="864" spans="1:10">
      <c r="A864" t="str" cm="1">
        <f t="array" ref="A864">INDEX(Vendor_Master!$A$2:$A$401, ROUNDUP((ROW()-1)/4, 0))</f>
        <v>VND-216</v>
      </c>
      <c r="B864" t="str">
        <f t="shared" si="91"/>
        <v>Environmental Policy</v>
      </c>
      <c r="C864" t="str">
        <f t="shared" si="92"/>
        <v>Yes</v>
      </c>
      <c r="D864" t="str">
        <f t="shared" si="93"/>
        <v>Yes</v>
      </c>
      <c r="E864" s="1">
        <v>45503</v>
      </c>
      <c r="F864" s="1">
        <v>46904</v>
      </c>
      <c r="G864">
        <f t="shared" ca="1" si="94"/>
        <v>821</v>
      </c>
      <c r="H864" t="str">
        <f t="shared" ca="1" si="95"/>
        <v>Active</v>
      </c>
      <c r="I864">
        <f t="shared" ca="1" si="96"/>
        <v>0</v>
      </c>
      <c r="J864" t="str">
        <f t="shared" si="97"/>
        <v>Environmental</v>
      </c>
    </row>
    <row r="865" spans="1:10">
      <c r="A865" t="str" cm="1">
        <f t="array" ref="A865">INDEX(Vendor_Master!$A$2:$A$401, ROUNDUP((ROW()-1)/4, 0))</f>
        <v>VND-216</v>
      </c>
      <c r="B865" t="str">
        <f t="shared" si="91"/>
        <v>Sustainability Disclosure</v>
      </c>
      <c r="C865" t="str">
        <f t="shared" si="92"/>
        <v>Yes</v>
      </c>
      <c r="D865" t="str">
        <f t="shared" si="93"/>
        <v>Yes</v>
      </c>
      <c r="E865" s="1">
        <v>45566</v>
      </c>
      <c r="F865" s="1">
        <v>46398</v>
      </c>
      <c r="G865">
        <f t="shared" ca="1" si="94"/>
        <v>315</v>
      </c>
      <c r="H865" t="str">
        <f t="shared" ca="1" si="95"/>
        <v>Active</v>
      </c>
      <c r="I865">
        <f t="shared" ca="1" si="96"/>
        <v>0</v>
      </c>
      <c r="J865" t="str">
        <f t="shared" si="97"/>
        <v>Environmental</v>
      </c>
    </row>
    <row r="866" spans="1:10">
      <c r="A866" t="str" cm="1">
        <f t="array" ref="A866">INDEX(Vendor_Master!$A$2:$A$401, ROUNDUP((ROW()-1)/4, 0))</f>
        <v>VND-217</v>
      </c>
      <c r="B866" t="str">
        <f t="shared" si="91"/>
        <v>ISO 14001</v>
      </c>
      <c r="C866" t="str">
        <f t="shared" si="92"/>
        <v>Yes</v>
      </c>
      <c r="D866" t="str">
        <f t="shared" si="93"/>
        <v>Yes</v>
      </c>
      <c r="E866" s="1">
        <v>45757</v>
      </c>
      <c r="F866" s="1">
        <v>46801</v>
      </c>
      <c r="G866">
        <f t="shared" ca="1" si="94"/>
        <v>718</v>
      </c>
      <c r="H866" t="str">
        <f t="shared" ca="1" si="95"/>
        <v>Active</v>
      </c>
      <c r="I866">
        <f t="shared" ca="1" si="96"/>
        <v>0</v>
      </c>
      <c r="J866" t="str">
        <f t="shared" si="97"/>
        <v>Environmental</v>
      </c>
    </row>
    <row r="867" spans="1:10">
      <c r="A867" t="str" cm="1">
        <f t="array" ref="A867">INDEX(Vendor_Master!$A$2:$A$401, ROUNDUP((ROW()-1)/4, 0))</f>
        <v>VND-217</v>
      </c>
      <c r="B867" t="str">
        <f t="shared" si="91"/>
        <v>Safety Certificate</v>
      </c>
      <c r="C867" t="str">
        <f t="shared" si="92"/>
        <v>Yes</v>
      </c>
      <c r="D867" t="str">
        <f t="shared" si="93"/>
        <v>Yes</v>
      </c>
      <c r="E867" s="1">
        <v>45781</v>
      </c>
      <c r="F867" s="1">
        <v>46254</v>
      </c>
      <c r="G867">
        <f t="shared" ca="1" si="94"/>
        <v>171</v>
      </c>
      <c r="H867" t="str">
        <f t="shared" ca="1" si="95"/>
        <v>Active</v>
      </c>
      <c r="I867">
        <f t="shared" ca="1" si="96"/>
        <v>0</v>
      </c>
      <c r="J867" t="str">
        <f t="shared" si="97"/>
        <v>Safety</v>
      </c>
    </row>
    <row r="868" spans="1:10">
      <c r="A868" t="str" cm="1">
        <f t="array" ref="A868">INDEX(Vendor_Master!$A$2:$A$401, ROUNDUP((ROW()-1)/4, 0))</f>
        <v>VND-217</v>
      </c>
      <c r="B868" t="str">
        <f t="shared" si="91"/>
        <v>Environmental Policy</v>
      </c>
      <c r="C868" t="str">
        <f t="shared" si="92"/>
        <v>Yes</v>
      </c>
      <c r="D868" t="str">
        <f t="shared" si="93"/>
        <v>Yes</v>
      </c>
      <c r="E868" s="1">
        <v>45545</v>
      </c>
      <c r="F868" s="1">
        <v>46358</v>
      </c>
      <c r="G868">
        <f t="shared" ca="1" si="94"/>
        <v>275</v>
      </c>
      <c r="H868" t="str">
        <f t="shared" ca="1" si="95"/>
        <v>Active</v>
      </c>
      <c r="I868">
        <f t="shared" ca="1" si="96"/>
        <v>0</v>
      </c>
      <c r="J868" t="str">
        <f t="shared" si="97"/>
        <v>Environmental</v>
      </c>
    </row>
    <row r="869" spans="1:10">
      <c r="A869" t="str" cm="1">
        <f t="array" ref="A869">INDEX(Vendor_Master!$A$2:$A$401, ROUNDUP((ROW()-1)/4, 0))</f>
        <v>VND-217</v>
      </c>
      <c r="B869" t="str">
        <f t="shared" si="91"/>
        <v>Sustainability Disclosure</v>
      </c>
      <c r="C869" t="str">
        <f t="shared" si="92"/>
        <v>Yes</v>
      </c>
      <c r="D869" t="str">
        <f t="shared" si="93"/>
        <v>Yes</v>
      </c>
      <c r="E869" s="1">
        <v>46001</v>
      </c>
      <c r="F869" s="1">
        <v>46965</v>
      </c>
      <c r="G869">
        <f t="shared" ca="1" si="94"/>
        <v>882</v>
      </c>
      <c r="H869" t="str">
        <f t="shared" ca="1" si="95"/>
        <v>Active</v>
      </c>
      <c r="I869">
        <f t="shared" ca="1" si="96"/>
        <v>0</v>
      </c>
      <c r="J869" t="str">
        <f t="shared" si="97"/>
        <v>Environmental</v>
      </c>
    </row>
    <row r="870" spans="1:10">
      <c r="A870" t="str" cm="1">
        <f t="array" ref="A870">INDEX(Vendor_Master!$A$2:$A$401, ROUNDUP((ROW()-1)/4, 0))</f>
        <v>VND-218</v>
      </c>
      <c r="B870" t="str">
        <f t="shared" si="91"/>
        <v>ISO 14001</v>
      </c>
      <c r="C870" t="str">
        <f t="shared" si="92"/>
        <v>Yes</v>
      </c>
      <c r="D870" t="str">
        <f t="shared" si="93"/>
        <v>Yes</v>
      </c>
      <c r="E870" s="1">
        <v>45635</v>
      </c>
      <c r="F870" s="1">
        <v>46402</v>
      </c>
      <c r="G870">
        <f t="shared" ca="1" si="94"/>
        <v>319</v>
      </c>
      <c r="H870" t="str">
        <f t="shared" ca="1" si="95"/>
        <v>Active</v>
      </c>
      <c r="I870">
        <f t="shared" ca="1" si="96"/>
        <v>0</v>
      </c>
      <c r="J870" t="str">
        <f t="shared" si="97"/>
        <v>Environmental</v>
      </c>
    </row>
    <row r="871" spans="1:10">
      <c r="A871" t="str" cm="1">
        <f t="array" ref="A871">INDEX(Vendor_Master!$A$2:$A$401, ROUNDUP((ROW()-1)/4, 0))</f>
        <v>VND-218</v>
      </c>
      <c r="B871" t="str">
        <f t="shared" si="91"/>
        <v>Safety Certificate</v>
      </c>
      <c r="C871" t="str">
        <f t="shared" si="92"/>
        <v>Yes</v>
      </c>
      <c r="D871" t="str">
        <f t="shared" si="93"/>
        <v>Yes</v>
      </c>
      <c r="E871" s="1">
        <v>46055</v>
      </c>
      <c r="F871" s="1">
        <v>46895</v>
      </c>
      <c r="G871">
        <f t="shared" ca="1" si="94"/>
        <v>812</v>
      </c>
      <c r="H871" t="str">
        <f t="shared" ca="1" si="95"/>
        <v>Active</v>
      </c>
      <c r="I871">
        <f t="shared" ca="1" si="96"/>
        <v>0</v>
      </c>
      <c r="J871" t="str">
        <f t="shared" si="97"/>
        <v>Safety</v>
      </c>
    </row>
    <row r="872" spans="1:10">
      <c r="A872" t="str" cm="1">
        <f t="array" ref="A872">INDEX(Vendor_Master!$A$2:$A$401, ROUNDUP((ROW()-1)/4, 0))</f>
        <v>VND-218</v>
      </c>
      <c r="B872" t="str">
        <f t="shared" si="91"/>
        <v>Environmental Policy</v>
      </c>
      <c r="C872" t="str">
        <f t="shared" si="92"/>
        <v>Yes</v>
      </c>
      <c r="D872" t="str">
        <f t="shared" si="93"/>
        <v>Yes</v>
      </c>
      <c r="E872" s="1">
        <v>46062</v>
      </c>
      <c r="F872" s="1">
        <v>46403</v>
      </c>
      <c r="G872">
        <f t="shared" ca="1" si="94"/>
        <v>320</v>
      </c>
      <c r="H872" t="str">
        <f t="shared" ca="1" si="95"/>
        <v>Active</v>
      </c>
      <c r="I872">
        <f t="shared" ca="1" si="96"/>
        <v>0</v>
      </c>
      <c r="J872" t="str">
        <f t="shared" si="97"/>
        <v>Environmental</v>
      </c>
    </row>
    <row r="873" spans="1:10">
      <c r="A873" t="str" cm="1">
        <f t="array" ref="A873">INDEX(Vendor_Master!$A$2:$A$401, ROUNDUP((ROW()-1)/4, 0))</f>
        <v>VND-218</v>
      </c>
      <c r="B873" t="str">
        <f t="shared" si="91"/>
        <v>Sustainability Disclosure</v>
      </c>
      <c r="C873" t="str">
        <f t="shared" si="92"/>
        <v>Yes</v>
      </c>
      <c r="D873" t="str">
        <f t="shared" si="93"/>
        <v>Yes</v>
      </c>
      <c r="E873" s="1">
        <v>45573</v>
      </c>
      <c r="F873" s="1">
        <v>46467</v>
      </c>
      <c r="G873">
        <f t="shared" ca="1" si="94"/>
        <v>384</v>
      </c>
      <c r="H873" t="str">
        <f t="shared" ca="1" si="95"/>
        <v>Active</v>
      </c>
      <c r="I873">
        <f t="shared" ca="1" si="96"/>
        <v>0</v>
      </c>
      <c r="J873" t="str">
        <f t="shared" si="97"/>
        <v>Environmental</v>
      </c>
    </row>
    <row r="874" spans="1:10">
      <c r="A874" t="str" cm="1">
        <f t="array" ref="A874">INDEX(Vendor_Master!$A$2:$A$401, ROUNDUP((ROW()-1)/4, 0))</f>
        <v>VND-219</v>
      </c>
      <c r="B874" t="str">
        <f t="shared" si="91"/>
        <v>ISO 14001</v>
      </c>
      <c r="C874" t="str">
        <f t="shared" si="92"/>
        <v>Yes</v>
      </c>
      <c r="D874" t="str">
        <f t="shared" si="93"/>
        <v>Yes</v>
      </c>
      <c r="E874" s="1">
        <v>45570</v>
      </c>
      <c r="F874" s="1">
        <v>46781</v>
      </c>
      <c r="G874">
        <f t="shared" ca="1" si="94"/>
        <v>698</v>
      </c>
      <c r="H874" t="str">
        <f t="shared" ca="1" si="95"/>
        <v>Active</v>
      </c>
      <c r="I874">
        <f t="shared" ca="1" si="96"/>
        <v>0</v>
      </c>
      <c r="J874" t="str">
        <f t="shared" si="97"/>
        <v>Environmental</v>
      </c>
    </row>
    <row r="875" spans="1:10">
      <c r="A875" t="str" cm="1">
        <f t="array" ref="A875">INDEX(Vendor_Master!$A$2:$A$401, ROUNDUP((ROW()-1)/4, 0))</f>
        <v>VND-219</v>
      </c>
      <c r="B875" t="str">
        <f t="shared" si="91"/>
        <v>Safety Certificate</v>
      </c>
      <c r="C875" t="str">
        <f t="shared" si="92"/>
        <v>Yes</v>
      </c>
      <c r="D875" t="str">
        <f t="shared" si="93"/>
        <v>Yes</v>
      </c>
      <c r="E875" s="1">
        <v>45691</v>
      </c>
      <c r="F875" s="1">
        <v>46401</v>
      </c>
      <c r="G875">
        <f t="shared" ca="1" si="94"/>
        <v>318</v>
      </c>
      <c r="H875" t="str">
        <f t="shared" ca="1" si="95"/>
        <v>Active</v>
      </c>
      <c r="I875">
        <f t="shared" ca="1" si="96"/>
        <v>0</v>
      </c>
      <c r="J875" t="str">
        <f t="shared" si="97"/>
        <v>Safety</v>
      </c>
    </row>
    <row r="876" spans="1:10">
      <c r="A876" t="str" cm="1">
        <f t="array" ref="A876">INDEX(Vendor_Master!$A$2:$A$401, ROUNDUP((ROW()-1)/4, 0))</f>
        <v>VND-219</v>
      </c>
      <c r="B876" t="str">
        <f t="shared" si="91"/>
        <v>Environmental Policy</v>
      </c>
      <c r="C876" t="str">
        <f t="shared" si="92"/>
        <v>Yes</v>
      </c>
      <c r="D876" t="str">
        <f t="shared" si="93"/>
        <v>Yes</v>
      </c>
      <c r="E876" s="1">
        <v>45747</v>
      </c>
      <c r="F876" s="1">
        <v>46217</v>
      </c>
      <c r="G876">
        <f t="shared" ca="1" si="94"/>
        <v>134</v>
      </c>
      <c r="H876" t="str">
        <f t="shared" ca="1" si="95"/>
        <v>Active</v>
      </c>
      <c r="I876">
        <f t="shared" ca="1" si="96"/>
        <v>0</v>
      </c>
      <c r="J876" t="str">
        <f t="shared" si="97"/>
        <v>Environmental</v>
      </c>
    </row>
    <row r="877" spans="1:10">
      <c r="A877" t="str" cm="1">
        <f t="array" ref="A877">INDEX(Vendor_Master!$A$2:$A$401, ROUNDUP((ROW()-1)/4, 0))</f>
        <v>VND-219</v>
      </c>
      <c r="B877" t="str">
        <f t="shared" si="91"/>
        <v>Sustainability Disclosure</v>
      </c>
      <c r="C877" t="str">
        <f t="shared" si="92"/>
        <v>Yes</v>
      </c>
      <c r="D877" t="str">
        <f t="shared" si="93"/>
        <v>Yes</v>
      </c>
      <c r="E877" s="1">
        <v>45594</v>
      </c>
      <c r="F877" s="1">
        <v>46887</v>
      </c>
      <c r="G877">
        <f t="shared" ca="1" si="94"/>
        <v>804</v>
      </c>
      <c r="H877" t="str">
        <f t="shared" ca="1" si="95"/>
        <v>Active</v>
      </c>
      <c r="I877">
        <f t="shared" ca="1" si="96"/>
        <v>0</v>
      </c>
      <c r="J877" t="str">
        <f t="shared" si="97"/>
        <v>Environmental</v>
      </c>
    </row>
    <row r="878" spans="1:10">
      <c r="A878" t="str" cm="1">
        <f t="array" ref="A878">INDEX(Vendor_Master!$A$2:$A$401, ROUNDUP((ROW()-1)/4, 0))</f>
        <v>VND-220</v>
      </c>
      <c r="B878" t="str">
        <f t="shared" si="91"/>
        <v>ISO 14001</v>
      </c>
      <c r="C878" t="str">
        <f t="shared" si="92"/>
        <v>Yes</v>
      </c>
      <c r="D878" t="str">
        <f t="shared" si="93"/>
        <v>Yes</v>
      </c>
      <c r="E878" s="1">
        <v>45572</v>
      </c>
      <c r="F878" s="1">
        <v>46782</v>
      </c>
      <c r="G878">
        <f t="shared" ca="1" si="94"/>
        <v>699</v>
      </c>
      <c r="H878" t="str">
        <f t="shared" ca="1" si="95"/>
        <v>Active</v>
      </c>
      <c r="I878">
        <f t="shared" ca="1" si="96"/>
        <v>0</v>
      </c>
      <c r="J878" t="str">
        <f t="shared" si="97"/>
        <v>Environmental</v>
      </c>
    </row>
    <row r="879" spans="1:10">
      <c r="A879" t="str" cm="1">
        <f t="array" ref="A879">INDEX(Vendor_Master!$A$2:$A$401, ROUNDUP((ROW()-1)/4, 0))</f>
        <v>VND-220</v>
      </c>
      <c r="B879" t="str">
        <f t="shared" si="91"/>
        <v>Safety Certificate</v>
      </c>
      <c r="C879" t="str">
        <f t="shared" si="92"/>
        <v>Yes</v>
      </c>
      <c r="D879" t="str">
        <f t="shared" si="93"/>
        <v>Yes</v>
      </c>
      <c r="E879" s="1">
        <v>45413</v>
      </c>
      <c r="F879" s="1">
        <v>46926</v>
      </c>
      <c r="G879">
        <f t="shared" ca="1" si="94"/>
        <v>843</v>
      </c>
      <c r="H879" t="str">
        <f t="shared" ca="1" si="95"/>
        <v>Active</v>
      </c>
      <c r="I879">
        <f t="shared" ca="1" si="96"/>
        <v>0</v>
      </c>
      <c r="J879" t="str">
        <f t="shared" si="97"/>
        <v>Safety</v>
      </c>
    </row>
    <row r="880" spans="1:10">
      <c r="A880" t="str" cm="1">
        <f t="array" ref="A880">INDEX(Vendor_Master!$A$2:$A$401, ROUNDUP((ROW()-1)/4, 0))</f>
        <v>VND-220</v>
      </c>
      <c r="B880" t="str">
        <f t="shared" si="91"/>
        <v>Environmental Policy</v>
      </c>
      <c r="C880" t="str">
        <f t="shared" si="92"/>
        <v>Yes</v>
      </c>
      <c r="D880" t="str">
        <f t="shared" si="93"/>
        <v>Yes</v>
      </c>
      <c r="E880" s="1">
        <v>45591</v>
      </c>
      <c r="F880" s="1">
        <v>46303</v>
      </c>
      <c r="G880">
        <f t="shared" ca="1" si="94"/>
        <v>220</v>
      </c>
      <c r="H880" t="str">
        <f t="shared" ca="1" si="95"/>
        <v>Active</v>
      </c>
      <c r="I880">
        <f t="shared" ca="1" si="96"/>
        <v>0</v>
      </c>
      <c r="J880" t="str">
        <f t="shared" si="97"/>
        <v>Environmental</v>
      </c>
    </row>
    <row r="881" spans="1:10">
      <c r="A881" t="str" cm="1">
        <f t="array" ref="A881">INDEX(Vendor_Master!$A$2:$A$401, ROUNDUP((ROW()-1)/4, 0))</f>
        <v>VND-220</v>
      </c>
      <c r="B881" t="str">
        <f t="shared" si="91"/>
        <v>Sustainability Disclosure</v>
      </c>
      <c r="C881" t="str">
        <f t="shared" si="92"/>
        <v>Yes</v>
      </c>
      <c r="D881" t="str">
        <f t="shared" si="93"/>
        <v>Yes</v>
      </c>
      <c r="E881" s="1">
        <v>45384</v>
      </c>
      <c r="F881" s="1">
        <v>46537</v>
      </c>
      <c r="G881">
        <f t="shared" ca="1" si="94"/>
        <v>454</v>
      </c>
      <c r="H881" t="str">
        <f t="shared" ca="1" si="95"/>
        <v>Active</v>
      </c>
      <c r="I881">
        <f t="shared" ca="1" si="96"/>
        <v>0</v>
      </c>
      <c r="J881" t="str">
        <f t="shared" si="97"/>
        <v>Environmental</v>
      </c>
    </row>
    <row r="882" spans="1:10">
      <c r="A882" t="str" cm="1">
        <f t="array" ref="A882">INDEX(Vendor_Master!$A$2:$A$401, ROUNDUP((ROW()-1)/4, 0))</f>
        <v>VND-221</v>
      </c>
      <c r="B882" t="str">
        <f t="shared" si="91"/>
        <v>ISO 14001</v>
      </c>
      <c r="C882" t="str">
        <f t="shared" si="92"/>
        <v>Yes</v>
      </c>
      <c r="D882" t="str">
        <f t="shared" si="93"/>
        <v>Yes</v>
      </c>
      <c r="E882" s="1">
        <v>45875</v>
      </c>
      <c r="F882" s="1">
        <v>46365</v>
      </c>
      <c r="G882">
        <f t="shared" ca="1" si="94"/>
        <v>282</v>
      </c>
      <c r="H882" t="str">
        <f t="shared" ca="1" si="95"/>
        <v>Active</v>
      </c>
      <c r="I882">
        <f t="shared" ca="1" si="96"/>
        <v>0</v>
      </c>
      <c r="J882" t="str">
        <f t="shared" si="97"/>
        <v>Environmental</v>
      </c>
    </row>
    <row r="883" spans="1:10">
      <c r="A883" t="str" cm="1">
        <f t="array" ref="A883">INDEX(Vendor_Master!$A$2:$A$401, ROUNDUP((ROW()-1)/4, 0))</f>
        <v>VND-221</v>
      </c>
      <c r="B883" t="str">
        <f t="shared" si="91"/>
        <v>Safety Certificate</v>
      </c>
      <c r="C883" t="str">
        <f t="shared" si="92"/>
        <v>Yes</v>
      </c>
      <c r="D883" t="str">
        <f t="shared" si="93"/>
        <v>Yes</v>
      </c>
      <c r="E883" s="1">
        <v>45605</v>
      </c>
      <c r="F883" s="1">
        <v>46560</v>
      </c>
      <c r="G883">
        <f t="shared" ca="1" si="94"/>
        <v>477</v>
      </c>
      <c r="H883" t="str">
        <f t="shared" ca="1" si="95"/>
        <v>Active</v>
      </c>
      <c r="I883">
        <f t="shared" ca="1" si="96"/>
        <v>0</v>
      </c>
      <c r="J883" t="str">
        <f t="shared" si="97"/>
        <v>Safety</v>
      </c>
    </row>
    <row r="884" spans="1:10">
      <c r="A884" t="str" cm="1">
        <f t="array" ref="A884">INDEX(Vendor_Master!$A$2:$A$401, ROUNDUP((ROW()-1)/4, 0))</f>
        <v>VND-221</v>
      </c>
      <c r="B884" t="str">
        <f t="shared" si="91"/>
        <v>Environmental Policy</v>
      </c>
      <c r="C884" t="str">
        <f t="shared" si="92"/>
        <v>Yes</v>
      </c>
      <c r="D884" t="str">
        <f t="shared" si="93"/>
        <v>Yes</v>
      </c>
      <c r="E884" s="1">
        <v>45453</v>
      </c>
      <c r="F884" s="1">
        <v>46420</v>
      </c>
      <c r="G884">
        <f t="shared" ca="1" si="94"/>
        <v>337</v>
      </c>
      <c r="H884" t="str">
        <f t="shared" ca="1" si="95"/>
        <v>Active</v>
      </c>
      <c r="I884">
        <f t="shared" ca="1" si="96"/>
        <v>0</v>
      </c>
      <c r="J884" t="str">
        <f t="shared" si="97"/>
        <v>Environmental</v>
      </c>
    </row>
    <row r="885" spans="1:10">
      <c r="A885" t="str" cm="1">
        <f t="array" ref="A885">INDEX(Vendor_Master!$A$2:$A$401, ROUNDUP((ROW()-1)/4, 0))</f>
        <v>VND-221</v>
      </c>
      <c r="B885" t="str">
        <f t="shared" si="91"/>
        <v>Sustainability Disclosure</v>
      </c>
      <c r="C885" t="str">
        <f t="shared" si="92"/>
        <v>Yes</v>
      </c>
      <c r="D885" t="str">
        <f t="shared" si="93"/>
        <v>Yes</v>
      </c>
      <c r="E885" s="1">
        <v>45769</v>
      </c>
      <c r="F885" s="1">
        <v>46289</v>
      </c>
      <c r="G885">
        <f t="shared" ca="1" si="94"/>
        <v>206</v>
      </c>
      <c r="H885" t="str">
        <f t="shared" ca="1" si="95"/>
        <v>Active</v>
      </c>
      <c r="I885">
        <f t="shared" ca="1" si="96"/>
        <v>0</v>
      </c>
      <c r="J885" t="str">
        <f t="shared" si="97"/>
        <v>Environmental</v>
      </c>
    </row>
    <row r="886" spans="1:10">
      <c r="A886" t="str" cm="1">
        <f t="array" ref="A886">INDEX(Vendor_Master!$A$2:$A$401, ROUNDUP((ROW()-1)/4, 0))</f>
        <v>VND-222</v>
      </c>
      <c r="B886" t="str">
        <f t="shared" si="91"/>
        <v>ISO 14001</v>
      </c>
      <c r="C886" t="str">
        <f t="shared" si="92"/>
        <v>Yes</v>
      </c>
      <c r="D886" t="str">
        <f t="shared" si="93"/>
        <v>Yes</v>
      </c>
      <c r="E886" s="1">
        <v>45514</v>
      </c>
      <c r="F886" s="1">
        <v>46224</v>
      </c>
      <c r="G886">
        <f t="shared" ca="1" si="94"/>
        <v>141</v>
      </c>
      <c r="H886" t="str">
        <f t="shared" ca="1" si="95"/>
        <v>Active</v>
      </c>
      <c r="I886">
        <f t="shared" ca="1" si="96"/>
        <v>0</v>
      </c>
      <c r="J886" t="str">
        <f t="shared" si="97"/>
        <v>Environmental</v>
      </c>
    </row>
    <row r="887" spans="1:10">
      <c r="A887" t="str" cm="1">
        <f t="array" ref="A887">INDEX(Vendor_Master!$A$2:$A$401, ROUNDUP((ROW()-1)/4, 0))</f>
        <v>VND-222</v>
      </c>
      <c r="B887" t="str">
        <f t="shared" si="91"/>
        <v>Safety Certificate</v>
      </c>
      <c r="C887" t="str">
        <f t="shared" si="92"/>
        <v>Yes</v>
      </c>
      <c r="D887" t="str">
        <f t="shared" si="93"/>
        <v>Yes</v>
      </c>
      <c r="E887" s="1">
        <v>45516</v>
      </c>
      <c r="F887" s="1">
        <v>46553</v>
      </c>
      <c r="G887">
        <f t="shared" ca="1" si="94"/>
        <v>470</v>
      </c>
      <c r="H887" t="str">
        <f t="shared" ca="1" si="95"/>
        <v>Active</v>
      </c>
      <c r="I887">
        <f t="shared" ca="1" si="96"/>
        <v>0</v>
      </c>
      <c r="J887" t="str">
        <f t="shared" si="97"/>
        <v>Safety</v>
      </c>
    </row>
    <row r="888" spans="1:10">
      <c r="A888" t="str" cm="1">
        <f t="array" ref="A888">INDEX(Vendor_Master!$A$2:$A$401, ROUNDUP((ROW()-1)/4, 0))</f>
        <v>VND-222</v>
      </c>
      <c r="B888" t="str">
        <f t="shared" si="91"/>
        <v>Environmental Policy</v>
      </c>
      <c r="C888" t="str">
        <f t="shared" si="92"/>
        <v>Yes</v>
      </c>
      <c r="D888" t="str">
        <f t="shared" si="93"/>
        <v>Yes</v>
      </c>
      <c r="E888" s="1">
        <v>45665</v>
      </c>
      <c r="F888" s="1">
        <v>46284</v>
      </c>
      <c r="G888">
        <f t="shared" ca="1" si="94"/>
        <v>201</v>
      </c>
      <c r="H888" t="str">
        <f t="shared" ca="1" si="95"/>
        <v>Active</v>
      </c>
      <c r="I888">
        <f t="shared" ca="1" si="96"/>
        <v>0</v>
      </c>
      <c r="J888" t="str">
        <f t="shared" si="97"/>
        <v>Environmental</v>
      </c>
    </row>
    <row r="889" spans="1:10">
      <c r="A889" t="str" cm="1">
        <f t="array" ref="A889">INDEX(Vendor_Master!$A$2:$A$401, ROUNDUP((ROW()-1)/4, 0))</f>
        <v>VND-222</v>
      </c>
      <c r="B889" t="str">
        <f t="shared" si="91"/>
        <v>Sustainability Disclosure</v>
      </c>
      <c r="C889" t="str">
        <f t="shared" si="92"/>
        <v>Yes</v>
      </c>
      <c r="D889" t="str">
        <f t="shared" si="93"/>
        <v>Yes</v>
      </c>
      <c r="E889" s="1">
        <v>45797</v>
      </c>
      <c r="F889" s="1">
        <v>46433</v>
      </c>
      <c r="G889">
        <f t="shared" ca="1" si="94"/>
        <v>350</v>
      </c>
      <c r="H889" t="str">
        <f t="shared" ca="1" si="95"/>
        <v>Active</v>
      </c>
      <c r="I889">
        <f t="shared" ca="1" si="96"/>
        <v>0</v>
      </c>
      <c r="J889" t="str">
        <f t="shared" si="97"/>
        <v>Environmental</v>
      </c>
    </row>
    <row r="890" spans="1:10">
      <c r="A890" t="str" cm="1">
        <f t="array" ref="A890">INDEX(Vendor_Master!$A$2:$A$401, ROUNDUP((ROW()-1)/4, 0))</f>
        <v>VND-223</v>
      </c>
      <c r="B890" t="str">
        <f t="shared" si="91"/>
        <v>ISO 14001</v>
      </c>
      <c r="C890" t="str">
        <f t="shared" si="92"/>
        <v>Yes</v>
      </c>
      <c r="D890" t="str">
        <f t="shared" si="93"/>
        <v>Yes</v>
      </c>
      <c r="E890" s="1">
        <v>45943</v>
      </c>
      <c r="F890" s="1">
        <v>46678</v>
      </c>
      <c r="G890">
        <f t="shared" ca="1" si="94"/>
        <v>595</v>
      </c>
      <c r="H890" t="str">
        <f t="shared" ca="1" si="95"/>
        <v>Active</v>
      </c>
      <c r="I890">
        <f t="shared" ca="1" si="96"/>
        <v>0</v>
      </c>
      <c r="J890" t="str">
        <f t="shared" si="97"/>
        <v>Environmental</v>
      </c>
    </row>
    <row r="891" spans="1:10">
      <c r="A891" t="str" cm="1">
        <f t="array" ref="A891">INDEX(Vendor_Master!$A$2:$A$401, ROUNDUP((ROW()-1)/4, 0))</f>
        <v>VND-223</v>
      </c>
      <c r="B891" t="str">
        <f t="shared" si="91"/>
        <v>Safety Certificate</v>
      </c>
      <c r="C891" t="str">
        <f t="shared" si="92"/>
        <v>Yes</v>
      </c>
      <c r="D891" t="str">
        <f t="shared" si="93"/>
        <v>Yes</v>
      </c>
      <c r="E891" s="1">
        <v>45723</v>
      </c>
      <c r="F891" s="1">
        <v>46260</v>
      </c>
      <c r="G891">
        <f t="shared" ca="1" si="94"/>
        <v>177</v>
      </c>
      <c r="H891" t="str">
        <f t="shared" ca="1" si="95"/>
        <v>Active</v>
      </c>
      <c r="I891">
        <f t="shared" ca="1" si="96"/>
        <v>0</v>
      </c>
      <c r="J891" t="str">
        <f t="shared" si="97"/>
        <v>Safety</v>
      </c>
    </row>
    <row r="892" spans="1:10">
      <c r="A892" t="str" cm="1">
        <f t="array" ref="A892">INDEX(Vendor_Master!$A$2:$A$401, ROUNDUP((ROW()-1)/4, 0))</f>
        <v>VND-223</v>
      </c>
      <c r="B892" t="str">
        <f t="shared" si="91"/>
        <v>Environmental Policy</v>
      </c>
      <c r="C892" t="str">
        <f t="shared" si="92"/>
        <v>Yes</v>
      </c>
      <c r="D892" t="str">
        <f t="shared" si="93"/>
        <v>Yes</v>
      </c>
      <c r="E892" s="1">
        <v>45459</v>
      </c>
      <c r="F892" s="1">
        <v>46432</v>
      </c>
      <c r="G892">
        <f t="shared" ca="1" si="94"/>
        <v>349</v>
      </c>
      <c r="H892" t="str">
        <f t="shared" ca="1" si="95"/>
        <v>Active</v>
      </c>
      <c r="I892">
        <f t="shared" ca="1" si="96"/>
        <v>0</v>
      </c>
      <c r="J892" t="str">
        <f t="shared" si="97"/>
        <v>Environmental</v>
      </c>
    </row>
    <row r="893" spans="1:10">
      <c r="A893" t="str" cm="1">
        <f t="array" ref="A893">INDEX(Vendor_Master!$A$2:$A$401, ROUNDUP((ROW()-1)/4, 0))</f>
        <v>VND-223</v>
      </c>
      <c r="B893" t="str">
        <f t="shared" si="91"/>
        <v>Sustainability Disclosure</v>
      </c>
      <c r="C893" t="str">
        <f t="shared" si="92"/>
        <v>Yes</v>
      </c>
      <c r="D893" t="str">
        <f t="shared" si="93"/>
        <v>Yes</v>
      </c>
      <c r="E893" s="1">
        <v>45849</v>
      </c>
      <c r="F893" s="1">
        <v>46871</v>
      </c>
      <c r="G893">
        <f t="shared" ca="1" si="94"/>
        <v>788</v>
      </c>
      <c r="H893" t="str">
        <f t="shared" ca="1" si="95"/>
        <v>Active</v>
      </c>
      <c r="I893">
        <f t="shared" ca="1" si="96"/>
        <v>0</v>
      </c>
      <c r="J893" t="str">
        <f t="shared" si="97"/>
        <v>Environmental</v>
      </c>
    </row>
    <row r="894" spans="1:10">
      <c r="A894" t="str" cm="1">
        <f t="array" ref="A894">INDEX(Vendor_Master!$A$2:$A$401, ROUNDUP((ROW()-1)/4, 0))</f>
        <v>VND-224</v>
      </c>
      <c r="B894" t="str">
        <f t="shared" si="91"/>
        <v>ISO 14001</v>
      </c>
      <c r="C894" t="str">
        <f t="shared" si="92"/>
        <v>Yes</v>
      </c>
      <c r="D894" t="str">
        <f t="shared" si="93"/>
        <v>Yes</v>
      </c>
      <c r="E894" s="1">
        <v>45465</v>
      </c>
      <c r="F894" s="1">
        <v>46826</v>
      </c>
      <c r="G894">
        <f t="shared" ca="1" si="94"/>
        <v>743</v>
      </c>
      <c r="H894" t="str">
        <f t="shared" ca="1" si="95"/>
        <v>Active</v>
      </c>
      <c r="I894">
        <f t="shared" ca="1" si="96"/>
        <v>0</v>
      </c>
      <c r="J894" t="str">
        <f t="shared" si="97"/>
        <v>Environmental</v>
      </c>
    </row>
    <row r="895" spans="1:10">
      <c r="A895" t="str" cm="1">
        <f t="array" ref="A895">INDEX(Vendor_Master!$A$2:$A$401, ROUNDUP((ROW()-1)/4, 0))</f>
        <v>VND-224</v>
      </c>
      <c r="B895" t="str">
        <f t="shared" si="91"/>
        <v>Safety Certificate</v>
      </c>
      <c r="C895" t="str">
        <f t="shared" si="92"/>
        <v>Yes</v>
      </c>
      <c r="D895" t="str">
        <f t="shared" si="93"/>
        <v>Yes</v>
      </c>
      <c r="E895" s="1">
        <v>45873</v>
      </c>
      <c r="F895" s="1">
        <v>46467</v>
      </c>
      <c r="G895">
        <f t="shared" ca="1" si="94"/>
        <v>384</v>
      </c>
      <c r="H895" t="str">
        <f t="shared" ca="1" si="95"/>
        <v>Active</v>
      </c>
      <c r="I895">
        <f t="shared" ca="1" si="96"/>
        <v>0</v>
      </c>
      <c r="J895" t="str">
        <f t="shared" si="97"/>
        <v>Safety</v>
      </c>
    </row>
    <row r="896" spans="1:10">
      <c r="A896" t="str" cm="1">
        <f t="array" ref="A896">INDEX(Vendor_Master!$A$2:$A$401, ROUNDUP((ROW()-1)/4, 0))</f>
        <v>VND-224</v>
      </c>
      <c r="B896" t="str">
        <f t="shared" si="91"/>
        <v>Environmental Policy</v>
      </c>
      <c r="C896" t="str">
        <f t="shared" si="92"/>
        <v>Yes</v>
      </c>
      <c r="D896" t="str">
        <f t="shared" si="93"/>
        <v>Yes</v>
      </c>
      <c r="E896" s="1">
        <v>45665</v>
      </c>
      <c r="F896" s="1">
        <v>46591</v>
      </c>
      <c r="G896">
        <f t="shared" ca="1" si="94"/>
        <v>508</v>
      </c>
      <c r="H896" t="str">
        <f t="shared" ca="1" si="95"/>
        <v>Active</v>
      </c>
      <c r="I896">
        <f t="shared" ca="1" si="96"/>
        <v>0</v>
      </c>
      <c r="J896" t="str">
        <f t="shared" si="97"/>
        <v>Environmental</v>
      </c>
    </row>
    <row r="897" spans="1:10">
      <c r="A897" t="str" cm="1">
        <f t="array" ref="A897">INDEX(Vendor_Master!$A$2:$A$401, ROUNDUP((ROW()-1)/4, 0))</f>
        <v>VND-224</v>
      </c>
      <c r="B897" t="str">
        <f t="shared" si="91"/>
        <v>Sustainability Disclosure</v>
      </c>
      <c r="C897" t="str">
        <f t="shared" si="92"/>
        <v>Yes</v>
      </c>
      <c r="D897" t="str">
        <f t="shared" si="93"/>
        <v>Yes</v>
      </c>
      <c r="E897" s="1">
        <v>45417</v>
      </c>
      <c r="F897" s="1">
        <v>46463</v>
      </c>
      <c r="G897">
        <f t="shared" ca="1" si="94"/>
        <v>380</v>
      </c>
      <c r="H897" t="str">
        <f t="shared" ca="1" si="95"/>
        <v>Active</v>
      </c>
      <c r="I897">
        <f t="shared" ca="1" si="96"/>
        <v>0</v>
      </c>
      <c r="J897" t="str">
        <f t="shared" si="97"/>
        <v>Environmental</v>
      </c>
    </row>
    <row r="898" spans="1:10">
      <c r="A898" t="str" cm="1">
        <f t="array" ref="A898">INDEX(Vendor_Master!$A$2:$A$401, ROUNDUP((ROW()-1)/4, 0))</f>
        <v>VND-225</v>
      </c>
      <c r="B898" t="str">
        <f t="shared" ref="B898:B961" si="98">CHOOSE(MOD(ROW()-2,4)+1,"ISO 14001","Safety Certificate","Environmental Policy","Sustainability Disclosure")</f>
        <v>ISO 14001</v>
      </c>
      <c r="C898" t="str">
        <f t="shared" ref="C898:C961" si="99">"Yes"</f>
        <v>Yes</v>
      </c>
      <c r="D898" t="str">
        <f t="shared" ref="D898:D961" si="100">IF(ROW()-1&lt;=1280,"Yes","No")</f>
        <v>Yes</v>
      </c>
      <c r="E898" s="1">
        <v>45776</v>
      </c>
      <c r="F898" s="1">
        <v>46095</v>
      </c>
      <c r="G898">
        <f t="shared" ref="G898:G961" ca="1" si="101">IF($F898="","",$F898-TODAY())</f>
        <v>12</v>
      </c>
      <c r="H898" t="str">
        <f t="shared" ref="H898:H961" ca="1" si="102">IF($C898="No","Not Required",
IF($D898="No","Missing",
IF($F898&lt;TODAY(),"Expired",
IF($F898&lt;=TODAY()+30,"Expiring Soon","Active"))))</f>
        <v>Expiring Soon</v>
      </c>
      <c r="I898">
        <f t="shared" ref="I898:I961" ca="1" si="103">IF(OR($H898="Missing",$H898="Expired",$H898="Expiring Soon"),1,0)</f>
        <v>1</v>
      </c>
      <c r="J898" t="str">
        <f t="shared" si="97"/>
        <v>Environmental</v>
      </c>
    </row>
    <row r="899" spans="1:10">
      <c r="A899" t="str" cm="1">
        <f t="array" ref="A899">INDEX(Vendor_Master!$A$2:$A$401, ROUNDUP((ROW()-1)/4, 0))</f>
        <v>VND-225</v>
      </c>
      <c r="B899" t="str">
        <f t="shared" si="98"/>
        <v>Safety Certificate</v>
      </c>
      <c r="C899" t="str">
        <f t="shared" si="99"/>
        <v>Yes</v>
      </c>
      <c r="D899" t="str">
        <f t="shared" si="100"/>
        <v>Yes</v>
      </c>
      <c r="E899" s="1">
        <v>45566</v>
      </c>
      <c r="F899" s="1">
        <v>46097</v>
      </c>
      <c r="G899">
        <f t="shared" ca="1" si="101"/>
        <v>14</v>
      </c>
      <c r="H899" t="str">
        <f t="shared" ca="1" si="102"/>
        <v>Expiring Soon</v>
      </c>
      <c r="I899">
        <f t="shared" ca="1" si="103"/>
        <v>1</v>
      </c>
      <c r="J899" t="str">
        <f t="shared" ref="J899:J962" si="104">IF(B899="ISO 14001","Environmental",
 IF(B899="Environmental Policy","Environmental",
 IF(B899="Sustainability Disclosure","Environmental",
 IF(B899="Safety Certificate","Safety","Regulatory"))))</f>
        <v>Safety</v>
      </c>
    </row>
    <row r="900" spans="1:10">
      <c r="A900" t="str" cm="1">
        <f t="array" ref="A900">INDEX(Vendor_Master!$A$2:$A$401, ROUNDUP((ROW()-1)/4, 0))</f>
        <v>VND-225</v>
      </c>
      <c r="B900" t="str">
        <f t="shared" si="98"/>
        <v>Environmental Policy</v>
      </c>
      <c r="C900" t="str">
        <f t="shared" si="99"/>
        <v>Yes</v>
      </c>
      <c r="D900" t="str">
        <f t="shared" si="100"/>
        <v>Yes</v>
      </c>
      <c r="E900" s="1">
        <v>45428</v>
      </c>
      <c r="F900" s="1">
        <v>46085</v>
      </c>
      <c r="G900">
        <f t="shared" ca="1" si="101"/>
        <v>2</v>
      </c>
      <c r="H900" t="str">
        <f t="shared" ca="1" si="102"/>
        <v>Expiring Soon</v>
      </c>
      <c r="I900">
        <f t="shared" ca="1" si="103"/>
        <v>1</v>
      </c>
      <c r="J900" t="str">
        <f t="shared" si="104"/>
        <v>Environmental</v>
      </c>
    </row>
    <row r="901" spans="1:10">
      <c r="A901" t="str" cm="1">
        <f t="array" ref="A901">INDEX(Vendor_Master!$A$2:$A$401, ROUNDUP((ROW()-1)/4, 0))</f>
        <v>VND-225</v>
      </c>
      <c r="B901" t="str">
        <f t="shared" si="98"/>
        <v>Sustainability Disclosure</v>
      </c>
      <c r="C901" t="str">
        <f t="shared" si="99"/>
        <v>Yes</v>
      </c>
      <c r="D901" t="str">
        <f t="shared" si="100"/>
        <v>Yes</v>
      </c>
      <c r="E901" s="1">
        <v>45829</v>
      </c>
      <c r="F901" s="1">
        <v>46111</v>
      </c>
      <c r="G901">
        <f t="shared" ca="1" si="101"/>
        <v>28</v>
      </c>
      <c r="H901" t="str">
        <f t="shared" ca="1" si="102"/>
        <v>Expiring Soon</v>
      </c>
      <c r="I901">
        <f t="shared" ca="1" si="103"/>
        <v>1</v>
      </c>
      <c r="J901" t="str">
        <f t="shared" si="104"/>
        <v>Environmental</v>
      </c>
    </row>
    <row r="902" spans="1:10">
      <c r="A902" t="str" cm="1">
        <f t="array" ref="A902">INDEX(Vendor_Master!$A$2:$A$401, ROUNDUP((ROW()-1)/4, 0))</f>
        <v>VND-226</v>
      </c>
      <c r="B902" t="str">
        <f t="shared" si="98"/>
        <v>ISO 14001</v>
      </c>
      <c r="C902" t="str">
        <f t="shared" si="99"/>
        <v>Yes</v>
      </c>
      <c r="D902" t="str">
        <f t="shared" si="100"/>
        <v>Yes</v>
      </c>
      <c r="E902" s="1">
        <v>45895</v>
      </c>
      <c r="F902" s="1">
        <v>46104</v>
      </c>
      <c r="G902">
        <f t="shared" ca="1" si="101"/>
        <v>21</v>
      </c>
      <c r="H902" t="str">
        <f t="shared" ca="1" si="102"/>
        <v>Expiring Soon</v>
      </c>
      <c r="I902">
        <f t="shared" ca="1" si="103"/>
        <v>1</v>
      </c>
      <c r="J902" t="str">
        <f t="shared" si="104"/>
        <v>Environmental</v>
      </c>
    </row>
    <row r="903" spans="1:10">
      <c r="A903" t="str" cm="1">
        <f t="array" ref="A903">INDEX(Vendor_Master!$A$2:$A$401, ROUNDUP((ROW()-1)/4, 0))</f>
        <v>VND-226</v>
      </c>
      <c r="B903" t="str">
        <f t="shared" si="98"/>
        <v>Safety Certificate</v>
      </c>
      <c r="C903" t="str">
        <f t="shared" si="99"/>
        <v>Yes</v>
      </c>
      <c r="D903" t="str">
        <f t="shared" si="100"/>
        <v>Yes</v>
      </c>
      <c r="E903" s="1">
        <v>45461</v>
      </c>
      <c r="F903" s="1">
        <v>46090</v>
      </c>
      <c r="G903">
        <f t="shared" ca="1" si="101"/>
        <v>7</v>
      </c>
      <c r="H903" t="str">
        <f t="shared" ca="1" si="102"/>
        <v>Expiring Soon</v>
      </c>
      <c r="I903">
        <f t="shared" ca="1" si="103"/>
        <v>1</v>
      </c>
      <c r="J903" t="str">
        <f t="shared" si="104"/>
        <v>Safety</v>
      </c>
    </row>
    <row r="904" spans="1:10">
      <c r="A904" t="str" cm="1">
        <f t="array" ref="A904">INDEX(Vendor_Master!$A$2:$A$401, ROUNDUP((ROW()-1)/4, 0))</f>
        <v>VND-226</v>
      </c>
      <c r="B904" t="str">
        <f t="shared" si="98"/>
        <v>Environmental Policy</v>
      </c>
      <c r="C904" t="str">
        <f t="shared" si="99"/>
        <v>Yes</v>
      </c>
      <c r="D904" t="str">
        <f t="shared" si="100"/>
        <v>Yes</v>
      </c>
      <c r="E904" s="1">
        <v>45716</v>
      </c>
      <c r="F904" s="1">
        <v>46087</v>
      </c>
      <c r="G904">
        <f t="shared" ca="1" si="101"/>
        <v>4</v>
      </c>
      <c r="H904" t="str">
        <f t="shared" ca="1" si="102"/>
        <v>Expiring Soon</v>
      </c>
      <c r="I904">
        <f t="shared" ca="1" si="103"/>
        <v>1</v>
      </c>
      <c r="J904" t="str">
        <f t="shared" si="104"/>
        <v>Environmental</v>
      </c>
    </row>
    <row r="905" spans="1:10">
      <c r="A905" t="str" cm="1">
        <f t="array" ref="A905">INDEX(Vendor_Master!$A$2:$A$401, ROUNDUP((ROW()-1)/4, 0))</f>
        <v>VND-226</v>
      </c>
      <c r="B905" t="str">
        <f t="shared" si="98"/>
        <v>Sustainability Disclosure</v>
      </c>
      <c r="C905" t="str">
        <f t="shared" si="99"/>
        <v>Yes</v>
      </c>
      <c r="D905" t="str">
        <f t="shared" si="100"/>
        <v>Yes</v>
      </c>
      <c r="E905" s="1">
        <v>46067</v>
      </c>
      <c r="F905" s="1">
        <v>46107</v>
      </c>
      <c r="G905">
        <f t="shared" ca="1" si="101"/>
        <v>24</v>
      </c>
      <c r="H905" t="str">
        <f t="shared" ca="1" si="102"/>
        <v>Expiring Soon</v>
      </c>
      <c r="I905">
        <f t="shared" ca="1" si="103"/>
        <v>1</v>
      </c>
      <c r="J905" t="str">
        <f t="shared" si="104"/>
        <v>Environmental</v>
      </c>
    </row>
    <row r="906" spans="1:10">
      <c r="A906" t="str" cm="1">
        <f t="array" ref="A906">INDEX(Vendor_Master!$A$2:$A$401, ROUNDUP((ROW()-1)/4, 0))</f>
        <v>VND-227</v>
      </c>
      <c r="B906" t="str">
        <f t="shared" si="98"/>
        <v>ISO 14001</v>
      </c>
      <c r="C906" t="str">
        <f t="shared" si="99"/>
        <v>Yes</v>
      </c>
      <c r="D906" t="str">
        <f t="shared" si="100"/>
        <v>Yes</v>
      </c>
      <c r="E906" s="1">
        <v>45792</v>
      </c>
      <c r="F906" s="1">
        <v>46103</v>
      </c>
      <c r="G906">
        <f t="shared" ca="1" si="101"/>
        <v>20</v>
      </c>
      <c r="H906" t="str">
        <f t="shared" ca="1" si="102"/>
        <v>Expiring Soon</v>
      </c>
      <c r="I906">
        <f t="shared" ca="1" si="103"/>
        <v>1</v>
      </c>
      <c r="J906" t="str">
        <f t="shared" si="104"/>
        <v>Environmental</v>
      </c>
    </row>
    <row r="907" spans="1:10">
      <c r="A907" t="str" cm="1">
        <f t="array" ref="A907">INDEX(Vendor_Master!$A$2:$A$401, ROUNDUP((ROW()-1)/4, 0))</f>
        <v>VND-227</v>
      </c>
      <c r="B907" t="str">
        <f t="shared" si="98"/>
        <v>Safety Certificate</v>
      </c>
      <c r="C907" t="str">
        <f t="shared" si="99"/>
        <v>Yes</v>
      </c>
      <c r="D907" t="str">
        <f t="shared" si="100"/>
        <v>Yes</v>
      </c>
      <c r="E907" s="1">
        <v>45889</v>
      </c>
      <c r="F907" s="1">
        <v>46086</v>
      </c>
      <c r="G907">
        <f t="shared" ca="1" si="101"/>
        <v>3</v>
      </c>
      <c r="H907" t="str">
        <f t="shared" ca="1" si="102"/>
        <v>Expiring Soon</v>
      </c>
      <c r="I907">
        <f t="shared" ca="1" si="103"/>
        <v>1</v>
      </c>
      <c r="J907" t="str">
        <f t="shared" si="104"/>
        <v>Safety</v>
      </c>
    </row>
    <row r="908" spans="1:10">
      <c r="A908" t="str" cm="1">
        <f t="array" ref="A908">INDEX(Vendor_Master!$A$2:$A$401, ROUNDUP((ROW()-1)/4, 0))</f>
        <v>VND-227</v>
      </c>
      <c r="B908" t="str">
        <f t="shared" si="98"/>
        <v>Environmental Policy</v>
      </c>
      <c r="C908" t="str">
        <f t="shared" si="99"/>
        <v>Yes</v>
      </c>
      <c r="D908" t="str">
        <f t="shared" si="100"/>
        <v>Yes</v>
      </c>
      <c r="E908" s="1">
        <v>45952</v>
      </c>
      <c r="F908" s="1">
        <v>46102</v>
      </c>
      <c r="G908">
        <f t="shared" ca="1" si="101"/>
        <v>19</v>
      </c>
      <c r="H908" t="str">
        <f t="shared" ca="1" si="102"/>
        <v>Expiring Soon</v>
      </c>
      <c r="I908">
        <f t="shared" ca="1" si="103"/>
        <v>1</v>
      </c>
      <c r="J908" t="str">
        <f t="shared" si="104"/>
        <v>Environmental</v>
      </c>
    </row>
    <row r="909" spans="1:10">
      <c r="A909" t="str" cm="1">
        <f t="array" ref="A909">INDEX(Vendor_Master!$A$2:$A$401, ROUNDUP((ROW()-1)/4, 0))</f>
        <v>VND-227</v>
      </c>
      <c r="B909" t="str">
        <f t="shared" si="98"/>
        <v>Sustainability Disclosure</v>
      </c>
      <c r="C909" t="str">
        <f t="shared" si="99"/>
        <v>Yes</v>
      </c>
      <c r="D909" t="str">
        <f t="shared" si="100"/>
        <v>Yes</v>
      </c>
      <c r="E909" s="1">
        <v>45992</v>
      </c>
      <c r="F909" s="1">
        <v>46099</v>
      </c>
      <c r="G909">
        <f t="shared" ca="1" si="101"/>
        <v>16</v>
      </c>
      <c r="H909" t="str">
        <f t="shared" ca="1" si="102"/>
        <v>Expiring Soon</v>
      </c>
      <c r="I909">
        <f t="shared" ca="1" si="103"/>
        <v>1</v>
      </c>
      <c r="J909" t="str">
        <f t="shared" si="104"/>
        <v>Environmental</v>
      </c>
    </row>
    <row r="910" spans="1:10">
      <c r="A910" t="str" cm="1">
        <f t="array" ref="A910">INDEX(Vendor_Master!$A$2:$A$401, ROUNDUP((ROW()-1)/4, 0))</f>
        <v>VND-228</v>
      </c>
      <c r="B910" t="str">
        <f t="shared" si="98"/>
        <v>ISO 14001</v>
      </c>
      <c r="C910" t="str">
        <f t="shared" si="99"/>
        <v>Yes</v>
      </c>
      <c r="D910" t="str">
        <f t="shared" si="100"/>
        <v>Yes</v>
      </c>
      <c r="E910" s="1">
        <v>45501</v>
      </c>
      <c r="F910" s="1">
        <v>46106</v>
      </c>
      <c r="G910">
        <f t="shared" ca="1" si="101"/>
        <v>23</v>
      </c>
      <c r="H910" t="str">
        <f t="shared" ca="1" si="102"/>
        <v>Expiring Soon</v>
      </c>
      <c r="I910">
        <f t="shared" ca="1" si="103"/>
        <v>1</v>
      </c>
      <c r="J910" t="str">
        <f t="shared" si="104"/>
        <v>Environmental</v>
      </c>
    </row>
    <row r="911" spans="1:10">
      <c r="A911" t="str" cm="1">
        <f t="array" ref="A911">INDEX(Vendor_Master!$A$2:$A$401, ROUNDUP((ROW()-1)/4, 0))</f>
        <v>VND-228</v>
      </c>
      <c r="B911" t="str">
        <f t="shared" si="98"/>
        <v>Safety Certificate</v>
      </c>
      <c r="C911" t="str">
        <f t="shared" si="99"/>
        <v>Yes</v>
      </c>
      <c r="D911" t="str">
        <f t="shared" si="100"/>
        <v>Yes</v>
      </c>
      <c r="E911" s="1">
        <v>45675</v>
      </c>
      <c r="F911" s="1">
        <v>46091</v>
      </c>
      <c r="G911">
        <f t="shared" ca="1" si="101"/>
        <v>8</v>
      </c>
      <c r="H911" t="str">
        <f t="shared" ca="1" si="102"/>
        <v>Expiring Soon</v>
      </c>
      <c r="I911">
        <f t="shared" ca="1" si="103"/>
        <v>1</v>
      </c>
      <c r="J911" t="str">
        <f t="shared" si="104"/>
        <v>Safety</v>
      </c>
    </row>
    <row r="912" spans="1:10">
      <c r="A912" t="str" cm="1">
        <f t="array" ref="A912">INDEX(Vendor_Master!$A$2:$A$401, ROUNDUP((ROW()-1)/4, 0))</f>
        <v>VND-228</v>
      </c>
      <c r="B912" t="str">
        <f t="shared" si="98"/>
        <v>Environmental Policy</v>
      </c>
      <c r="C912" t="str">
        <f t="shared" si="99"/>
        <v>Yes</v>
      </c>
      <c r="D912" t="str">
        <f t="shared" si="100"/>
        <v>Yes</v>
      </c>
      <c r="E912" s="1">
        <v>45426</v>
      </c>
      <c r="F912" s="1">
        <v>46091</v>
      </c>
      <c r="G912">
        <f t="shared" ca="1" si="101"/>
        <v>8</v>
      </c>
      <c r="H912" t="str">
        <f t="shared" ca="1" si="102"/>
        <v>Expiring Soon</v>
      </c>
      <c r="I912">
        <f t="shared" ca="1" si="103"/>
        <v>1</v>
      </c>
      <c r="J912" t="str">
        <f t="shared" si="104"/>
        <v>Environmental</v>
      </c>
    </row>
    <row r="913" spans="1:10">
      <c r="A913" t="str" cm="1">
        <f t="array" ref="A913">INDEX(Vendor_Master!$A$2:$A$401, ROUNDUP((ROW()-1)/4, 0))</f>
        <v>VND-228</v>
      </c>
      <c r="B913" t="str">
        <f t="shared" si="98"/>
        <v>Sustainability Disclosure</v>
      </c>
      <c r="C913" t="str">
        <f t="shared" si="99"/>
        <v>Yes</v>
      </c>
      <c r="D913" t="str">
        <f t="shared" si="100"/>
        <v>Yes</v>
      </c>
      <c r="E913" s="1">
        <v>45834</v>
      </c>
      <c r="F913" s="1">
        <v>46095</v>
      </c>
      <c r="G913">
        <f t="shared" ca="1" si="101"/>
        <v>12</v>
      </c>
      <c r="H913" t="str">
        <f t="shared" ca="1" si="102"/>
        <v>Expiring Soon</v>
      </c>
      <c r="I913">
        <f t="shared" ca="1" si="103"/>
        <v>1</v>
      </c>
      <c r="J913" t="str">
        <f t="shared" si="104"/>
        <v>Environmental</v>
      </c>
    </row>
    <row r="914" spans="1:10">
      <c r="A914" t="str" cm="1">
        <f t="array" ref="A914">INDEX(Vendor_Master!$A$2:$A$401, ROUNDUP((ROW()-1)/4, 0))</f>
        <v>VND-229</v>
      </c>
      <c r="B914" t="str">
        <f t="shared" si="98"/>
        <v>ISO 14001</v>
      </c>
      <c r="C914" t="str">
        <f t="shared" si="99"/>
        <v>Yes</v>
      </c>
      <c r="D914" t="str">
        <f t="shared" si="100"/>
        <v>Yes</v>
      </c>
      <c r="E914" s="1">
        <v>45578</v>
      </c>
      <c r="F914" s="1">
        <v>46092</v>
      </c>
      <c r="G914">
        <f t="shared" ca="1" si="101"/>
        <v>9</v>
      </c>
      <c r="H914" t="str">
        <f t="shared" ca="1" si="102"/>
        <v>Expiring Soon</v>
      </c>
      <c r="I914">
        <f t="shared" ca="1" si="103"/>
        <v>1</v>
      </c>
      <c r="J914" t="str">
        <f t="shared" si="104"/>
        <v>Environmental</v>
      </c>
    </row>
    <row r="915" spans="1:10">
      <c r="A915" t="str" cm="1">
        <f t="array" ref="A915">INDEX(Vendor_Master!$A$2:$A$401, ROUNDUP((ROW()-1)/4, 0))</f>
        <v>VND-229</v>
      </c>
      <c r="B915" t="str">
        <f t="shared" si="98"/>
        <v>Safety Certificate</v>
      </c>
      <c r="C915" t="str">
        <f t="shared" si="99"/>
        <v>Yes</v>
      </c>
      <c r="D915" t="str">
        <f t="shared" si="100"/>
        <v>Yes</v>
      </c>
      <c r="E915" s="1">
        <v>45539</v>
      </c>
      <c r="F915" s="1">
        <v>46087</v>
      </c>
      <c r="G915">
        <f t="shared" ca="1" si="101"/>
        <v>4</v>
      </c>
      <c r="H915" t="str">
        <f t="shared" ca="1" si="102"/>
        <v>Expiring Soon</v>
      </c>
      <c r="I915">
        <f t="shared" ca="1" si="103"/>
        <v>1</v>
      </c>
      <c r="J915" t="str">
        <f t="shared" si="104"/>
        <v>Safety</v>
      </c>
    </row>
    <row r="916" spans="1:10">
      <c r="A916" t="str" cm="1">
        <f t="array" ref="A916">INDEX(Vendor_Master!$A$2:$A$401, ROUNDUP((ROW()-1)/4, 0))</f>
        <v>VND-229</v>
      </c>
      <c r="B916" t="str">
        <f t="shared" si="98"/>
        <v>Environmental Policy</v>
      </c>
      <c r="C916" t="str">
        <f t="shared" si="99"/>
        <v>Yes</v>
      </c>
      <c r="D916" t="str">
        <f t="shared" si="100"/>
        <v>Yes</v>
      </c>
      <c r="E916" s="1">
        <v>45927</v>
      </c>
      <c r="F916" s="1">
        <v>46096</v>
      </c>
      <c r="G916">
        <f t="shared" ca="1" si="101"/>
        <v>13</v>
      </c>
      <c r="H916" t="str">
        <f t="shared" ca="1" si="102"/>
        <v>Expiring Soon</v>
      </c>
      <c r="I916">
        <f t="shared" ca="1" si="103"/>
        <v>1</v>
      </c>
      <c r="J916" t="str">
        <f t="shared" si="104"/>
        <v>Environmental</v>
      </c>
    </row>
    <row r="917" spans="1:10">
      <c r="A917" t="str" cm="1">
        <f t="array" ref="A917">INDEX(Vendor_Master!$A$2:$A$401, ROUNDUP((ROW()-1)/4, 0))</f>
        <v>VND-229</v>
      </c>
      <c r="B917" t="str">
        <f t="shared" si="98"/>
        <v>Sustainability Disclosure</v>
      </c>
      <c r="C917" t="str">
        <f t="shared" si="99"/>
        <v>Yes</v>
      </c>
      <c r="D917" t="str">
        <f t="shared" si="100"/>
        <v>Yes</v>
      </c>
      <c r="E917" s="1">
        <v>45438</v>
      </c>
      <c r="F917" s="1">
        <v>46104</v>
      </c>
      <c r="G917">
        <f t="shared" ca="1" si="101"/>
        <v>21</v>
      </c>
      <c r="H917" t="str">
        <f t="shared" ca="1" si="102"/>
        <v>Expiring Soon</v>
      </c>
      <c r="I917">
        <f t="shared" ca="1" si="103"/>
        <v>1</v>
      </c>
      <c r="J917" t="str">
        <f t="shared" si="104"/>
        <v>Environmental</v>
      </c>
    </row>
    <row r="918" spans="1:10">
      <c r="A918" t="str" cm="1">
        <f t="array" ref="A918">INDEX(Vendor_Master!$A$2:$A$401, ROUNDUP((ROW()-1)/4, 0))</f>
        <v>VND-230</v>
      </c>
      <c r="B918" t="str">
        <f t="shared" si="98"/>
        <v>ISO 14001</v>
      </c>
      <c r="C918" t="str">
        <f t="shared" si="99"/>
        <v>Yes</v>
      </c>
      <c r="D918" t="str">
        <f t="shared" si="100"/>
        <v>Yes</v>
      </c>
      <c r="E918" s="1">
        <v>45785</v>
      </c>
      <c r="F918" s="1">
        <v>46087</v>
      </c>
      <c r="G918">
        <f t="shared" ca="1" si="101"/>
        <v>4</v>
      </c>
      <c r="H918" t="str">
        <f t="shared" ca="1" si="102"/>
        <v>Expiring Soon</v>
      </c>
      <c r="I918">
        <f t="shared" ca="1" si="103"/>
        <v>1</v>
      </c>
      <c r="J918" t="str">
        <f t="shared" si="104"/>
        <v>Environmental</v>
      </c>
    </row>
    <row r="919" spans="1:10">
      <c r="A919" t="str" cm="1">
        <f t="array" ref="A919">INDEX(Vendor_Master!$A$2:$A$401, ROUNDUP((ROW()-1)/4, 0))</f>
        <v>VND-230</v>
      </c>
      <c r="B919" t="str">
        <f t="shared" si="98"/>
        <v>Safety Certificate</v>
      </c>
      <c r="C919" t="str">
        <f t="shared" si="99"/>
        <v>Yes</v>
      </c>
      <c r="D919" t="str">
        <f t="shared" si="100"/>
        <v>Yes</v>
      </c>
      <c r="E919" s="1">
        <v>45625</v>
      </c>
      <c r="F919" s="1">
        <v>46102</v>
      </c>
      <c r="G919">
        <f t="shared" ca="1" si="101"/>
        <v>19</v>
      </c>
      <c r="H919" t="str">
        <f t="shared" ca="1" si="102"/>
        <v>Expiring Soon</v>
      </c>
      <c r="I919">
        <f t="shared" ca="1" si="103"/>
        <v>1</v>
      </c>
      <c r="J919" t="str">
        <f t="shared" si="104"/>
        <v>Safety</v>
      </c>
    </row>
    <row r="920" spans="1:10">
      <c r="A920" t="str" cm="1">
        <f t="array" ref="A920">INDEX(Vendor_Master!$A$2:$A$401, ROUNDUP((ROW()-1)/4, 0))</f>
        <v>VND-230</v>
      </c>
      <c r="B920" t="str">
        <f t="shared" si="98"/>
        <v>Environmental Policy</v>
      </c>
      <c r="C920" t="str">
        <f t="shared" si="99"/>
        <v>Yes</v>
      </c>
      <c r="D920" t="str">
        <f t="shared" si="100"/>
        <v>Yes</v>
      </c>
      <c r="E920" s="1">
        <v>45591</v>
      </c>
      <c r="F920" s="1">
        <v>46111</v>
      </c>
      <c r="G920">
        <f t="shared" ca="1" si="101"/>
        <v>28</v>
      </c>
      <c r="H920" t="str">
        <f t="shared" ca="1" si="102"/>
        <v>Expiring Soon</v>
      </c>
      <c r="I920">
        <f t="shared" ca="1" si="103"/>
        <v>1</v>
      </c>
      <c r="J920" t="str">
        <f t="shared" si="104"/>
        <v>Environmental</v>
      </c>
    </row>
    <row r="921" spans="1:10">
      <c r="A921" t="str" cm="1">
        <f t="array" ref="A921">INDEX(Vendor_Master!$A$2:$A$401, ROUNDUP((ROW()-1)/4, 0))</f>
        <v>VND-230</v>
      </c>
      <c r="B921" t="str">
        <f t="shared" si="98"/>
        <v>Sustainability Disclosure</v>
      </c>
      <c r="C921" t="str">
        <f t="shared" si="99"/>
        <v>Yes</v>
      </c>
      <c r="D921" t="str">
        <f t="shared" si="100"/>
        <v>Yes</v>
      </c>
      <c r="E921" s="1">
        <v>45661</v>
      </c>
      <c r="F921" s="1">
        <v>46086</v>
      </c>
      <c r="G921">
        <f t="shared" ca="1" si="101"/>
        <v>3</v>
      </c>
      <c r="H921" t="str">
        <f t="shared" ca="1" si="102"/>
        <v>Expiring Soon</v>
      </c>
      <c r="I921">
        <f t="shared" ca="1" si="103"/>
        <v>1</v>
      </c>
      <c r="J921" t="str">
        <f t="shared" si="104"/>
        <v>Environmental</v>
      </c>
    </row>
    <row r="922" spans="1:10">
      <c r="A922" t="str" cm="1">
        <f t="array" ref="A922">INDEX(Vendor_Master!$A$2:$A$401, ROUNDUP((ROW()-1)/4, 0))</f>
        <v>VND-231</v>
      </c>
      <c r="B922" t="str">
        <f t="shared" si="98"/>
        <v>ISO 14001</v>
      </c>
      <c r="C922" t="str">
        <f t="shared" si="99"/>
        <v>Yes</v>
      </c>
      <c r="D922" t="str">
        <f t="shared" si="100"/>
        <v>Yes</v>
      </c>
      <c r="E922" s="1">
        <v>45908</v>
      </c>
      <c r="F922" s="1">
        <v>46104</v>
      </c>
      <c r="G922">
        <f t="shared" ca="1" si="101"/>
        <v>21</v>
      </c>
      <c r="H922" t="str">
        <f t="shared" ca="1" si="102"/>
        <v>Expiring Soon</v>
      </c>
      <c r="I922">
        <f t="shared" ca="1" si="103"/>
        <v>1</v>
      </c>
      <c r="J922" t="str">
        <f t="shared" si="104"/>
        <v>Environmental</v>
      </c>
    </row>
    <row r="923" spans="1:10">
      <c r="A923" t="str" cm="1">
        <f t="array" ref="A923">INDEX(Vendor_Master!$A$2:$A$401, ROUNDUP((ROW()-1)/4, 0))</f>
        <v>VND-231</v>
      </c>
      <c r="B923" t="str">
        <f t="shared" si="98"/>
        <v>Safety Certificate</v>
      </c>
      <c r="C923" t="str">
        <f t="shared" si="99"/>
        <v>Yes</v>
      </c>
      <c r="D923" t="str">
        <f t="shared" si="100"/>
        <v>Yes</v>
      </c>
      <c r="E923" s="1">
        <v>45829</v>
      </c>
      <c r="F923" s="1">
        <v>46101</v>
      </c>
      <c r="G923">
        <f t="shared" ca="1" si="101"/>
        <v>18</v>
      </c>
      <c r="H923" t="str">
        <f t="shared" ca="1" si="102"/>
        <v>Expiring Soon</v>
      </c>
      <c r="I923">
        <f t="shared" ca="1" si="103"/>
        <v>1</v>
      </c>
      <c r="J923" t="str">
        <f t="shared" si="104"/>
        <v>Safety</v>
      </c>
    </row>
    <row r="924" spans="1:10">
      <c r="A924" t="str" cm="1">
        <f t="array" ref="A924">INDEX(Vendor_Master!$A$2:$A$401, ROUNDUP((ROW()-1)/4, 0))</f>
        <v>VND-231</v>
      </c>
      <c r="B924" t="str">
        <f t="shared" si="98"/>
        <v>Environmental Policy</v>
      </c>
      <c r="C924" t="str">
        <f t="shared" si="99"/>
        <v>Yes</v>
      </c>
      <c r="D924" t="str">
        <f t="shared" si="100"/>
        <v>Yes</v>
      </c>
      <c r="E924" s="1">
        <v>45782</v>
      </c>
      <c r="F924" s="1">
        <v>46109</v>
      </c>
      <c r="G924">
        <f t="shared" ca="1" si="101"/>
        <v>26</v>
      </c>
      <c r="H924" t="str">
        <f t="shared" ca="1" si="102"/>
        <v>Expiring Soon</v>
      </c>
      <c r="I924">
        <f t="shared" ca="1" si="103"/>
        <v>1</v>
      </c>
      <c r="J924" t="str">
        <f t="shared" si="104"/>
        <v>Environmental</v>
      </c>
    </row>
    <row r="925" spans="1:10">
      <c r="A925" t="str" cm="1">
        <f t="array" ref="A925">INDEX(Vendor_Master!$A$2:$A$401, ROUNDUP((ROW()-1)/4, 0))</f>
        <v>VND-231</v>
      </c>
      <c r="B925" t="str">
        <f t="shared" si="98"/>
        <v>Sustainability Disclosure</v>
      </c>
      <c r="C925" t="str">
        <f t="shared" si="99"/>
        <v>Yes</v>
      </c>
      <c r="D925" t="str">
        <f t="shared" si="100"/>
        <v>Yes</v>
      </c>
      <c r="E925" s="1">
        <v>45413</v>
      </c>
      <c r="F925" s="1">
        <v>46101</v>
      </c>
      <c r="G925">
        <f t="shared" ca="1" si="101"/>
        <v>18</v>
      </c>
      <c r="H925" t="str">
        <f t="shared" ca="1" si="102"/>
        <v>Expiring Soon</v>
      </c>
      <c r="I925">
        <f t="shared" ca="1" si="103"/>
        <v>1</v>
      </c>
      <c r="J925" t="str">
        <f t="shared" si="104"/>
        <v>Environmental</v>
      </c>
    </row>
    <row r="926" spans="1:10">
      <c r="A926" t="str" cm="1">
        <f t="array" ref="A926">INDEX(Vendor_Master!$A$2:$A$401, ROUNDUP((ROW()-1)/4, 0))</f>
        <v>VND-232</v>
      </c>
      <c r="B926" t="str">
        <f t="shared" si="98"/>
        <v>ISO 14001</v>
      </c>
      <c r="C926" t="str">
        <f t="shared" si="99"/>
        <v>Yes</v>
      </c>
      <c r="D926" t="str">
        <f t="shared" si="100"/>
        <v>Yes</v>
      </c>
      <c r="E926" s="1">
        <v>45951</v>
      </c>
      <c r="F926" s="1">
        <v>46106</v>
      </c>
      <c r="G926">
        <f t="shared" ca="1" si="101"/>
        <v>23</v>
      </c>
      <c r="H926" t="str">
        <f t="shared" ca="1" si="102"/>
        <v>Expiring Soon</v>
      </c>
      <c r="I926">
        <f t="shared" ca="1" si="103"/>
        <v>1</v>
      </c>
      <c r="J926" t="str">
        <f t="shared" si="104"/>
        <v>Environmental</v>
      </c>
    </row>
    <row r="927" spans="1:10">
      <c r="A927" t="str" cm="1">
        <f t="array" ref="A927">INDEX(Vendor_Master!$A$2:$A$401, ROUNDUP((ROW()-1)/4, 0))</f>
        <v>VND-232</v>
      </c>
      <c r="B927" t="str">
        <f t="shared" si="98"/>
        <v>Safety Certificate</v>
      </c>
      <c r="C927" t="str">
        <f t="shared" si="99"/>
        <v>Yes</v>
      </c>
      <c r="D927" t="str">
        <f t="shared" si="100"/>
        <v>Yes</v>
      </c>
      <c r="E927" s="1">
        <v>45625</v>
      </c>
      <c r="F927" s="1">
        <v>46082</v>
      </c>
      <c r="G927">
        <f t="shared" ca="1" si="101"/>
        <v>-1</v>
      </c>
      <c r="H927" t="str">
        <f t="shared" ca="1" si="102"/>
        <v>Expired</v>
      </c>
      <c r="I927">
        <f t="shared" ca="1" si="103"/>
        <v>1</v>
      </c>
      <c r="J927" t="str">
        <f t="shared" si="104"/>
        <v>Safety</v>
      </c>
    </row>
    <row r="928" spans="1:10">
      <c r="A928" t="str" cm="1">
        <f t="array" ref="A928">INDEX(Vendor_Master!$A$2:$A$401, ROUNDUP((ROW()-1)/4, 0))</f>
        <v>VND-232</v>
      </c>
      <c r="B928" t="str">
        <f t="shared" si="98"/>
        <v>Environmental Policy</v>
      </c>
      <c r="C928" t="str">
        <f t="shared" si="99"/>
        <v>Yes</v>
      </c>
      <c r="D928" t="str">
        <f t="shared" si="100"/>
        <v>Yes</v>
      </c>
      <c r="E928" s="1">
        <v>45609</v>
      </c>
      <c r="F928" s="1">
        <v>46093</v>
      </c>
      <c r="G928">
        <f t="shared" ca="1" si="101"/>
        <v>10</v>
      </c>
      <c r="H928" t="str">
        <f t="shared" ca="1" si="102"/>
        <v>Expiring Soon</v>
      </c>
      <c r="I928">
        <f t="shared" ca="1" si="103"/>
        <v>1</v>
      </c>
      <c r="J928" t="str">
        <f t="shared" si="104"/>
        <v>Environmental</v>
      </c>
    </row>
    <row r="929" spans="1:10">
      <c r="A929" t="str" cm="1">
        <f t="array" ref="A929">INDEX(Vendor_Master!$A$2:$A$401, ROUNDUP((ROW()-1)/4, 0))</f>
        <v>VND-232</v>
      </c>
      <c r="B929" t="str">
        <f t="shared" si="98"/>
        <v>Sustainability Disclosure</v>
      </c>
      <c r="C929" t="str">
        <f t="shared" si="99"/>
        <v>Yes</v>
      </c>
      <c r="D929" t="str">
        <f t="shared" si="100"/>
        <v>Yes</v>
      </c>
      <c r="E929" s="1">
        <v>45954</v>
      </c>
      <c r="F929" s="1">
        <v>46108</v>
      </c>
      <c r="G929">
        <f t="shared" ca="1" si="101"/>
        <v>25</v>
      </c>
      <c r="H929" t="str">
        <f t="shared" ca="1" si="102"/>
        <v>Expiring Soon</v>
      </c>
      <c r="I929">
        <f t="shared" ca="1" si="103"/>
        <v>1</v>
      </c>
      <c r="J929" t="str">
        <f t="shared" si="104"/>
        <v>Environmental</v>
      </c>
    </row>
    <row r="930" spans="1:10">
      <c r="A930" t="str" cm="1">
        <f t="array" ref="A930">INDEX(Vendor_Master!$A$2:$A$401, ROUNDUP((ROW()-1)/4, 0))</f>
        <v>VND-233</v>
      </c>
      <c r="B930" t="str">
        <f t="shared" si="98"/>
        <v>ISO 14001</v>
      </c>
      <c r="C930" t="str">
        <f t="shared" si="99"/>
        <v>Yes</v>
      </c>
      <c r="D930" t="str">
        <f t="shared" si="100"/>
        <v>Yes</v>
      </c>
      <c r="E930" s="1">
        <v>45873</v>
      </c>
      <c r="F930" s="1">
        <v>46100</v>
      </c>
      <c r="G930">
        <f t="shared" ca="1" si="101"/>
        <v>17</v>
      </c>
      <c r="H930" t="str">
        <f t="shared" ca="1" si="102"/>
        <v>Expiring Soon</v>
      </c>
      <c r="I930">
        <f t="shared" ca="1" si="103"/>
        <v>1</v>
      </c>
      <c r="J930" t="str">
        <f t="shared" si="104"/>
        <v>Environmental</v>
      </c>
    </row>
    <row r="931" spans="1:10">
      <c r="A931" t="str" cm="1">
        <f t="array" ref="A931">INDEX(Vendor_Master!$A$2:$A$401, ROUNDUP((ROW()-1)/4, 0))</f>
        <v>VND-233</v>
      </c>
      <c r="B931" t="str">
        <f t="shared" si="98"/>
        <v>Safety Certificate</v>
      </c>
      <c r="C931" t="str">
        <f t="shared" si="99"/>
        <v>Yes</v>
      </c>
      <c r="D931" t="str">
        <f t="shared" si="100"/>
        <v>Yes</v>
      </c>
      <c r="E931" s="1">
        <v>45408</v>
      </c>
      <c r="F931" s="1">
        <v>46093</v>
      </c>
      <c r="G931">
        <f t="shared" ca="1" si="101"/>
        <v>10</v>
      </c>
      <c r="H931" t="str">
        <f t="shared" ca="1" si="102"/>
        <v>Expiring Soon</v>
      </c>
      <c r="I931">
        <f t="shared" ca="1" si="103"/>
        <v>1</v>
      </c>
      <c r="J931" t="str">
        <f t="shared" si="104"/>
        <v>Safety</v>
      </c>
    </row>
    <row r="932" spans="1:10">
      <c r="A932" t="str" cm="1">
        <f t="array" ref="A932">INDEX(Vendor_Master!$A$2:$A$401, ROUNDUP((ROW()-1)/4, 0))</f>
        <v>VND-233</v>
      </c>
      <c r="B932" t="str">
        <f t="shared" si="98"/>
        <v>Environmental Policy</v>
      </c>
      <c r="C932" t="str">
        <f t="shared" si="99"/>
        <v>Yes</v>
      </c>
      <c r="D932" t="str">
        <f t="shared" si="100"/>
        <v>Yes</v>
      </c>
      <c r="E932" s="1">
        <v>45691</v>
      </c>
      <c r="F932" s="1">
        <v>46105</v>
      </c>
      <c r="G932">
        <f t="shared" ca="1" si="101"/>
        <v>22</v>
      </c>
      <c r="H932" t="str">
        <f t="shared" ca="1" si="102"/>
        <v>Expiring Soon</v>
      </c>
      <c r="I932">
        <f t="shared" ca="1" si="103"/>
        <v>1</v>
      </c>
      <c r="J932" t="str">
        <f t="shared" si="104"/>
        <v>Environmental</v>
      </c>
    </row>
    <row r="933" spans="1:10">
      <c r="A933" t="str" cm="1">
        <f t="array" ref="A933">INDEX(Vendor_Master!$A$2:$A$401, ROUNDUP((ROW()-1)/4, 0))</f>
        <v>VND-233</v>
      </c>
      <c r="B933" t="str">
        <f t="shared" si="98"/>
        <v>Sustainability Disclosure</v>
      </c>
      <c r="C933" t="str">
        <f t="shared" si="99"/>
        <v>Yes</v>
      </c>
      <c r="D933" t="str">
        <f t="shared" si="100"/>
        <v>Yes</v>
      </c>
      <c r="E933" s="1">
        <v>46045</v>
      </c>
      <c r="F933" s="1">
        <v>46110</v>
      </c>
      <c r="G933">
        <f t="shared" ca="1" si="101"/>
        <v>27</v>
      </c>
      <c r="H933" t="str">
        <f t="shared" ca="1" si="102"/>
        <v>Expiring Soon</v>
      </c>
      <c r="I933">
        <f t="shared" ca="1" si="103"/>
        <v>1</v>
      </c>
      <c r="J933" t="str">
        <f t="shared" si="104"/>
        <v>Environmental</v>
      </c>
    </row>
    <row r="934" spans="1:10">
      <c r="A934" t="str" cm="1">
        <f t="array" ref="A934">INDEX(Vendor_Master!$A$2:$A$401, ROUNDUP((ROW()-1)/4, 0))</f>
        <v>VND-234</v>
      </c>
      <c r="B934" t="str">
        <f t="shared" si="98"/>
        <v>ISO 14001</v>
      </c>
      <c r="C934" t="str">
        <f t="shared" si="99"/>
        <v>Yes</v>
      </c>
      <c r="D934" t="str">
        <f t="shared" si="100"/>
        <v>Yes</v>
      </c>
      <c r="E934" s="1">
        <v>45762</v>
      </c>
      <c r="F934" s="1">
        <v>46087</v>
      </c>
      <c r="G934">
        <f t="shared" ca="1" si="101"/>
        <v>4</v>
      </c>
      <c r="H934" t="str">
        <f t="shared" ca="1" si="102"/>
        <v>Expiring Soon</v>
      </c>
      <c r="I934">
        <f t="shared" ca="1" si="103"/>
        <v>1</v>
      </c>
      <c r="J934" t="str">
        <f t="shared" si="104"/>
        <v>Environmental</v>
      </c>
    </row>
    <row r="935" spans="1:10">
      <c r="A935" t="str" cm="1">
        <f t="array" ref="A935">INDEX(Vendor_Master!$A$2:$A$401, ROUNDUP((ROW()-1)/4, 0))</f>
        <v>VND-234</v>
      </c>
      <c r="B935" t="str">
        <f t="shared" si="98"/>
        <v>Safety Certificate</v>
      </c>
      <c r="C935" t="str">
        <f t="shared" si="99"/>
        <v>Yes</v>
      </c>
      <c r="D935" t="str">
        <f t="shared" si="100"/>
        <v>Yes</v>
      </c>
      <c r="E935" s="1">
        <v>45495</v>
      </c>
      <c r="F935" s="1">
        <v>46101</v>
      </c>
      <c r="G935">
        <f t="shared" ca="1" si="101"/>
        <v>18</v>
      </c>
      <c r="H935" t="str">
        <f t="shared" ca="1" si="102"/>
        <v>Expiring Soon</v>
      </c>
      <c r="I935">
        <f t="shared" ca="1" si="103"/>
        <v>1</v>
      </c>
      <c r="J935" t="str">
        <f t="shared" si="104"/>
        <v>Safety</v>
      </c>
    </row>
    <row r="936" spans="1:10">
      <c r="A936" t="str" cm="1">
        <f t="array" ref="A936">INDEX(Vendor_Master!$A$2:$A$401, ROUNDUP((ROW()-1)/4, 0))</f>
        <v>VND-234</v>
      </c>
      <c r="B936" t="str">
        <f t="shared" si="98"/>
        <v>Environmental Policy</v>
      </c>
      <c r="C936" t="str">
        <f t="shared" si="99"/>
        <v>Yes</v>
      </c>
      <c r="D936" t="str">
        <f t="shared" si="100"/>
        <v>Yes</v>
      </c>
      <c r="E936" s="1">
        <v>45704</v>
      </c>
      <c r="F936" s="1">
        <v>46089</v>
      </c>
      <c r="G936">
        <f t="shared" ca="1" si="101"/>
        <v>6</v>
      </c>
      <c r="H936" t="str">
        <f t="shared" ca="1" si="102"/>
        <v>Expiring Soon</v>
      </c>
      <c r="I936">
        <f t="shared" ca="1" si="103"/>
        <v>1</v>
      </c>
      <c r="J936" t="str">
        <f t="shared" si="104"/>
        <v>Environmental</v>
      </c>
    </row>
    <row r="937" spans="1:10">
      <c r="A937" t="str" cm="1">
        <f t="array" ref="A937">INDEX(Vendor_Master!$A$2:$A$401, ROUNDUP((ROW()-1)/4, 0))</f>
        <v>VND-234</v>
      </c>
      <c r="B937" t="str">
        <f t="shared" si="98"/>
        <v>Sustainability Disclosure</v>
      </c>
      <c r="C937" t="str">
        <f t="shared" si="99"/>
        <v>Yes</v>
      </c>
      <c r="D937" t="str">
        <f t="shared" si="100"/>
        <v>Yes</v>
      </c>
      <c r="E937" s="1">
        <v>46051</v>
      </c>
      <c r="F937" s="1">
        <v>46103</v>
      </c>
      <c r="G937">
        <f t="shared" ca="1" si="101"/>
        <v>20</v>
      </c>
      <c r="H937" t="str">
        <f t="shared" ca="1" si="102"/>
        <v>Expiring Soon</v>
      </c>
      <c r="I937">
        <f t="shared" ca="1" si="103"/>
        <v>1</v>
      </c>
      <c r="J937" t="str">
        <f t="shared" si="104"/>
        <v>Environmental</v>
      </c>
    </row>
    <row r="938" spans="1:10">
      <c r="A938" t="str" cm="1">
        <f t="array" ref="A938">INDEX(Vendor_Master!$A$2:$A$401, ROUNDUP((ROW()-1)/4, 0))</f>
        <v>VND-235</v>
      </c>
      <c r="B938" t="str">
        <f t="shared" si="98"/>
        <v>ISO 14001</v>
      </c>
      <c r="C938" t="str">
        <f t="shared" si="99"/>
        <v>Yes</v>
      </c>
      <c r="D938" t="str">
        <f t="shared" si="100"/>
        <v>Yes</v>
      </c>
      <c r="E938" s="1">
        <v>45489</v>
      </c>
      <c r="F938" s="1">
        <v>46090</v>
      </c>
      <c r="G938">
        <f t="shared" ca="1" si="101"/>
        <v>7</v>
      </c>
      <c r="H938" t="str">
        <f t="shared" ca="1" si="102"/>
        <v>Expiring Soon</v>
      </c>
      <c r="I938">
        <f t="shared" ca="1" si="103"/>
        <v>1</v>
      </c>
      <c r="J938" t="str">
        <f t="shared" si="104"/>
        <v>Environmental</v>
      </c>
    </row>
    <row r="939" spans="1:10">
      <c r="A939" t="str" cm="1">
        <f t="array" ref="A939">INDEX(Vendor_Master!$A$2:$A$401, ROUNDUP((ROW()-1)/4, 0))</f>
        <v>VND-235</v>
      </c>
      <c r="B939" t="str">
        <f t="shared" si="98"/>
        <v>Safety Certificate</v>
      </c>
      <c r="C939" t="str">
        <f t="shared" si="99"/>
        <v>Yes</v>
      </c>
      <c r="D939" t="str">
        <f t="shared" si="100"/>
        <v>Yes</v>
      </c>
      <c r="E939" s="1">
        <v>45535</v>
      </c>
      <c r="F939" s="1">
        <v>46099</v>
      </c>
      <c r="G939">
        <f t="shared" ca="1" si="101"/>
        <v>16</v>
      </c>
      <c r="H939" t="str">
        <f t="shared" ca="1" si="102"/>
        <v>Expiring Soon</v>
      </c>
      <c r="I939">
        <f t="shared" ca="1" si="103"/>
        <v>1</v>
      </c>
      <c r="J939" t="str">
        <f t="shared" si="104"/>
        <v>Safety</v>
      </c>
    </row>
    <row r="940" spans="1:10">
      <c r="A940" t="str" cm="1">
        <f t="array" ref="A940">INDEX(Vendor_Master!$A$2:$A$401, ROUNDUP((ROW()-1)/4, 0))</f>
        <v>VND-235</v>
      </c>
      <c r="B940" t="str">
        <f t="shared" si="98"/>
        <v>Environmental Policy</v>
      </c>
      <c r="C940" t="str">
        <f t="shared" si="99"/>
        <v>Yes</v>
      </c>
      <c r="D940" t="str">
        <f t="shared" si="100"/>
        <v>Yes</v>
      </c>
      <c r="E940" s="1">
        <v>45620</v>
      </c>
      <c r="F940" s="1">
        <v>46095</v>
      </c>
      <c r="G940">
        <f t="shared" ca="1" si="101"/>
        <v>12</v>
      </c>
      <c r="H940" t="str">
        <f t="shared" ca="1" si="102"/>
        <v>Expiring Soon</v>
      </c>
      <c r="I940">
        <f t="shared" ca="1" si="103"/>
        <v>1</v>
      </c>
      <c r="J940" t="str">
        <f t="shared" si="104"/>
        <v>Environmental</v>
      </c>
    </row>
    <row r="941" spans="1:10">
      <c r="A941" t="str" cm="1">
        <f t="array" ref="A941">INDEX(Vendor_Master!$A$2:$A$401, ROUNDUP((ROW()-1)/4, 0))</f>
        <v>VND-235</v>
      </c>
      <c r="B941" t="str">
        <f t="shared" si="98"/>
        <v>Sustainability Disclosure</v>
      </c>
      <c r="C941" t="str">
        <f t="shared" si="99"/>
        <v>Yes</v>
      </c>
      <c r="D941" t="str">
        <f t="shared" si="100"/>
        <v>Yes</v>
      </c>
      <c r="E941" s="1">
        <v>45589</v>
      </c>
      <c r="F941" s="1">
        <v>46108</v>
      </c>
      <c r="G941">
        <f t="shared" ca="1" si="101"/>
        <v>25</v>
      </c>
      <c r="H941" t="str">
        <f t="shared" ca="1" si="102"/>
        <v>Expiring Soon</v>
      </c>
      <c r="I941">
        <f t="shared" ca="1" si="103"/>
        <v>1</v>
      </c>
      <c r="J941" t="str">
        <f t="shared" si="104"/>
        <v>Environmental</v>
      </c>
    </row>
    <row r="942" spans="1:10">
      <c r="A942" t="str" cm="1">
        <f t="array" ref="A942">INDEX(Vendor_Master!$A$2:$A$401, ROUNDUP((ROW()-1)/4, 0))</f>
        <v>VND-236</v>
      </c>
      <c r="B942" t="str">
        <f t="shared" si="98"/>
        <v>ISO 14001</v>
      </c>
      <c r="C942" t="str">
        <f t="shared" si="99"/>
        <v>Yes</v>
      </c>
      <c r="D942" t="str">
        <f t="shared" si="100"/>
        <v>Yes</v>
      </c>
      <c r="E942" s="1">
        <v>45798</v>
      </c>
      <c r="F942" s="1">
        <v>46102</v>
      </c>
      <c r="G942">
        <f t="shared" ca="1" si="101"/>
        <v>19</v>
      </c>
      <c r="H942" t="str">
        <f t="shared" ca="1" si="102"/>
        <v>Expiring Soon</v>
      </c>
      <c r="I942">
        <f t="shared" ca="1" si="103"/>
        <v>1</v>
      </c>
      <c r="J942" t="str">
        <f t="shared" si="104"/>
        <v>Environmental</v>
      </c>
    </row>
    <row r="943" spans="1:10">
      <c r="A943" t="str" cm="1">
        <f t="array" ref="A943">INDEX(Vendor_Master!$A$2:$A$401, ROUNDUP((ROW()-1)/4, 0))</f>
        <v>VND-236</v>
      </c>
      <c r="B943" t="str">
        <f t="shared" si="98"/>
        <v>Safety Certificate</v>
      </c>
      <c r="C943" t="str">
        <f t="shared" si="99"/>
        <v>Yes</v>
      </c>
      <c r="D943" t="str">
        <f t="shared" si="100"/>
        <v>Yes</v>
      </c>
      <c r="E943" s="1">
        <v>45448</v>
      </c>
      <c r="F943" s="1">
        <v>46091</v>
      </c>
      <c r="G943">
        <f t="shared" ca="1" si="101"/>
        <v>8</v>
      </c>
      <c r="H943" t="str">
        <f t="shared" ca="1" si="102"/>
        <v>Expiring Soon</v>
      </c>
      <c r="I943">
        <f t="shared" ca="1" si="103"/>
        <v>1</v>
      </c>
      <c r="J943" t="str">
        <f t="shared" si="104"/>
        <v>Safety</v>
      </c>
    </row>
    <row r="944" spans="1:10">
      <c r="A944" t="str" cm="1">
        <f t="array" ref="A944">INDEX(Vendor_Master!$A$2:$A$401, ROUNDUP((ROW()-1)/4, 0))</f>
        <v>VND-236</v>
      </c>
      <c r="B944" t="str">
        <f t="shared" si="98"/>
        <v>Environmental Policy</v>
      </c>
      <c r="C944" t="str">
        <f t="shared" si="99"/>
        <v>Yes</v>
      </c>
      <c r="D944" t="str">
        <f t="shared" si="100"/>
        <v>Yes</v>
      </c>
      <c r="E944" s="1">
        <v>45967</v>
      </c>
      <c r="F944" s="1">
        <v>46094</v>
      </c>
      <c r="G944">
        <f t="shared" ca="1" si="101"/>
        <v>11</v>
      </c>
      <c r="H944" t="str">
        <f t="shared" ca="1" si="102"/>
        <v>Expiring Soon</v>
      </c>
      <c r="I944">
        <f t="shared" ca="1" si="103"/>
        <v>1</v>
      </c>
      <c r="J944" t="str">
        <f t="shared" si="104"/>
        <v>Environmental</v>
      </c>
    </row>
    <row r="945" spans="1:10">
      <c r="A945" t="str" cm="1">
        <f t="array" ref="A945">INDEX(Vendor_Master!$A$2:$A$401, ROUNDUP((ROW()-1)/4, 0))</f>
        <v>VND-236</v>
      </c>
      <c r="B945" t="str">
        <f t="shared" si="98"/>
        <v>Sustainability Disclosure</v>
      </c>
      <c r="C945" t="str">
        <f t="shared" si="99"/>
        <v>Yes</v>
      </c>
      <c r="D945" t="str">
        <f t="shared" si="100"/>
        <v>Yes</v>
      </c>
      <c r="E945" s="1">
        <v>45734</v>
      </c>
      <c r="F945" s="1">
        <v>46108</v>
      </c>
      <c r="G945">
        <f t="shared" ca="1" si="101"/>
        <v>25</v>
      </c>
      <c r="H945" t="str">
        <f t="shared" ca="1" si="102"/>
        <v>Expiring Soon</v>
      </c>
      <c r="I945">
        <f t="shared" ca="1" si="103"/>
        <v>1</v>
      </c>
      <c r="J945" t="str">
        <f t="shared" si="104"/>
        <v>Environmental</v>
      </c>
    </row>
    <row r="946" spans="1:10">
      <c r="A946" t="str" cm="1">
        <f t="array" ref="A946">INDEX(Vendor_Master!$A$2:$A$401, ROUNDUP((ROW()-1)/4, 0))</f>
        <v>VND-237</v>
      </c>
      <c r="B946" t="str">
        <f t="shared" si="98"/>
        <v>ISO 14001</v>
      </c>
      <c r="C946" t="str">
        <f t="shared" si="99"/>
        <v>Yes</v>
      </c>
      <c r="D946" t="str">
        <f t="shared" si="100"/>
        <v>Yes</v>
      </c>
      <c r="E946" s="1">
        <v>45854</v>
      </c>
      <c r="F946" s="1">
        <v>46111</v>
      </c>
      <c r="G946">
        <f t="shared" ca="1" si="101"/>
        <v>28</v>
      </c>
      <c r="H946" t="str">
        <f t="shared" ca="1" si="102"/>
        <v>Expiring Soon</v>
      </c>
      <c r="I946">
        <f t="shared" ca="1" si="103"/>
        <v>1</v>
      </c>
      <c r="J946" t="str">
        <f t="shared" si="104"/>
        <v>Environmental</v>
      </c>
    </row>
    <row r="947" spans="1:10">
      <c r="A947" t="str" cm="1">
        <f t="array" ref="A947">INDEX(Vendor_Master!$A$2:$A$401, ROUNDUP((ROW()-1)/4, 0))</f>
        <v>VND-237</v>
      </c>
      <c r="B947" t="str">
        <f t="shared" si="98"/>
        <v>Safety Certificate</v>
      </c>
      <c r="C947" t="str">
        <f t="shared" si="99"/>
        <v>Yes</v>
      </c>
      <c r="D947" t="str">
        <f t="shared" si="100"/>
        <v>Yes</v>
      </c>
      <c r="E947" s="1">
        <v>45981</v>
      </c>
      <c r="F947" s="1">
        <v>46103</v>
      </c>
      <c r="G947">
        <f t="shared" ca="1" si="101"/>
        <v>20</v>
      </c>
      <c r="H947" t="str">
        <f t="shared" ca="1" si="102"/>
        <v>Expiring Soon</v>
      </c>
      <c r="I947">
        <f t="shared" ca="1" si="103"/>
        <v>1</v>
      </c>
      <c r="J947" t="str">
        <f t="shared" si="104"/>
        <v>Safety</v>
      </c>
    </row>
    <row r="948" spans="1:10">
      <c r="A948" t="str" cm="1">
        <f t="array" ref="A948">INDEX(Vendor_Master!$A$2:$A$401, ROUNDUP((ROW()-1)/4, 0))</f>
        <v>VND-237</v>
      </c>
      <c r="B948" t="str">
        <f t="shared" si="98"/>
        <v>Environmental Policy</v>
      </c>
      <c r="C948" t="str">
        <f t="shared" si="99"/>
        <v>Yes</v>
      </c>
      <c r="D948" t="str">
        <f t="shared" si="100"/>
        <v>Yes</v>
      </c>
      <c r="E948" s="1">
        <v>45883</v>
      </c>
      <c r="F948" s="1">
        <v>46087</v>
      </c>
      <c r="G948">
        <f t="shared" ca="1" si="101"/>
        <v>4</v>
      </c>
      <c r="H948" t="str">
        <f t="shared" ca="1" si="102"/>
        <v>Expiring Soon</v>
      </c>
      <c r="I948">
        <f t="shared" ca="1" si="103"/>
        <v>1</v>
      </c>
      <c r="J948" t="str">
        <f t="shared" si="104"/>
        <v>Environmental</v>
      </c>
    </row>
    <row r="949" spans="1:10">
      <c r="A949" t="str" cm="1">
        <f t="array" ref="A949">INDEX(Vendor_Master!$A$2:$A$401, ROUNDUP((ROW()-1)/4, 0))</f>
        <v>VND-237</v>
      </c>
      <c r="B949" t="str">
        <f t="shared" si="98"/>
        <v>Sustainability Disclosure</v>
      </c>
      <c r="C949" t="str">
        <f t="shared" si="99"/>
        <v>Yes</v>
      </c>
      <c r="D949" t="str">
        <f t="shared" si="100"/>
        <v>Yes</v>
      </c>
      <c r="E949" s="1">
        <v>45490</v>
      </c>
      <c r="F949" s="1">
        <v>46110</v>
      </c>
      <c r="G949">
        <f t="shared" ca="1" si="101"/>
        <v>27</v>
      </c>
      <c r="H949" t="str">
        <f t="shared" ca="1" si="102"/>
        <v>Expiring Soon</v>
      </c>
      <c r="I949">
        <f t="shared" ca="1" si="103"/>
        <v>1</v>
      </c>
      <c r="J949" t="str">
        <f t="shared" si="104"/>
        <v>Environmental</v>
      </c>
    </row>
    <row r="950" spans="1:10">
      <c r="A950" t="str" cm="1">
        <f t="array" ref="A950">INDEX(Vendor_Master!$A$2:$A$401, ROUNDUP((ROW()-1)/4, 0))</f>
        <v>VND-238</v>
      </c>
      <c r="B950" t="str">
        <f t="shared" si="98"/>
        <v>ISO 14001</v>
      </c>
      <c r="C950" t="str">
        <f t="shared" si="99"/>
        <v>Yes</v>
      </c>
      <c r="D950" t="str">
        <f t="shared" si="100"/>
        <v>Yes</v>
      </c>
      <c r="E950" s="1">
        <v>45427</v>
      </c>
      <c r="F950" s="1">
        <v>46093</v>
      </c>
      <c r="G950">
        <f t="shared" ca="1" si="101"/>
        <v>10</v>
      </c>
      <c r="H950" t="str">
        <f t="shared" ca="1" si="102"/>
        <v>Expiring Soon</v>
      </c>
      <c r="I950">
        <f t="shared" ca="1" si="103"/>
        <v>1</v>
      </c>
      <c r="J950" t="str">
        <f t="shared" si="104"/>
        <v>Environmental</v>
      </c>
    </row>
    <row r="951" spans="1:10">
      <c r="A951" t="str" cm="1">
        <f t="array" ref="A951">INDEX(Vendor_Master!$A$2:$A$401, ROUNDUP((ROW()-1)/4, 0))</f>
        <v>VND-238</v>
      </c>
      <c r="B951" t="str">
        <f t="shared" si="98"/>
        <v>Safety Certificate</v>
      </c>
      <c r="C951" t="str">
        <f t="shared" si="99"/>
        <v>Yes</v>
      </c>
      <c r="D951" t="str">
        <f t="shared" si="100"/>
        <v>Yes</v>
      </c>
      <c r="E951" s="1">
        <v>45668</v>
      </c>
      <c r="F951" s="1">
        <v>46100</v>
      </c>
      <c r="G951">
        <f t="shared" ca="1" si="101"/>
        <v>17</v>
      </c>
      <c r="H951" t="str">
        <f t="shared" ca="1" si="102"/>
        <v>Expiring Soon</v>
      </c>
      <c r="I951">
        <f t="shared" ca="1" si="103"/>
        <v>1</v>
      </c>
      <c r="J951" t="str">
        <f t="shared" si="104"/>
        <v>Safety</v>
      </c>
    </row>
    <row r="952" spans="1:10">
      <c r="A952" t="str" cm="1">
        <f t="array" ref="A952">INDEX(Vendor_Master!$A$2:$A$401, ROUNDUP((ROW()-1)/4, 0))</f>
        <v>VND-238</v>
      </c>
      <c r="B952" t="str">
        <f t="shared" si="98"/>
        <v>Environmental Policy</v>
      </c>
      <c r="C952" t="str">
        <f t="shared" si="99"/>
        <v>Yes</v>
      </c>
      <c r="D952" t="str">
        <f t="shared" si="100"/>
        <v>Yes</v>
      </c>
      <c r="E952" s="1">
        <v>45708</v>
      </c>
      <c r="F952" s="1">
        <v>46093</v>
      </c>
      <c r="G952">
        <f t="shared" ca="1" si="101"/>
        <v>10</v>
      </c>
      <c r="H952" t="str">
        <f t="shared" ca="1" si="102"/>
        <v>Expiring Soon</v>
      </c>
      <c r="I952">
        <f t="shared" ca="1" si="103"/>
        <v>1</v>
      </c>
      <c r="J952" t="str">
        <f t="shared" si="104"/>
        <v>Environmental</v>
      </c>
    </row>
    <row r="953" spans="1:10">
      <c r="A953" t="str" cm="1">
        <f t="array" ref="A953">INDEX(Vendor_Master!$A$2:$A$401, ROUNDUP((ROW()-1)/4, 0))</f>
        <v>VND-238</v>
      </c>
      <c r="B953" t="str">
        <f t="shared" si="98"/>
        <v>Sustainability Disclosure</v>
      </c>
      <c r="C953" t="str">
        <f t="shared" si="99"/>
        <v>Yes</v>
      </c>
      <c r="D953" t="str">
        <f t="shared" si="100"/>
        <v>Yes</v>
      </c>
      <c r="E953" s="1">
        <v>45844</v>
      </c>
      <c r="F953" s="1">
        <v>46105</v>
      </c>
      <c r="G953">
        <f t="shared" ca="1" si="101"/>
        <v>22</v>
      </c>
      <c r="H953" t="str">
        <f t="shared" ca="1" si="102"/>
        <v>Expiring Soon</v>
      </c>
      <c r="I953">
        <f t="shared" ca="1" si="103"/>
        <v>1</v>
      </c>
      <c r="J953" t="str">
        <f t="shared" si="104"/>
        <v>Environmental</v>
      </c>
    </row>
    <row r="954" spans="1:10">
      <c r="A954" t="str" cm="1">
        <f t="array" ref="A954">INDEX(Vendor_Master!$A$2:$A$401, ROUNDUP((ROW()-1)/4, 0))</f>
        <v>VND-239</v>
      </c>
      <c r="B954" t="str">
        <f t="shared" si="98"/>
        <v>ISO 14001</v>
      </c>
      <c r="C954" t="str">
        <f t="shared" si="99"/>
        <v>Yes</v>
      </c>
      <c r="D954" t="str">
        <f t="shared" si="100"/>
        <v>Yes</v>
      </c>
      <c r="E954" s="1">
        <v>45940</v>
      </c>
      <c r="F954" s="1">
        <v>46106</v>
      </c>
      <c r="G954">
        <f t="shared" ca="1" si="101"/>
        <v>23</v>
      </c>
      <c r="H954" t="str">
        <f t="shared" ca="1" si="102"/>
        <v>Expiring Soon</v>
      </c>
      <c r="I954">
        <f t="shared" ca="1" si="103"/>
        <v>1</v>
      </c>
      <c r="J954" t="str">
        <f t="shared" si="104"/>
        <v>Environmental</v>
      </c>
    </row>
    <row r="955" spans="1:10">
      <c r="A955" t="str" cm="1">
        <f t="array" ref="A955">INDEX(Vendor_Master!$A$2:$A$401, ROUNDUP((ROW()-1)/4, 0))</f>
        <v>VND-239</v>
      </c>
      <c r="B955" t="str">
        <f t="shared" si="98"/>
        <v>Safety Certificate</v>
      </c>
      <c r="C955" t="str">
        <f t="shared" si="99"/>
        <v>Yes</v>
      </c>
      <c r="D955" t="str">
        <f t="shared" si="100"/>
        <v>Yes</v>
      </c>
      <c r="E955" s="1">
        <v>45670</v>
      </c>
      <c r="F955" s="1">
        <v>46106</v>
      </c>
      <c r="G955">
        <f t="shared" ca="1" si="101"/>
        <v>23</v>
      </c>
      <c r="H955" t="str">
        <f t="shared" ca="1" si="102"/>
        <v>Expiring Soon</v>
      </c>
      <c r="I955">
        <f t="shared" ca="1" si="103"/>
        <v>1</v>
      </c>
      <c r="J955" t="str">
        <f t="shared" si="104"/>
        <v>Safety</v>
      </c>
    </row>
    <row r="956" spans="1:10">
      <c r="A956" t="str" cm="1">
        <f t="array" ref="A956">INDEX(Vendor_Master!$A$2:$A$401, ROUNDUP((ROW()-1)/4, 0))</f>
        <v>VND-239</v>
      </c>
      <c r="B956" t="str">
        <f t="shared" si="98"/>
        <v>Environmental Policy</v>
      </c>
      <c r="C956" t="str">
        <f t="shared" si="99"/>
        <v>Yes</v>
      </c>
      <c r="D956" t="str">
        <f t="shared" si="100"/>
        <v>Yes</v>
      </c>
      <c r="E956" s="1">
        <v>45703</v>
      </c>
      <c r="F956" s="1">
        <v>46103</v>
      </c>
      <c r="G956">
        <f t="shared" ca="1" si="101"/>
        <v>20</v>
      </c>
      <c r="H956" t="str">
        <f t="shared" ca="1" si="102"/>
        <v>Expiring Soon</v>
      </c>
      <c r="I956">
        <f t="shared" ca="1" si="103"/>
        <v>1</v>
      </c>
      <c r="J956" t="str">
        <f t="shared" si="104"/>
        <v>Environmental</v>
      </c>
    </row>
    <row r="957" spans="1:10">
      <c r="A957" t="str" cm="1">
        <f t="array" ref="A957">INDEX(Vendor_Master!$A$2:$A$401, ROUNDUP((ROW()-1)/4, 0))</f>
        <v>VND-239</v>
      </c>
      <c r="B957" t="str">
        <f t="shared" si="98"/>
        <v>Sustainability Disclosure</v>
      </c>
      <c r="C957" t="str">
        <f t="shared" si="99"/>
        <v>Yes</v>
      </c>
      <c r="D957" t="str">
        <f t="shared" si="100"/>
        <v>Yes</v>
      </c>
      <c r="E957" s="1">
        <v>45847</v>
      </c>
      <c r="F957" s="1">
        <v>46104</v>
      </c>
      <c r="G957">
        <f t="shared" ca="1" si="101"/>
        <v>21</v>
      </c>
      <c r="H957" t="str">
        <f t="shared" ca="1" si="102"/>
        <v>Expiring Soon</v>
      </c>
      <c r="I957">
        <f t="shared" ca="1" si="103"/>
        <v>1</v>
      </c>
      <c r="J957" t="str">
        <f t="shared" si="104"/>
        <v>Environmental</v>
      </c>
    </row>
    <row r="958" spans="1:10">
      <c r="A958" t="str" cm="1">
        <f t="array" ref="A958">INDEX(Vendor_Master!$A$2:$A$401, ROUNDUP((ROW()-1)/4, 0))</f>
        <v>VND-240</v>
      </c>
      <c r="B958" t="str">
        <f t="shared" si="98"/>
        <v>ISO 14001</v>
      </c>
      <c r="C958" t="str">
        <f t="shared" si="99"/>
        <v>Yes</v>
      </c>
      <c r="D958" t="str">
        <f t="shared" si="100"/>
        <v>Yes</v>
      </c>
      <c r="E958" s="1">
        <v>46050</v>
      </c>
      <c r="F958" s="1">
        <v>46082</v>
      </c>
      <c r="G958">
        <f t="shared" ca="1" si="101"/>
        <v>-1</v>
      </c>
      <c r="H958" t="str">
        <f t="shared" ca="1" si="102"/>
        <v>Expired</v>
      </c>
      <c r="I958">
        <f t="shared" ca="1" si="103"/>
        <v>1</v>
      </c>
      <c r="J958" t="str">
        <f t="shared" si="104"/>
        <v>Environmental</v>
      </c>
    </row>
    <row r="959" spans="1:10">
      <c r="A959" t="str" cm="1">
        <f t="array" ref="A959">INDEX(Vendor_Master!$A$2:$A$401, ROUNDUP((ROW()-1)/4, 0))</f>
        <v>VND-240</v>
      </c>
      <c r="B959" t="str">
        <f t="shared" si="98"/>
        <v>Safety Certificate</v>
      </c>
      <c r="C959" t="str">
        <f t="shared" si="99"/>
        <v>Yes</v>
      </c>
      <c r="D959" t="str">
        <f t="shared" si="100"/>
        <v>Yes</v>
      </c>
      <c r="E959" s="1">
        <v>45665</v>
      </c>
      <c r="F959" s="1">
        <v>46107</v>
      </c>
      <c r="G959">
        <f t="shared" ca="1" si="101"/>
        <v>24</v>
      </c>
      <c r="H959" t="str">
        <f t="shared" ca="1" si="102"/>
        <v>Expiring Soon</v>
      </c>
      <c r="I959">
        <f t="shared" ca="1" si="103"/>
        <v>1</v>
      </c>
      <c r="J959" t="str">
        <f t="shared" si="104"/>
        <v>Safety</v>
      </c>
    </row>
    <row r="960" spans="1:10">
      <c r="A960" t="str" cm="1">
        <f t="array" ref="A960">INDEX(Vendor_Master!$A$2:$A$401, ROUNDUP((ROW()-1)/4, 0))</f>
        <v>VND-240</v>
      </c>
      <c r="B960" t="str">
        <f t="shared" si="98"/>
        <v>Environmental Policy</v>
      </c>
      <c r="C960" t="str">
        <f t="shared" si="99"/>
        <v>Yes</v>
      </c>
      <c r="D960" t="str">
        <f t="shared" si="100"/>
        <v>Yes</v>
      </c>
      <c r="E960" s="1">
        <v>45829</v>
      </c>
      <c r="F960" s="1">
        <v>46101</v>
      </c>
      <c r="G960">
        <f t="shared" ca="1" si="101"/>
        <v>18</v>
      </c>
      <c r="H960" t="str">
        <f t="shared" ca="1" si="102"/>
        <v>Expiring Soon</v>
      </c>
      <c r="I960">
        <f t="shared" ca="1" si="103"/>
        <v>1</v>
      </c>
      <c r="J960" t="str">
        <f t="shared" si="104"/>
        <v>Environmental</v>
      </c>
    </row>
    <row r="961" spans="1:10">
      <c r="A961" t="str" cm="1">
        <f t="array" ref="A961">INDEX(Vendor_Master!$A$2:$A$401, ROUNDUP((ROW()-1)/4, 0))</f>
        <v>VND-240</v>
      </c>
      <c r="B961" t="str">
        <f t="shared" si="98"/>
        <v>Sustainability Disclosure</v>
      </c>
      <c r="C961" t="str">
        <f t="shared" si="99"/>
        <v>Yes</v>
      </c>
      <c r="D961" t="str">
        <f t="shared" si="100"/>
        <v>Yes</v>
      </c>
      <c r="E961" s="1">
        <v>45552</v>
      </c>
      <c r="F961" s="1">
        <v>46092</v>
      </c>
      <c r="G961">
        <f t="shared" ca="1" si="101"/>
        <v>9</v>
      </c>
      <c r="H961" t="str">
        <f t="shared" ca="1" si="102"/>
        <v>Expiring Soon</v>
      </c>
      <c r="I961">
        <f t="shared" ca="1" si="103"/>
        <v>1</v>
      </c>
      <c r="J961" t="str">
        <f t="shared" si="104"/>
        <v>Environmental</v>
      </c>
    </row>
    <row r="962" spans="1:10">
      <c r="A962" t="str" cm="1">
        <f t="array" ref="A962">INDEX(Vendor_Master!$A$2:$A$401, ROUNDUP((ROW()-1)/4, 0))</f>
        <v>VND-241</v>
      </c>
      <c r="B962" t="str">
        <f t="shared" ref="B962:B1025" si="105">CHOOSE(MOD(ROW()-2,4)+1,"ISO 14001","Safety Certificate","Environmental Policy","Sustainability Disclosure")</f>
        <v>ISO 14001</v>
      </c>
      <c r="C962" t="str">
        <f t="shared" ref="C962:C1025" si="106">"Yes"</f>
        <v>Yes</v>
      </c>
      <c r="D962" t="str">
        <f t="shared" ref="D962:D1025" si="107">IF(ROW()-1&lt;=1280,"Yes","No")</f>
        <v>Yes</v>
      </c>
      <c r="E962" s="1">
        <v>45758</v>
      </c>
      <c r="F962" s="1">
        <v>46096</v>
      </c>
      <c r="G962">
        <f t="shared" ref="G962:G1025" ca="1" si="108">IF($F962="","",$F962-TODAY())</f>
        <v>13</v>
      </c>
      <c r="H962" t="str">
        <f t="shared" ref="H962:H1025" ca="1" si="109">IF($C962="No","Not Required",
IF($D962="No","Missing",
IF($F962&lt;TODAY(),"Expired",
IF($F962&lt;=TODAY()+30,"Expiring Soon","Active"))))</f>
        <v>Expiring Soon</v>
      </c>
      <c r="I962">
        <f t="shared" ref="I962:I1025" ca="1" si="110">IF(OR($H962="Missing",$H962="Expired",$H962="Expiring Soon"),1,0)</f>
        <v>1</v>
      </c>
      <c r="J962" t="str">
        <f t="shared" si="104"/>
        <v>Environmental</v>
      </c>
    </row>
    <row r="963" spans="1:10">
      <c r="A963" t="str" cm="1">
        <f t="array" ref="A963">INDEX(Vendor_Master!$A$2:$A$401, ROUNDUP((ROW()-1)/4, 0))</f>
        <v>VND-241</v>
      </c>
      <c r="B963" t="str">
        <f t="shared" si="105"/>
        <v>Safety Certificate</v>
      </c>
      <c r="C963" t="str">
        <f t="shared" si="106"/>
        <v>Yes</v>
      </c>
      <c r="D963" t="str">
        <f t="shared" si="107"/>
        <v>Yes</v>
      </c>
      <c r="E963" s="1">
        <v>45767</v>
      </c>
      <c r="F963" s="1">
        <v>46099</v>
      </c>
      <c r="G963">
        <f t="shared" ca="1" si="108"/>
        <v>16</v>
      </c>
      <c r="H963" t="str">
        <f t="shared" ca="1" si="109"/>
        <v>Expiring Soon</v>
      </c>
      <c r="I963">
        <f t="shared" ca="1" si="110"/>
        <v>1</v>
      </c>
      <c r="J963" t="str">
        <f t="shared" ref="J963:J1026" si="111">IF(B963="ISO 14001","Environmental",
 IF(B963="Environmental Policy","Environmental",
 IF(B963="Sustainability Disclosure","Environmental",
 IF(B963="Safety Certificate","Safety","Regulatory"))))</f>
        <v>Safety</v>
      </c>
    </row>
    <row r="964" spans="1:10">
      <c r="A964" t="str" cm="1">
        <f t="array" ref="A964">INDEX(Vendor_Master!$A$2:$A$401, ROUNDUP((ROW()-1)/4, 0))</f>
        <v>VND-241</v>
      </c>
      <c r="B964" t="str">
        <f t="shared" si="105"/>
        <v>Environmental Policy</v>
      </c>
      <c r="C964" t="str">
        <f t="shared" si="106"/>
        <v>Yes</v>
      </c>
      <c r="D964" t="str">
        <f t="shared" si="107"/>
        <v>Yes</v>
      </c>
      <c r="E964" s="1">
        <v>45972</v>
      </c>
      <c r="F964" s="1">
        <v>46105</v>
      </c>
      <c r="G964">
        <f t="shared" ca="1" si="108"/>
        <v>22</v>
      </c>
      <c r="H964" t="str">
        <f t="shared" ca="1" si="109"/>
        <v>Expiring Soon</v>
      </c>
      <c r="I964">
        <f t="shared" ca="1" si="110"/>
        <v>1</v>
      </c>
      <c r="J964" t="str">
        <f t="shared" si="111"/>
        <v>Environmental</v>
      </c>
    </row>
    <row r="965" spans="1:10">
      <c r="A965" t="str" cm="1">
        <f t="array" ref="A965">INDEX(Vendor_Master!$A$2:$A$401, ROUNDUP((ROW()-1)/4, 0))</f>
        <v>VND-241</v>
      </c>
      <c r="B965" t="str">
        <f t="shared" si="105"/>
        <v>Sustainability Disclosure</v>
      </c>
      <c r="C965" t="str">
        <f t="shared" si="106"/>
        <v>Yes</v>
      </c>
      <c r="D965" t="str">
        <f t="shared" si="107"/>
        <v>Yes</v>
      </c>
      <c r="E965" s="1">
        <v>45612</v>
      </c>
      <c r="F965" s="1">
        <v>46103</v>
      </c>
      <c r="G965">
        <f t="shared" ca="1" si="108"/>
        <v>20</v>
      </c>
      <c r="H965" t="str">
        <f t="shared" ca="1" si="109"/>
        <v>Expiring Soon</v>
      </c>
      <c r="I965">
        <f t="shared" ca="1" si="110"/>
        <v>1</v>
      </c>
      <c r="J965" t="str">
        <f t="shared" si="111"/>
        <v>Environmental</v>
      </c>
    </row>
    <row r="966" spans="1:10">
      <c r="A966" t="str" cm="1">
        <f t="array" ref="A966">INDEX(Vendor_Master!$A$2:$A$401, ROUNDUP((ROW()-1)/4, 0))</f>
        <v>VND-242</v>
      </c>
      <c r="B966" t="str">
        <f t="shared" si="105"/>
        <v>ISO 14001</v>
      </c>
      <c r="C966" t="str">
        <f t="shared" si="106"/>
        <v>Yes</v>
      </c>
      <c r="D966" t="str">
        <f t="shared" si="107"/>
        <v>Yes</v>
      </c>
      <c r="E966" s="1">
        <v>45674</v>
      </c>
      <c r="F966" s="1">
        <v>46101</v>
      </c>
      <c r="G966">
        <f t="shared" ca="1" si="108"/>
        <v>18</v>
      </c>
      <c r="H966" t="str">
        <f t="shared" ca="1" si="109"/>
        <v>Expiring Soon</v>
      </c>
      <c r="I966">
        <f t="shared" ca="1" si="110"/>
        <v>1</v>
      </c>
      <c r="J966" t="str">
        <f t="shared" si="111"/>
        <v>Environmental</v>
      </c>
    </row>
    <row r="967" spans="1:10">
      <c r="A967" t="str" cm="1">
        <f t="array" ref="A967">INDEX(Vendor_Master!$A$2:$A$401, ROUNDUP((ROW()-1)/4, 0))</f>
        <v>VND-242</v>
      </c>
      <c r="B967" t="str">
        <f t="shared" si="105"/>
        <v>Safety Certificate</v>
      </c>
      <c r="C967" t="str">
        <f t="shared" si="106"/>
        <v>Yes</v>
      </c>
      <c r="D967" t="str">
        <f t="shared" si="107"/>
        <v>Yes</v>
      </c>
      <c r="E967" s="1">
        <v>45895</v>
      </c>
      <c r="F967" s="1">
        <v>46090</v>
      </c>
      <c r="G967">
        <f t="shared" ca="1" si="108"/>
        <v>7</v>
      </c>
      <c r="H967" t="str">
        <f t="shared" ca="1" si="109"/>
        <v>Expiring Soon</v>
      </c>
      <c r="I967">
        <f t="shared" ca="1" si="110"/>
        <v>1</v>
      </c>
      <c r="J967" t="str">
        <f t="shared" si="111"/>
        <v>Safety</v>
      </c>
    </row>
    <row r="968" spans="1:10">
      <c r="A968" t="str" cm="1">
        <f t="array" ref="A968">INDEX(Vendor_Master!$A$2:$A$401, ROUNDUP((ROW()-1)/4, 0))</f>
        <v>VND-242</v>
      </c>
      <c r="B968" t="str">
        <f t="shared" si="105"/>
        <v>Environmental Policy</v>
      </c>
      <c r="C968" t="str">
        <f t="shared" si="106"/>
        <v>Yes</v>
      </c>
      <c r="D968" t="str">
        <f t="shared" si="107"/>
        <v>Yes</v>
      </c>
      <c r="E968" s="1">
        <v>45817</v>
      </c>
      <c r="F968" s="1">
        <v>46092</v>
      </c>
      <c r="G968">
        <f t="shared" ca="1" si="108"/>
        <v>9</v>
      </c>
      <c r="H968" t="str">
        <f t="shared" ca="1" si="109"/>
        <v>Expiring Soon</v>
      </c>
      <c r="I968">
        <f t="shared" ca="1" si="110"/>
        <v>1</v>
      </c>
      <c r="J968" t="str">
        <f t="shared" si="111"/>
        <v>Environmental</v>
      </c>
    </row>
    <row r="969" spans="1:10">
      <c r="A969" t="str" cm="1">
        <f t="array" ref="A969">INDEX(Vendor_Master!$A$2:$A$401, ROUNDUP((ROW()-1)/4, 0))</f>
        <v>VND-242</v>
      </c>
      <c r="B969" t="str">
        <f t="shared" si="105"/>
        <v>Sustainability Disclosure</v>
      </c>
      <c r="C969" t="str">
        <f t="shared" si="106"/>
        <v>Yes</v>
      </c>
      <c r="D969" t="str">
        <f t="shared" si="107"/>
        <v>Yes</v>
      </c>
      <c r="E969" s="1">
        <v>46061</v>
      </c>
      <c r="F969" s="1">
        <v>46109</v>
      </c>
      <c r="G969">
        <f t="shared" ca="1" si="108"/>
        <v>26</v>
      </c>
      <c r="H969" t="str">
        <f t="shared" ca="1" si="109"/>
        <v>Expiring Soon</v>
      </c>
      <c r="I969">
        <f t="shared" ca="1" si="110"/>
        <v>1</v>
      </c>
      <c r="J969" t="str">
        <f t="shared" si="111"/>
        <v>Environmental</v>
      </c>
    </row>
    <row r="970" spans="1:10">
      <c r="A970" t="str" cm="1">
        <f t="array" ref="A970">INDEX(Vendor_Master!$A$2:$A$401, ROUNDUP((ROW()-1)/4, 0))</f>
        <v>VND-243</v>
      </c>
      <c r="B970" t="str">
        <f t="shared" si="105"/>
        <v>ISO 14001</v>
      </c>
      <c r="C970" t="str">
        <f t="shared" si="106"/>
        <v>Yes</v>
      </c>
      <c r="D970" t="str">
        <f t="shared" si="107"/>
        <v>Yes</v>
      </c>
      <c r="E970" s="1">
        <v>45482</v>
      </c>
      <c r="F970" s="1">
        <v>46093</v>
      </c>
      <c r="G970">
        <f t="shared" ca="1" si="108"/>
        <v>10</v>
      </c>
      <c r="H970" t="str">
        <f t="shared" ca="1" si="109"/>
        <v>Expiring Soon</v>
      </c>
      <c r="I970">
        <f t="shared" ca="1" si="110"/>
        <v>1</v>
      </c>
      <c r="J970" t="str">
        <f t="shared" si="111"/>
        <v>Environmental</v>
      </c>
    </row>
    <row r="971" spans="1:10">
      <c r="A971" t="str" cm="1">
        <f t="array" ref="A971">INDEX(Vendor_Master!$A$2:$A$401, ROUNDUP((ROW()-1)/4, 0))</f>
        <v>VND-243</v>
      </c>
      <c r="B971" t="str">
        <f t="shared" si="105"/>
        <v>Safety Certificate</v>
      </c>
      <c r="C971" t="str">
        <f t="shared" si="106"/>
        <v>Yes</v>
      </c>
      <c r="D971" t="str">
        <f t="shared" si="107"/>
        <v>Yes</v>
      </c>
      <c r="E971" s="1">
        <v>45412</v>
      </c>
      <c r="F971" s="1">
        <v>46087</v>
      </c>
      <c r="G971">
        <f t="shared" ca="1" si="108"/>
        <v>4</v>
      </c>
      <c r="H971" t="str">
        <f t="shared" ca="1" si="109"/>
        <v>Expiring Soon</v>
      </c>
      <c r="I971">
        <f t="shared" ca="1" si="110"/>
        <v>1</v>
      </c>
      <c r="J971" t="str">
        <f t="shared" si="111"/>
        <v>Safety</v>
      </c>
    </row>
    <row r="972" spans="1:10">
      <c r="A972" t="str" cm="1">
        <f t="array" ref="A972">INDEX(Vendor_Master!$A$2:$A$401, ROUNDUP((ROW()-1)/4, 0))</f>
        <v>VND-243</v>
      </c>
      <c r="B972" t="str">
        <f t="shared" si="105"/>
        <v>Environmental Policy</v>
      </c>
      <c r="C972" t="str">
        <f t="shared" si="106"/>
        <v>Yes</v>
      </c>
      <c r="D972" t="str">
        <f t="shared" si="107"/>
        <v>Yes</v>
      </c>
      <c r="E972" s="1">
        <v>45960</v>
      </c>
      <c r="F972" s="1">
        <v>46087</v>
      </c>
      <c r="G972">
        <f t="shared" ca="1" si="108"/>
        <v>4</v>
      </c>
      <c r="H972" t="str">
        <f t="shared" ca="1" si="109"/>
        <v>Expiring Soon</v>
      </c>
      <c r="I972">
        <f t="shared" ca="1" si="110"/>
        <v>1</v>
      </c>
      <c r="J972" t="str">
        <f t="shared" si="111"/>
        <v>Environmental</v>
      </c>
    </row>
    <row r="973" spans="1:10">
      <c r="A973" t="str" cm="1">
        <f t="array" ref="A973">INDEX(Vendor_Master!$A$2:$A$401, ROUNDUP((ROW()-1)/4, 0))</f>
        <v>VND-243</v>
      </c>
      <c r="B973" t="str">
        <f t="shared" si="105"/>
        <v>Sustainability Disclosure</v>
      </c>
      <c r="C973" t="str">
        <f t="shared" si="106"/>
        <v>Yes</v>
      </c>
      <c r="D973" t="str">
        <f t="shared" si="107"/>
        <v>Yes</v>
      </c>
      <c r="E973" s="1">
        <v>45814</v>
      </c>
      <c r="F973" s="1">
        <v>46110</v>
      </c>
      <c r="G973">
        <f t="shared" ca="1" si="108"/>
        <v>27</v>
      </c>
      <c r="H973" t="str">
        <f t="shared" ca="1" si="109"/>
        <v>Expiring Soon</v>
      </c>
      <c r="I973">
        <f t="shared" ca="1" si="110"/>
        <v>1</v>
      </c>
      <c r="J973" t="str">
        <f t="shared" si="111"/>
        <v>Environmental</v>
      </c>
    </row>
    <row r="974" spans="1:10">
      <c r="A974" t="str" cm="1">
        <f t="array" ref="A974">INDEX(Vendor_Master!$A$2:$A$401, ROUNDUP((ROW()-1)/4, 0))</f>
        <v>VND-244</v>
      </c>
      <c r="B974" t="str">
        <f t="shared" si="105"/>
        <v>ISO 14001</v>
      </c>
      <c r="C974" t="str">
        <f t="shared" si="106"/>
        <v>Yes</v>
      </c>
      <c r="D974" t="str">
        <f t="shared" si="107"/>
        <v>Yes</v>
      </c>
      <c r="E974" s="1">
        <v>45652</v>
      </c>
      <c r="F974" s="1">
        <v>46084</v>
      </c>
      <c r="G974">
        <f t="shared" ca="1" si="108"/>
        <v>1</v>
      </c>
      <c r="H974" t="str">
        <f t="shared" ca="1" si="109"/>
        <v>Expiring Soon</v>
      </c>
      <c r="I974">
        <f t="shared" ca="1" si="110"/>
        <v>1</v>
      </c>
      <c r="J974" t="str">
        <f t="shared" si="111"/>
        <v>Environmental</v>
      </c>
    </row>
    <row r="975" spans="1:10">
      <c r="A975" t="str" cm="1">
        <f t="array" ref="A975">INDEX(Vendor_Master!$A$2:$A$401, ROUNDUP((ROW()-1)/4, 0))</f>
        <v>VND-244</v>
      </c>
      <c r="B975" t="str">
        <f t="shared" si="105"/>
        <v>Safety Certificate</v>
      </c>
      <c r="C975" t="str">
        <f t="shared" si="106"/>
        <v>Yes</v>
      </c>
      <c r="D975" t="str">
        <f t="shared" si="107"/>
        <v>Yes</v>
      </c>
      <c r="E975" s="1">
        <v>45901</v>
      </c>
      <c r="F975" s="1">
        <v>46098</v>
      </c>
      <c r="G975">
        <f t="shared" ca="1" si="108"/>
        <v>15</v>
      </c>
      <c r="H975" t="str">
        <f t="shared" ca="1" si="109"/>
        <v>Expiring Soon</v>
      </c>
      <c r="I975">
        <f t="shared" ca="1" si="110"/>
        <v>1</v>
      </c>
      <c r="J975" t="str">
        <f t="shared" si="111"/>
        <v>Safety</v>
      </c>
    </row>
    <row r="976" spans="1:10">
      <c r="A976" t="str" cm="1">
        <f t="array" ref="A976">INDEX(Vendor_Master!$A$2:$A$401, ROUNDUP((ROW()-1)/4, 0))</f>
        <v>VND-244</v>
      </c>
      <c r="B976" t="str">
        <f t="shared" si="105"/>
        <v>Environmental Policy</v>
      </c>
      <c r="C976" t="str">
        <f t="shared" si="106"/>
        <v>Yes</v>
      </c>
      <c r="D976" t="str">
        <f t="shared" si="107"/>
        <v>Yes</v>
      </c>
      <c r="E976" s="1">
        <v>45870</v>
      </c>
      <c r="F976" s="1">
        <v>46104</v>
      </c>
      <c r="G976">
        <f t="shared" ca="1" si="108"/>
        <v>21</v>
      </c>
      <c r="H976" t="str">
        <f t="shared" ca="1" si="109"/>
        <v>Expiring Soon</v>
      </c>
      <c r="I976">
        <f t="shared" ca="1" si="110"/>
        <v>1</v>
      </c>
      <c r="J976" t="str">
        <f t="shared" si="111"/>
        <v>Environmental</v>
      </c>
    </row>
    <row r="977" spans="1:10">
      <c r="A977" t="str" cm="1">
        <f t="array" ref="A977">INDEX(Vendor_Master!$A$2:$A$401, ROUNDUP((ROW()-1)/4, 0))</f>
        <v>VND-244</v>
      </c>
      <c r="B977" t="str">
        <f t="shared" si="105"/>
        <v>Sustainability Disclosure</v>
      </c>
      <c r="C977" t="str">
        <f t="shared" si="106"/>
        <v>Yes</v>
      </c>
      <c r="D977" t="str">
        <f t="shared" si="107"/>
        <v>Yes</v>
      </c>
      <c r="E977" s="1">
        <v>45912</v>
      </c>
      <c r="F977" s="1">
        <v>46101</v>
      </c>
      <c r="G977">
        <f t="shared" ca="1" si="108"/>
        <v>18</v>
      </c>
      <c r="H977" t="str">
        <f t="shared" ca="1" si="109"/>
        <v>Expiring Soon</v>
      </c>
      <c r="I977">
        <f t="shared" ca="1" si="110"/>
        <v>1</v>
      </c>
      <c r="J977" t="str">
        <f t="shared" si="111"/>
        <v>Environmental</v>
      </c>
    </row>
    <row r="978" spans="1:10">
      <c r="A978" t="str" cm="1">
        <f t="array" ref="A978">INDEX(Vendor_Master!$A$2:$A$401, ROUNDUP((ROW()-1)/4, 0))</f>
        <v>VND-245</v>
      </c>
      <c r="B978" t="str">
        <f t="shared" si="105"/>
        <v>ISO 14001</v>
      </c>
      <c r="C978" t="str">
        <f t="shared" si="106"/>
        <v>Yes</v>
      </c>
      <c r="D978" t="str">
        <f t="shared" si="107"/>
        <v>Yes</v>
      </c>
      <c r="E978" s="1">
        <v>45393</v>
      </c>
      <c r="F978" s="1">
        <v>46105</v>
      </c>
      <c r="G978">
        <f t="shared" ca="1" si="108"/>
        <v>22</v>
      </c>
      <c r="H978" t="str">
        <f t="shared" ca="1" si="109"/>
        <v>Expiring Soon</v>
      </c>
      <c r="I978">
        <f t="shared" ca="1" si="110"/>
        <v>1</v>
      </c>
      <c r="J978" t="str">
        <f t="shared" si="111"/>
        <v>Environmental</v>
      </c>
    </row>
    <row r="979" spans="1:10">
      <c r="A979" t="str" cm="1">
        <f t="array" ref="A979">INDEX(Vendor_Master!$A$2:$A$401, ROUNDUP((ROW()-1)/4, 0))</f>
        <v>VND-245</v>
      </c>
      <c r="B979" t="str">
        <f t="shared" si="105"/>
        <v>Safety Certificate</v>
      </c>
      <c r="C979" t="str">
        <f t="shared" si="106"/>
        <v>Yes</v>
      </c>
      <c r="D979" t="str">
        <f t="shared" si="107"/>
        <v>Yes</v>
      </c>
      <c r="E979" s="1">
        <v>45509</v>
      </c>
      <c r="F979" s="1">
        <v>46109</v>
      </c>
      <c r="G979">
        <f t="shared" ca="1" si="108"/>
        <v>26</v>
      </c>
      <c r="H979" t="str">
        <f t="shared" ca="1" si="109"/>
        <v>Expiring Soon</v>
      </c>
      <c r="I979">
        <f t="shared" ca="1" si="110"/>
        <v>1</v>
      </c>
      <c r="J979" t="str">
        <f t="shared" si="111"/>
        <v>Safety</v>
      </c>
    </row>
    <row r="980" spans="1:10">
      <c r="A980" t="str" cm="1">
        <f t="array" ref="A980">INDEX(Vendor_Master!$A$2:$A$401, ROUNDUP((ROW()-1)/4, 0))</f>
        <v>VND-245</v>
      </c>
      <c r="B980" t="str">
        <f t="shared" si="105"/>
        <v>Environmental Policy</v>
      </c>
      <c r="C980" t="str">
        <f t="shared" si="106"/>
        <v>Yes</v>
      </c>
      <c r="D980" t="str">
        <f t="shared" si="107"/>
        <v>Yes</v>
      </c>
      <c r="E980" s="1">
        <v>46013</v>
      </c>
      <c r="F980" s="1">
        <v>46109</v>
      </c>
      <c r="G980">
        <f t="shared" ca="1" si="108"/>
        <v>26</v>
      </c>
      <c r="H980" t="str">
        <f t="shared" ca="1" si="109"/>
        <v>Expiring Soon</v>
      </c>
      <c r="I980">
        <f t="shared" ca="1" si="110"/>
        <v>1</v>
      </c>
      <c r="J980" t="str">
        <f t="shared" si="111"/>
        <v>Environmental</v>
      </c>
    </row>
    <row r="981" spans="1:10">
      <c r="A981" t="str" cm="1">
        <f t="array" ref="A981">INDEX(Vendor_Master!$A$2:$A$401, ROUNDUP((ROW()-1)/4, 0))</f>
        <v>VND-245</v>
      </c>
      <c r="B981" t="str">
        <f t="shared" si="105"/>
        <v>Sustainability Disclosure</v>
      </c>
      <c r="C981" t="str">
        <f t="shared" si="106"/>
        <v>Yes</v>
      </c>
      <c r="D981" t="str">
        <f t="shared" si="107"/>
        <v>Yes</v>
      </c>
      <c r="E981" s="1">
        <v>46044</v>
      </c>
      <c r="F981" s="1">
        <v>46109</v>
      </c>
      <c r="G981">
        <f t="shared" ca="1" si="108"/>
        <v>26</v>
      </c>
      <c r="H981" t="str">
        <f t="shared" ca="1" si="109"/>
        <v>Expiring Soon</v>
      </c>
      <c r="I981">
        <f t="shared" ca="1" si="110"/>
        <v>1</v>
      </c>
      <c r="J981" t="str">
        <f t="shared" si="111"/>
        <v>Environmental</v>
      </c>
    </row>
    <row r="982" spans="1:10">
      <c r="A982" t="str" cm="1">
        <f t="array" ref="A982">INDEX(Vendor_Master!$A$2:$A$401, ROUNDUP((ROW()-1)/4, 0))</f>
        <v>VND-246</v>
      </c>
      <c r="B982" t="str">
        <f t="shared" si="105"/>
        <v>ISO 14001</v>
      </c>
      <c r="C982" t="str">
        <f t="shared" si="106"/>
        <v>Yes</v>
      </c>
      <c r="D982" t="str">
        <f t="shared" si="107"/>
        <v>Yes</v>
      </c>
      <c r="E982" s="1">
        <v>45615</v>
      </c>
      <c r="F982" s="1">
        <v>46086</v>
      </c>
      <c r="G982">
        <f t="shared" ca="1" si="108"/>
        <v>3</v>
      </c>
      <c r="H982" t="str">
        <f t="shared" ca="1" si="109"/>
        <v>Expiring Soon</v>
      </c>
      <c r="I982">
        <f t="shared" ca="1" si="110"/>
        <v>1</v>
      </c>
      <c r="J982" t="str">
        <f t="shared" si="111"/>
        <v>Environmental</v>
      </c>
    </row>
    <row r="983" spans="1:10">
      <c r="A983" t="str" cm="1">
        <f t="array" ref="A983">INDEX(Vendor_Master!$A$2:$A$401, ROUNDUP((ROW()-1)/4, 0))</f>
        <v>VND-246</v>
      </c>
      <c r="B983" t="str">
        <f t="shared" si="105"/>
        <v>Safety Certificate</v>
      </c>
      <c r="C983" t="str">
        <f t="shared" si="106"/>
        <v>Yes</v>
      </c>
      <c r="D983" t="str">
        <f t="shared" si="107"/>
        <v>Yes</v>
      </c>
      <c r="E983" s="1">
        <v>45983</v>
      </c>
      <c r="F983" s="1">
        <v>46085</v>
      </c>
      <c r="G983">
        <f t="shared" ca="1" si="108"/>
        <v>2</v>
      </c>
      <c r="H983" t="str">
        <f t="shared" ca="1" si="109"/>
        <v>Expiring Soon</v>
      </c>
      <c r="I983">
        <f t="shared" ca="1" si="110"/>
        <v>1</v>
      </c>
      <c r="J983" t="str">
        <f t="shared" si="111"/>
        <v>Safety</v>
      </c>
    </row>
    <row r="984" spans="1:10">
      <c r="A984" t="str" cm="1">
        <f t="array" ref="A984">INDEX(Vendor_Master!$A$2:$A$401, ROUNDUP((ROW()-1)/4, 0))</f>
        <v>VND-246</v>
      </c>
      <c r="B984" t="str">
        <f t="shared" si="105"/>
        <v>Environmental Policy</v>
      </c>
      <c r="C984" t="str">
        <f t="shared" si="106"/>
        <v>Yes</v>
      </c>
      <c r="D984" t="str">
        <f t="shared" si="107"/>
        <v>Yes</v>
      </c>
      <c r="E984" s="1">
        <v>45423</v>
      </c>
      <c r="F984" s="1">
        <v>46083</v>
      </c>
      <c r="G984">
        <f t="shared" ca="1" si="108"/>
        <v>0</v>
      </c>
      <c r="H984" t="str">
        <f t="shared" ca="1" si="109"/>
        <v>Expiring Soon</v>
      </c>
      <c r="I984">
        <f t="shared" ca="1" si="110"/>
        <v>1</v>
      </c>
      <c r="J984" t="str">
        <f t="shared" si="111"/>
        <v>Environmental</v>
      </c>
    </row>
    <row r="985" spans="1:10">
      <c r="A985" t="str" cm="1">
        <f t="array" ref="A985">INDEX(Vendor_Master!$A$2:$A$401, ROUNDUP((ROW()-1)/4, 0))</f>
        <v>VND-246</v>
      </c>
      <c r="B985" t="str">
        <f t="shared" si="105"/>
        <v>Sustainability Disclosure</v>
      </c>
      <c r="C985" t="str">
        <f t="shared" si="106"/>
        <v>Yes</v>
      </c>
      <c r="D985" t="str">
        <f t="shared" si="107"/>
        <v>Yes</v>
      </c>
      <c r="E985" s="1">
        <v>45737</v>
      </c>
      <c r="F985" s="1">
        <v>46091</v>
      </c>
      <c r="G985">
        <f t="shared" ca="1" si="108"/>
        <v>8</v>
      </c>
      <c r="H985" t="str">
        <f t="shared" ca="1" si="109"/>
        <v>Expiring Soon</v>
      </c>
      <c r="I985">
        <f t="shared" ca="1" si="110"/>
        <v>1</v>
      </c>
      <c r="J985" t="str">
        <f t="shared" si="111"/>
        <v>Environmental</v>
      </c>
    </row>
    <row r="986" spans="1:10">
      <c r="A986" t="str" cm="1">
        <f t="array" ref="A986">INDEX(Vendor_Master!$A$2:$A$401, ROUNDUP((ROW()-1)/4, 0))</f>
        <v>VND-247</v>
      </c>
      <c r="B986" t="str">
        <f t="shared" si="105"/>
        <v>ISO 14001</v>
      </c>
      <c r="C986" t="str">
        <f t="shared" si="106"/>
        <v>Yes</v>
      </c>
      <c r="D986" t="str">
        <f t="shared" si="107"/>
        <v>Yes</v>
      </c>
      <c r="E986" s="1">
        <v>45802</v>
      </c>
      <c r="F986" s="1">
        <v>46104</v>
      </c>
      <c r="G986">
        <f t="shared" ca="1" si="108"/>
        <v>21</v>
      </c>
      <c r="H986" t="str">
        <f t="shared" ca="1" si="109"/>
        <v>Expiring Soon</v>
      </c>
      <c r="I986">
        <f t="shared" ca="1" si="110"/>
        <v>1</v>
      </c>
      <c r="J986" t="str">
        <f t="shared" si="111"/>
        <v>Environmental</v>
      </c>
    </row>
    <row r="987" spans="1:10">
      <c r="A987" t="str" cm="1">
        <f t="array" ref="A987">INDEX(Vendor_Master!$A$2:$A$401, ROUNDUP((ROW()-1)/4, 0))</f>
        <v>VND-247</v>
      </c>
      <c r="B987" t="str">
        <f t="shared" si="105"/>
        <v>Safety Certificate</v>
      </c>
      <c r="C987" t="str">
        <f t="shared" si="106"/>
        <v>Yes</v>
      </c>
      <c r="D987" t="str">
        <f t="shared" si="107"/>
        <v>Yes</v>
      </c>
      <c r="E987" s="1">
        <v>45787</v>
      </c>
      <c r="F987" s="1">
        <v>46109</v>
      </c>
      <c r="G987">
        <f t="shared" ca="1" si="108"/>
        <v>26</v>
      </c>
      <c r="H987" t="str">
        <f t="shared" ca="1" si="109"/>
        <v>Expiring Soon</v>
      </c>
      <c r="I987">
        <f t="shared" ca="1" si="110"/>
        <v>1</v>
      </c>
      <c r="J987" t="str">
        <f t="shared" si="111"/>
        <v>Safety</v>
      </c>
    </row>
    <row r="988" spans="1:10">
      <c r="A988" t="str" cm="1">
        <f t="array" ref="A988">INDEX(Vendor_Master!$A$2:$A$401, ROUNDUP((ROW()-1)/4, 0))</f>
        <v>VND-247</v>
      </c>
      <c r="B988" t="str">
        <f t="shared" si="105"/>
        <v>Environmental Policy</v>
      </c>
      <c r="C988" t="str">
        <f t="shared" si="106"/>
        <v>Yes</v>
      </c>
      <c r="D988" t="str">
        <f t="shared" si="107"/>
        <v>Yes</v>
      </c>
      <c r="E988" s="1">
        <v>45885</v>
      </c>
      <c r="F988" s="1">
        <v>46090</v>
      </c>
      <c r="G988">
        <f t="shared" ca="1" si="108"/>
        <v>7</v>
      </c>
      <c r="H988" t="str">
        <f t="shared" ca="1" si="109"/>
        <v>Expiring Soon</v>
      </c>
      <c r="I988">
        <f t="shared" ca="1" si="110"/>
        <v>1</v>
      </c>
      <c r="J988" t="str">
        <f t="shared" si="111"/>
        <v>Environmental</v>
      </c>
    </row>
    <row r="989" spans="1:10">
      <c r="A989" t="str" cm="1">
        <f t="array" ref="A989">INDEX(Vendor_Master!$A$2:$A$401, ROUNDUP((ROW()-1)/4, 0))</f>
        <v>VND-247</v>
      </c>
      <c r="B989" t="str">
        <f t="shared" si="105"/>
        <v>Sustainability Disclosure</v>
      </c>
      <c r="C989" t="str">
        <f t="shared" si="106"/>
        <v>Yes</v>
      </c>
      <c r="D989" t="str">
        <f t="shared" si="107"/>
        <v>Yes</v>
      </c>
      <c r="E989" s="1">
        <v>45596</v>
      </c>
      <c r="F989" s="1">
        <v>46082</v>
      </c>
      <c r="G989">
        <f t="shared" ca="1" si="108"/>
        <v>-1</v>
      </c>
      <c r="H989" t="str">
        <f t="shared" ca="1" si="109"/>
        <v>Expired</v>
      </c>
      <c r="I989">
        <f t="shared" ca="1" si="110"/>
        <v>1</v>
      </c>
      <c r="J989" t="str">
        <f t="shared" si="111"/>
        <v>Environmental</v>
      </c>
    </row>
    <row r="990" spans="1:10">
      <c r="A990" t="str" cm="1">
        <f t="array" ref="A990">INDEX(Vendor_Master!$A$2:$A$401, ROUNDUP((ROW()-1)/4, 0))</f>
        <v>VND-248</v>
      </c>
      <c r="B990" t="str">
        <f t="shared" si="105"/>
        <v>ISO 14001</v>
      </c>
      <c r="C990" t="str">
        <f t="shared" si="106"/>
        <v>Yes</v>
      </c>
      <c r="D990" t="str">
        <f t="shared" si="107"/>
        <v>Yes</v>
      </c>
      <c r="E990" s="1">
        <v>45555</v>
      </c>
      <c r="F990" s="1">
        <v>46104</v>
      </c>
      <c r="G990">
        <f t="shared" ca="1" si="108"/>
        <v>21</v>
      </c>
      <c r="H990" t="str">
        <f t="shared" ca="1" si="109"/>
        <v>Expiring Soon</v>
      </c>
      <c r="I990">
        <f t="shared" ca="1" si="110"/>
        <v>1</v>
      </c>
      <c r="J990" t="str">
        <f t="shared" si="111"/>
        <v>Environmental</v>
      </c>
    </row>
    <row r="991" spans="1:10">
      <c r="A991" t="str" cm="1">
        <f t="array" ref="A991">INDEX(Vendor_Master!$A$2:$A$401, ROUNDUP((ROW()-1)/4, 0))</f>
        <v>VND-248</v>
      </c>
      <c r="B991" t="str">
        <f t="shared" si="105"/>
        <v>Safety Certificate</v>
      </c>
      <c r="C991" t="str">
        <f t="shared" si="106"/>
        <v>Yes</v>
      </c>
      <c r="D991" t="str">
        <f t="shared" si="107"/>
        <v>Yes</v>
      </c>
      <c r="E991" s="1">
        <v>45636</v>
      </c>
      <c r="F991" s="1">
        <v>46111</v>
      </c>
      <c r="G991">
        <f t="shared" ca="1" si="108"/>
        <v>28</v>
      </c>
      <c r="H991" t="str">
        <f t="shared" ca="1" si="109"/>
        <v>Expiring Soon</v>
      </c>
      <c r="I991">
        <f t="shared" ca="1" si="110"/>
        <v>1</v>
      </c>
      <c r="J991" t="str">
        <f t="shared" si="111"/>
        <v>Safety</v>
      </c>
    </row>
    <row r="992" spans="1:10">
      <c r="A992" t="str" cm="1">
        <f t="array" ref="A992">INDEX(Vendor_Master!$A$2:$A$401, ROUNDUP((ROW()-1)/4, 0))</f>
        <v>VND-248</v>
      </c>
      <c r="B992" t="str">
        <f t="shared" si="105"/>
        <v>Environmental Policy</v>
      </c>
      <c r="C992" t="str">
        <f t="shared" si="106"/>
        <v>Yes</v>
      </c>
      <c r="D992" t="str">
        <f t="shared" si="107"/>
        <v>Yes</v>
      </c>
      <c r="E992" s="1">
        <v>45834</v>
      </c>
      <c r="F992" s="1">
        <v>46089</v>
      </c>
      <c r="G992">
        <f t="shared" ca="1" si="108"/>
        <v>6</v>
      </c>
      <c r="H992" t="str">
        <f t="shared" ca="1" si="109"/>
        <v>Expiring Soon</v>
      </c>
      <c r="I992">
        <f t="shared" ca="1" si="110"/>
        <v>1</v>
      </c>
      <c r="J992" t="str">
        <f t="shared" si="111"/>
        <v>Environmental</v>
      </c>
    </row>
    <row r="993" spans="1:10">
      <c r="A993" t="str" cm="1">
        <f t="array" ref="A993">INDEX(Vendor_Master!$A$2:$A$401, ROUNDUP((ROW()-1)/4, 0))</f>
        <v>VND-248</v>
      </c>
      <c r="B993" t="str">
        <f t="shared" si="105"/>
        <v>Sustainability Disclosure</v>
      </c>
      <c r="C993" t="str">
        <f t="shared" si="106"/>
        <v>Yes</v>
      </c>
      <c r="D993" t="str">
        <f t="shared" si="107"/>
        <v>Yes</v>
      </c>
      <c r="E993" s="1">
        <v>45722</v>
      </c>
      <c r="F993" s="1">
        <v>46093</v>
      </c>
      <c r="G993">
        <f t="shared" ca="1" si="108"/>
        <v>10</v>
      </c>
      <c r="H993" t="str">
        <f t="shared" ca="1" si="109"/>
        <v>Expiring Soon</v>
      </c>
      <c r="I993">
        <f t="shared" ca="1" si="110"/>
        <v>1</v>
      </c>
      <c r="J993" t="str">
        <f t="shared" si="111"/>
        <v>Environmental</v>
      </c>
    </row>
    <row r="994" spans="1:10">
      <c r="A994" t="str" cm="1">
        <f t="array" ref="A994">INDEX(Vendor_Master!$A$2:$A$401, ROUNDUP((ROW()-1)/4, 0))</f>
        <v>VND-249</v>
      </c>
      <c r="B994" t="str">
        <f t="shared" si="105"/>
        <v>ISO 14001</v>
      </c>
      <c r="C994" t="str">
        <f t="shared" si="106"/>
        <v>Yes</v>
      </c>
      <c r="D994" t="str">
        <f t="shared" si="107"/>
        <v>Yes</v>
      </c>
      <c r="E994" s="1">
        <v>45398</v>
      </c>
      <c r="F994" s="1">
        <v>46105</v>
      </c>
      <c r="G994">
        <f t="shared" ca="1" si="108"/>
        <v>22</v>
      </c>
      <c r="H994" t="str">
        <f t="shared" ca="1" si="109"/>
        <v>Expiring Soon</v>
      </c>
      <c r="I994">
        <f t="shared" ca="1" si="110"/>
        <v>1</v>
      </c>
      <c r="J994" t="str">
        <f t="shared" si="111"/>
        <v>Environmental</v>
      </c>
    </row>
    <row r="995" spans="1:10">
      <c r="A995" t="str" cm="1">
        <f t="array" ref="A995">INDEX(Vendor_Master!$A$2:$A$401, ROUNDUP((ROW()-1)/4, 0))</f>
        <v>VND-249</v>
      </c>
      <c r="B995" t="str">
        <f t="shared" si="105"/>
        <v>Safety Certificate</v>
      </c>
      <c r="C995" t="str">
        <f t="shared" si="106"/>
        <v>Yes</v>
      </c>
      <c r="D995" t="str">
        <f t="shared" si="107"/>
        <v>Yes</v>
      </c>
      <c r="E995" s="1">
        <v>45808</v>
      </c>
      <c r="F995" s="1">
        <v>46107</v>
      </c>
      <c r="G995">
        <f t="shared" ca="1" si="108"/>
        <v>24</v>
      </c>
      <c r="H995" t="str">
        <f t="shared" ca="1" si="109"/>
        <v>Expiring Soon</v>
      </c>
      <c r="I995">
        <f t="shared" ca="1" si="110"/>
        <v>1</v>
      </c>
      <c r="J995" t="str">
        <f t="shared" si="111"/>
        <v>Safety</v>
      </c>
    </row>
    <row r="996" spans="1:10">
      <c r="A996" t="str" cm="1">
        <f t="array" ref="A996">INDEX(Vendor_Master!$A$2:$A$401, ROUNDUP((ROW()-1)/4, 0))</f>
        <v>VND-249</v>
      </c>
      <c r="B996" t="str">
        <f t="shared" si="105"/>
        <v>Environmental Policy</v>
      </c>
      <c r="C996" t="str">
        <f t="shared" si="106"/>
        <v>Yes</v>
      </c>
      <c r="D996" t="str">
        <f t="shared" si="107"/>
        <v>Yes</v>
      </c>
      <c r="E996" s="1">
        <v>45917</v>
      </c>
      <c r="F996" s="1">
        <v>46104</v>
      </c>
      <c r="G996">
        <f t="shared" ca="1" si="108"/>
        <v>21</v>
      </c>
      <c r="H996" t="str">
        <f t="shared" ca="1" si="109"/>
        <v>Expiring Soon</v>
      </c>
      <c r="I996">
        <f t="shared" ca="1" si="110"/>
        <v>1</v>
      </c>
      <c r="J996" t="str">
        <f t="shared" si="111"/>
        <v>Environmental</v>
      </c>
    </row>
    <row r="997" spans="1:10">
      <c r="A997" t="str" cm="1">
        <f t="array" ref="A997">INDEX(Vendor_Master!$A$2:$A$401, ROUNDUP((ROW()-1)/4, 0))</f>
        <v>VND-249</v>
      </c>
      <c r="B997" t="str">
        <f t="shared" si="105"/>
        <v>Sustainability Disclosure</v>
      </c>
      <c r="C997" t="str">
        <f t="shared" si="106"/>
        <v>Yes</v>
      </c>
      <c r="D997" t="str">
        <f t="shared" si="107"/>
        <v>Yes</v>
      </c>
      <c r="E997" s="1">
        <v>45823</v>
      </c>
      <c r="F997" s="1">
        <v>46103</v>
      </c>
      <c r="G997">
        <f t="shared" ca="1" si="108"/>
        <v>20</v>
      </c>
      <c r="H997" t="str">
        <f t="shared" ca="1" si="109"/>
        <v>Expiring Soon</v>
      </c>
      <c r="I997">
        <f t="shared" ca="1" si="110"/>
        <v>1</v>
      </c>
      <c r="J997" t="str">
        <f t="shared" si="111"/>
        <v>Environmental</v>
      </c>
    </row>
    <row r="998" spans="1:10">
      <c r="A998" t="str" cm="1">
        <f t="array" ref="A998">INDEX(Vendor_Master!$A$2:$A$401, ROUNDUP((ROW()-1)/4, 0))</f>
        <v>VND-250</v>
      </c>
      <c r="B998" t="str">
        <f t="shared" si="105"/>
        <v>ISO 14001</v>
      </c>
      <c r="C998" t="str">
        <f t="shared" si="106"/>
        <v>Yes</v>
      </c>
      <c r="D998" t="str">
        <f t="shared" si="107"/>
        <v>Yes</v>
      </c>
      <c r="E998" s="1">
        <v>45442</v>
      </c>
      <c r="F998" s="1">
        <v>46106</v>
      </c>
      <c r="G998">
        <f t="shared" ca="1" si="108"/>
        <v>23</v>
      </c>
      <c r="H998" t="str">
        <f t="shared" ca="1" si="109"/>
        <v>Expiring Soon</v>
      </c>
      <c r="I998">
        <f t="shared" ca="1" si="110"/>
        <v>1</v>
      </c>
      <c r="J998" t="str">
        <f t="shared" si="111"/>
        <v>Environmental</v>
      </c>
    </row>
    <row r="999" spans="1:10">
      <c r="A999" t="str" cm="1">
        <f t="array" ref="A999">INDEX(Vendor_Master!$A$2:$A$401, ROUNDUP((ROW()-1)/4, 0))</f>
        <v>VND-250</v>
      </c>
      <c r="B999" t="str">
        <f t="shared" si="105"/>
        <v>Safety Certificate</v>
      </c>
      <c r="C999" t="str">
        <f t="shared" si="106"/>
        <v>Yes</v>
      </c>
      <c r="D999" t="str">
        <f t="shared" si="107"/>
        <v>Yes</v>
      </c>
      <c r="E999" s="1">
        <v>45573</v>
      </c>
      <c r="F999" s="1">
        <v>46094</v>
      </c>
      <c r="G999">
        <f t="shared" ca="1" si="108"/>
        <v>11</v>
      </c>
      <c r="H999" t="str">
        <f t="shared" ca="1" si="109"/>
        <v>Expiring Soon</v>
      </c>
      <c r="I999">
        <f t="shared" ca="1" si="110"/>
        <v>1</v>
      </c>
      <c r="J999" t="str">
        <f t="shared" si="111"/>
        <v>Safety</v>
      </c>
    </row>
    <row r="1000" spans="1:10">
      <c r="A1000" t="str" cm="1">
        <f t="array" ref="A1000">INDEX(Vendor_Master!$A$2:$A$401, ROUNDUP((ROW()-1)/4, 0))</f>
        <v>VND-250</v>
      </c>
      <c r="B1000" t="str">
        <f t="shared" si="105"/>
        <v>Environmental Policy</v>
      </c>
      <c r="C1000" t="str">
        <f t="shared" si="106"/>
        <v>Yes</v>
      </c>
      <c r="D1000" t="str">
        <f t="shared" si="107"/>
        <v>Yes</v>
      </c>
      <c r="E1000" s="1">
        <v>46021</v>
      </c>
      <c r="F1000" s="1">
        <v>46091</v>
      </c>
      <c r="G1000">
        <f t="shared" ca="1" si="108"/>
        <v>8</v>
      </c>
      <c r="H1000" t="str">
        <f t="shared" ca="1" si="109"/>
        <v>Expiring Soon</v>
      </c>
      <c r="I1000">
        <f t="shared" ca="1" si="110"/>
        <v>1</v>
      </c>
      <c r="J1000" t="str">
        <f t="shared" si="111"/>
        <v>Environmental</v>
      </c>
    </row>
    <row r="1001" spans="1:10">
      <c r="A1001" t="str" cm="1">
        <f t="array" ref="A1001">INDEX(Vendor_Master!$A$2:$A$401, ROUNDUP((ROW()-1)/4, 0))</f>
        <v>VND-250</v>
      </c>
      <c r="B1001" t="str">
        <f t="shared" si="105"/>
        <v>Sustainability Disclosure</v>
      </c>
      <c r="C1001" t="str">
        <f t="shared" si="106"/>
        <v>Yes</v>
      </c>
      <c r="D1001" t="str">
        <f t="shared" si="107"/>
        <v>Yes</v>
      </c>
      <c r="E1001" s="1">
        <v>45959</v>
      </c>
      <c r="F1001" s="1">
        <v>46103</v>
      </c>
      <c r="G1001">
        <f t="shared" ca="1" si="108"/>
        <v>20</v>
      </c>
      <c r="H1001" t="str">
        <f t="shared" ca="1" si="109"/>
        <v>Expiring Soon</v>
      </c>
      <c r="I1001">
        <f t="shared" ca="1" si="110"/>
        <v>1</v>
      </c>
      <c r="J1001" t="str">
        <f t="shared" si="111"/>
        <v>Environmental</v>
      </c>
    </row>
    <row r="1002" spans="1:10">
      <c r="A1002" t="str" cm="1">
        <f t="array" ref="A1002">INDEX(Vendor_Master!$A$2:$A$401, ROUNDUP((ROW()-1)/4, 0))</f>
        <v>VND-251</v>
      </c>
      <c r="B1002" t="str">
        <f t="shared" si="105"/>
        <v>ISO 14001</v>
      </c>
      <c r="C1002" t="str">
        <f t="shared" si="106"/>
        <v>Yes</v>
      </c>
      <c r="D1002" t="str">
        <f t="shared" si="107"/>
        <v>Yes</v>
      </c>
      <c r="E1002" s="1">
        <v>46022</v>
      </c>
      <c r="F1002" s="1">
        <v>46105</v>
      </c>
      <c r="G1002">
        <f t="shared" ca="1" si="108"/>
        <v>22</v>
      </c>
      <c r="H1002" t="str">
        <f t="shared" ca="1" si="109"/>
        <v>Expiring Soon</v>
      </c>
      <c r="I1002">
        <f t="shared" ca="1" si="110"/>
        <v>1</v>
      </c>
      <c r="J1002" t="str">
        <f t="shared" si="111"/>
        <v>Environmental</v>
      </c>
    </row>
    <row r="1003" spans="1:10">
      <c r="A1003" t="str" cm="1">
        <f t="array" ref="A1003">INDEX(Vendor_Master!$A$2:$A$401, ROUNDUP((ROW()-1)/4, 0))</f>
        <v>VND-251</v>
      </c>
      <c r="B1003" t="str">
        <f t="shared" si="105"/>
        <v>Safety Certificate</v>
      </c>
      <c r="C1003" t="str">
        <f t="shared" si="106"/>
        <v>Yes</v>
      </c>
      <c r="D1003" t="str">
        <f t="shared" si="107"/>
        <v>Yes</v>
      </c>
      <c r="E1003" s="1">
        <v>45920</v>
      </c>
      <c r="F1003" s="1">
        <v>46103</v>
      </c>
      <c r="G1003">
        <f t="shared" ca="1" si="108"/>
        <v>20</v>
      </c>
      <c r="H1003" t="str">
        <f t="shared" ca="1" si="109"/>
        <v>Expiring Soon</v>
      </c>
      <c r="I1003">
        <f t="shared" ca="1" si="110"/>
        <v>1</v>
      </c>
      <c r="J1003" t="str">
        <f t="shared" si="111"/>
        <v>Safety</v>
      </c>
    </row>
    <row r="1004" spans="1:10">
      <c r="A1004" t="str" cm="1">
        <f t="array" ref="A1004">INDEX(Vendor_Master!$A$2:$A$401, ROUNDUP((ROW()-1)/4, 0))</f>
        <v>VND-251</v>
      </c>
      <c r="B1004" t="str">
        <f t="shared" si="105"/>
        <v>Environmental Policy</v>
      </c>
      <c r="C1004" t="str">
        <f t="shared" si="106"/>
        <v>Yes</v>
      </c>
      <c r="D1004" t="str">
        <f t="shared" si="107"/>
        <v>Yes</v>
      </c>
      <c r="E1004" s="1">
        <v>45841</v>
      </c>
      <c r="F1004" s="1">
        <v>46096</v>
      </c>
      <c r="G1004">
        <f t="shared" ca="1" si="108"/>
        <v>13</v>
      </c>
      <c r="H1004" t="str">
        <f t="shared" ca="1" si="109"/>
        <v>Expiring Soon</v>
      </c>
      <c r="I1004">
        <f t="shared" ca="1" si="110"/>
        <v>1</v>
      </c>
      <c r="J1004" t="str">
        <f t="shared" si="111"/>
        <v>Environmental</v>
      </c>
    </row>
    <row r="1005" spans="1:10">
      <c r="A1005" t="str" cm="1">
        <f t="array" ref="A1005">INDEX(Vendor_Master!$A$2:$A$401, ROUNDUP((ROW()-1)/4, 0))</f>
        <v>VND-251</v>
      </c>
      <c r="B1005" t="str">
        <f t="shared" si="105"/>
        <v>Sustainability Disclosure</v>
      </c>
      <c r="C1005" t="str">
        <f t="shared" si="106"/>
        <v>Yes</v>
      </c>
      <c r="D1005" t="str">
        <f t="shared" si="107"/>
        <v>Yes</v>
      </c>
      <c r="E1005" s="1">
        <v>45684</v>
      </c>
      <c r="F1005" s="1">
        <v>46089</v>
      </c>
      <c r="G1005">
        <f t="shared" ca="1" si="108"/>
        <v>6</v>
      </c>
      <c r="H1005" t="str">
        <f t="shared" ca="1" si="109"/>
        <v>Expiring Soon</v>
      </c>
      <c r="I1005">
        <f t="shared" ca="1" si="110"/>
        <v>1</v>
      </c>
      <c r="J1005" t="str">
        <f t="shared" si="111"/>
        <v>Environmental</v>
      </c>
    </row>
    <row r="1006" spans="1:10">
      <c r="A1006" t="str" cm="1">
        <f t="array" ref="A1006">INDEX(Vendor_Master!$A$2:$A$401, ROUNDUP((ROW()-1)/4, 0))</f>
        <v>VND-252</v>
      </c>
      <c r="B1006" t="str">
        <f t="shared" si="105"/>
        <v>ISO 14001</v>
      </c>
      <c r="C1006" t="str">
        <f t="shared" si="106"/>
        <v>Yes</v>
      </c>
      <c r="D1006" t="str">
        <f t="shared" si="107"/>
        <v>Yes</v>
      </c>
      <c r="E1006" s="1">
        <v>45856</v>
      </c>
      <c r="F1006" s="1">
        <v>46099</v>
      </c>
      <c r="G1006">
        <f t="shared" ca="1" si="108"/>
        <v>16</v>
      </c>
      <c r="H1006" t="str">
        <f t="shared" ca="1" si="109"/>
        <v>Expiring Soon</v>
      </c>
      <c r="I1006">
        <f t="shared" ca="1" si="110"/>
        <v>1</v>
      </c>
      <c r="J1006" t="str">
        <f t="shared" si="111"/>
        <v>Environmental</v>
      </c>
    </row>
    <row r="1007" spans="1:10">
      <c r="A1007" t="str" cm="1">
        <f t="array" ref="A1007">INDEX(Vendor_Master!$A$2:$A$401, ROUNDUP((ROW()-1)/4, 0))</f>
        <v>VND-252</v>
      </c>
      <c r="B1007" t="str">
        <f t="shared" si="105"/>
        <v>Safety Certificate</v>
      </c>
      <c r="C1007" t="str">
        <f t="shared" si="106"/>
        <v>Yes</v>
      </c>
      <c r="D1007" t="str">
        <f t="shared" si="107"/>
        <v>Yes</v>
      </c>
      <c r="E1007" s="1">
        <v>45549</v>
      </c>
      <c r="F1007" s="1">
        <v>46086</v>
      </c>
      <c r="G1007">
        <f t="shared" ca="1" si="108"/>
        <v>3</v>
      </c>
      <c r="H1007" t="str">
        <f t="shared" ca="1" si="109"/>
        <v>Expiring Soon</v>
      </c>
      <c r="I1007">
        <f t="shared" ca="1" si="110"/>
        <v>1</v>
      </c>
      <c r="J1007" t="str">
        <f t="shared" si="111"/>
        <v>Safety</v>
      </c>
    </row>
    <row r="1008" spans="1:10">
      <c r="A1008" t="str" cm="1">
        <f t="array" ref="A1008">INDEX(Vendor_Master!$A$2:$A$401, ROUNDUP((ROW()-1)/4, 0))</f>
        <v>VND-252</v>
      </c>
      <c r="B1008" t="str">
        <f t="shared" si="105"/>
        <v>Environmental Policy</v>
      </c>
      <c r="C1008" t="str">
        <f t="shared" si="106"/>
        <v>Yes</v>
      </c>
      <c r="D1008" t="str">
        <f t="shared" si="107"/>
        <v>Yes</v>
      </c>
      <c r="E1008" s="1">
        <v>45721</v>
      </c>
      <c r="F1008" s="1">
        <v>46089</v>
      </c>
      <c r="G1008">
        <f t="shared" ca="1" si="108"/>
        <v>6</v>
      </c>
      <c r="H1008" t="str">
        <f t="shared" ca="1" si="109"/>
        <v>Expiring Soon</v>
      </c>
      <c r="I1008">
        <f t="shared" ca="1" si="110"/>
        <v>1</v>
      </c>
      <c r="J1008" t="str">
        <f t="shared" si="111"/>
        <v>Environmental</v>
      </c>
    </row>
    <row r="1009" spans="1:10">
      <c r="A1009" t="str" cm="1">
        <f t="array" ref="A1009">INDEX(Vendor_Master!$A$2:$A$401, ROUNDUP((ROW()-1)/4, 0))</f>
        <v>VND-252</v>
      </c>
      <c r="B1009" t="str">
        <f t="shared" si="105"/>
        <v>Sustainability Disclosure</v>
      </c>
      <c r="C1009" t="str">
        <f t="shared" si="106"/>
        <v>Yes</v>
      </c>
      <c r="D1009" t="str">
        <f t="shared" si="107"/>
        <v>Yes</v>
      </c>
      <c r="E1009" s="1">
        <v>45697</v>
      </c>
      <c r="F1009" s="1">
        <v>46097</v>
      </c>
      <c r="G1009">
        <f t="shared" ca="1" si="108"/>
        <v>14</v>
      </c>
      <c r="H1009" t="str">
        <f t="shared" ca="1" si="109"/>
        <v>Expiring Soon</v>
      </c>
      <c r="I1009">
        <f t="shared" ca="1" si="110"/>
        <v>1</v>
      </c>
      <c r="J1009" t="str">
        <f t="shared" si="111"/>
        <v>Environmental</v>
      </c>
    </row>
    <row r="1010" spans="1:10">
      <c r="A1010" t="str" cm="1">
        <f t="array" ref="A1010">INDEX(Vendor_Master!$A$2:$A$401, ROUNDUP((ROW()-1)/4, 0))</f>
        <v>VND-253</v>
      </c>
      <c r="B1010" t="str">
        <f t="shared" si="105"/>
        <v>ISO 14001</v>
      </c>
      <c r="C1010" t="str">
        <f t="shared" si="106"/>
        <v>Yes</v>
      </c>
      <c r="D1010" t="str">
        <f t="shared" si="107"/>
        <v>Yes</v>
      </c>
      <c r="E1010" s="1">
        <v>45496</v>
      </c>
      <c r="F1010" s="1">
        <v>46084</v>
      </c>
      <c r="G1010">
        <f t="shared" ca="1" si="108"/>
        <v>1</v>
      </c>
      <c r="H1010" t="str">
        <f t="shared" ca="1" si="109"/>
        <v>Expiring Soon</v>
      </c>
      <c r="I1010">
        <f t="shared" ca="1" si="110"/>
        <v>1</v>
      </c>
      <c r="J1010" t="str">
        <f t="shared" si="111"/>
        <v>Environmental</v>
      </c>
    </row>
    <row r="1011" spans="1:10">
      <c r="A1011" t="str" cm="1">
        <f t="array" ref="A1011">INDEX(Vendor_Master!$A$2:$A$401, ROUNDUP((ROW()-1)/4, 0))</f>
        <v>VND-253</v>
      </c>
      <c r="B1011" t="str">
        <f t="shared" si="105"/>
        <v>Safety Certificate</v>
      </c>
      <c r="C1011" t="str">
        <f t="shared" si="106"/>
        <v>Yes</v>
      </c>
      <c r="D1011" t="str">
        <f t="shared" si="107"/>
        <v>Yes</v>
      </c>
      <c r="E1011" s="1">
        <v>45888</v>
      </c>
      <c r="F1011" s="1">
        <v>46087</v>
      </c>
      <c r="G1011">
        <f t="shared" ca="1" si="108"/>
        <v>4</v>
      </c>
      <c r="H1011" t="str">
        <f t="shared" ca="1" si="109"/>
        <v>Expiring Soon</v>
      </c>
      <c r="I1011">
        <f t="shared" ca="1" si="110"/>
        <v>1</v>
      </c>
      <c r="J1011" t="str">
        <f t="shared" si="111"/>
        <v>Safety</v>
      </c>
    </row>
    <row r="1012" spans="1:10">
      <c r="A1012" t="str" cm="1">
        <f t="array" ref="A1012">INDEX(Vendor_Master!$A$2:$A$401, ROUNDUP((ROW()-1)/4, 0))</f>
        <v>VND-253</v>
      </c>
      <c r="B1012" t="str">
        <f t="shared" si="105"/>
        <v>Environmental Policy</v>
      </c>
      <c r="C1012" t="str">
        <f t="shared" si="106"/>
        <v>Yes</v>
      </c>
      <c r="D1012" t="str">
        <f t="shared" si="107"/>
        <v>Yes</v>
      </c>
      <c r="E1012" s="1">
        <v>45406</v>
      </c>
      <c r="F1012" s="1">
        <v>46089</v>
      </c>
      <c r="G1012">
        <f t="shared" ca="1" si="108"/>
        <v>6</v>
      </c>
      <c r="H1012" t="str">
        <f t="shared" ca="1" si="109"/>
        <v>Expiring Soon</v>
      </c>
      <c r="I1012">
        <f t="shared" ca="1" si="110"/>
        <v>1</v>
      </c>
      <c r="J1012" t="str">
        <f t="shared" si="111"/>
        <v>Environmental</v>
      </c>
    </row>
    <row r="1013" spans="1:10">
      <c r="A1013" t="str" cm="1">
        <f t="array" ref="A1013">INDEX(Vendor_Master!$A$2:$A$401, ROUNDUP((ROW()-1)/4, 0))</f>
        <v>VND-253</v>
      </c>
      <c r="B1013" t="str">
        <f t="shared" si="105"/>
        <v>Sustainability Disclosure</v>
      </c>
      <c r="C1013" t="str">
        <f t="shared" si="106"/>
        <v>Yes</v>
      </c>
      <c r="D1013" t="str">
        <f t="shared" si="107"/>
        <v>Yes</v>
      </c>
      <c r="E1013" s="1">
        <v>45547</v>
      </c>
      <c r="F1013" s="1">
        <v>46100</v>
      </c>
      <c r="G1013">
        <f t="shared" ca="1" si="108"/>
        <v>17</v>
      </c>
      <c r="H1013" t="str">
        <f t="shared" ca="1" si="109"/>
        <v>Expiring Soon</v>
      </c>
      <c r="I1013">
        <f t="shared" ca="1" si="110"/>
        <v>1</v>
      </c>
      <c r="J1013" t="str">
        <f t="shared" si="111"/>
        <v>Environmental</v>
      </c>
    </row>
    <row r="1014" spans="1:10">
      <c r="A1014" t="str" cm="1">
        <f t="array" ref="A1014">INDEX(Vendor_Master!$A$2:$A$401, ROUNDUP((ROW()-1)/4, 0))</f>
        <v>VND-254</v>
      </c>
      <c r="B1014" t="str">
        <f t="shared" si="105"/>
        <v>ISO 14001</v>
      </c>
      <c r="C1014" t="str">
        <f t="shared" si="106"/>
        <v>Yes</v>
      </c>
      <c r="D1014" t="str">
        <f t="shared" si="107"/>
        <v>Yes</v>
      </c>
      <c r="E1014" s="1">
        <v>45725</v>
      </c>
      <c r="F1014" s="1">
        <v>46102</v>
      </c>
      <c r="G1014">
        <f t="shared" ca="1" si="108"/>
        <v>19</v>
      </c>
      <c r="H1014" t="str">
        <f t="shared" ca="1" si="109"/>
        <v>Expiring Soon</v>
      </c>
      <c r="I1014">
        <f t="shared" ca="1" si="110"/>
        <v>1</v>
      </c>
      <c r="J1014" t="str">
        <f t="shared" si="111"/>
        <v>Environmental</v>
      </c>
    </row>
    <row r="1015" spans="1:10">
      <c r="A1015" t="str" cm="1">
        <f t="array" ref="A1015">INDEX(Vendor_Master!$A$2:$A$401, ROUNDUP((ROW()-1)/4, 0))</f>
        <v>VND-254</v>
      </c>
      <c r="B1015" t="str">
        <f t="shared" si="105"/>
        <v>Safety Certificate</v>
      </c>
      <c r="C1015" t="str">
        <f t="shared" si="106"/>
        <v>Yes</v>
      </c>
      <c r="D1015" t="str">
        <f t="shared" si="107"/>
        <v>Yes</v>
      </c>
      <c r="E1015" s="1">
        <v>46068</v>
      </c>
      <c r="F1015" s="1">
        <v>46096</v>
      </c>
      <c r="G1015">
        <f t="shared" ca="1" si="108"/>
        <v>13</v>
      </c>
      <c r="H1015" t="str">
        <f t="shared" ca="1" si="109"/>
        <v>Expiring Soon</v>
      </c>
      <c r="I1015">
        <f t="shared" ca="1" si="110"/>
        <v>1</v>
      </c>
      <c r="J1015" t="str">
        <f t="shared" si="111"/>
        <v>Safety</v>
      </c>
    </row>
    <row r="1016" spans="1:10">
      <c r="A1016" t="str" cm="1">
        <f t="array" ref="A1016">INDEX(Vendor_Master!$A$2:$A$401, ROUNDUP((ROW()-1)/4, 0))</f>
        <v>VND-254</v>
      </c>
      <c r="B1016" t="str">
        <f t="shared" si="105"/>
        <v>Environmental Policy</v>
      </c>
      <c r="C1016" t="str">
        <f t="shared" si="106"/>
        <v>Yes</v>
      </c>
      <c r="D1016" t="str">
        <f t="shared" si="107"/>
        <v>Yes</v>
      </c>
      <c r="E1016" s="1">
        <v>45622</v>
      </c>
      <c r="F1016" s="1">
        <v>46094</v>
      </c>
      <c r="G1016">
        <f t="shared" ca="1" si="108"/>
        <v>11</v>
      </c>
      <c r="H1016" t="str">
        <f t="shared" ca="1" si="109"/>
        <v>Expiring Soon</v>
      </c>
      <c r="I1016">
        <f t="shared" ca="1" si="110"/>
        <v>1</v>
      </c>
      <c r="J1016" t="str">
        <f t="shared" si="111"/>
        <v>Environmental</v>
      </c>
    </row>
    <row r="1017" spans="1:10">
      <c r="A1017" t="str" cm="1">
        <f t="array" ref="A1017">INDEX(Vendor_Master!$A$2:$A$401, ROUNDUP((ROW()-1)/4, 0))</f>
        <v>VND-254</v>
      </c>
      <c r="B1017" t="str">
        <f t="shared" si="105"/>
        <v>Sustainability Disclosure</v>
      </c>
      <c r="C1017" t="str">
        <f t="shared" si="106"/>
        <v>Yes</v>
      </c>
      <c r="D1017" t="str">
        <f t="shared" si="107"/>
        <v>Yes</v>
      </c>
      <c r="E1017" s="1">
        <v>45445</v>
      </c>
      <c r="F1017" s="1">
        <v>46087</v>
      </c>
      <c r="G1017">
        <f t="shared" ca="1" si="108"/>
        <v>4</v>
      </c>
      <c r="H1017" t="str">
        <f t="shared" ca="1" si="109"/>
        <v>Expiring Soon</v>
      </c>
      <c r="I1017">
        <f t="shared" ca="1" si="110"/>
        <v>1</v>
      </c>
      <c r="J1017" t="str">
        <f t="shared" si="111"/>
        <v>Environmental</v>
      </c>
    </row>
    <row r="1018" spans="1:10">
      <c r="A1018" t="str" cm="1">
        <f t="array" ref="A1018">INDEX(Vendor_Master!$A$2:$A$401, ROUNDUP((ROW()-1)/4, 0))</f>
        <v>VND-255</v>
      </c>
      <c r="B1018" t="str">
        <f t="shared" si="105"/>
        <v>ISO 14001</v>
      </c>
      <c r="C1018" t="str">
        <f t="shared" si="106"/>
        <v>Yes</v>
      </c>
      <c r="D1018" t="str">
        <f t="shared" si="107"/>
        <v>Yes</v>
      </c>
      <c r="E1018" s="1">
        <v>45385</v>
      </c>
      <c r="F1018" s="1">
        <v>46087</v>
      </c>
      <c r="G1018">
        <f t="shared" ca="1" si="108"/>
        <v>4</v>
      </c>
      <c r="H1018" t="str">
        <f t="shared" ca="1" si="109"/>
        <v>Expiring Soon</v>
      </c>
      <c r="I1018">
        <f t="shared" ca="1" si="110"/>
        <v>1</v>
      </c>
      <c r="J1018" t="str">
        <f t="shared" si="111"/>
        <v>Environmental</v>
      </c>
    </row>
    <row r="1019" spans="1:10">
      <c r="A1019" t="str" cm="1">
        <f t="array" ref="A1019">INDEX(Vendor_Master!$A$2:$A$401, ROUNDUP((ROW()-1)/4, 0))</f>
        <v>VND-255</v>
      </c>
      <c r="B1019" t="str">
        <f t="shared" si="105"/>
        <v>Safety Certificate</v>
      </c>
      <c r="C1019" t="str">
        <f t="shared" si="106"/>
        <v>Yes</v>
      </c>
      <c r="D1019" t="str">
        <f t="shared" si="107"/>
        <v>Yes</v>
      </c>
      <c r="E1019" s="1">
        <v>46007</v>
      </c>
      <c r="F1019" s="1">
        <v>46098</v>
      </c>
      <c r="G1019">
        <f t="shared" ca="1" si="108"/>
        <v>15</v>
      </c>
      <c r="H1019" t="str">
        <f t="shared" ca="1" si="109"/>
        <v>Expiring Soon</v>
      </c>
      <c r="I1019">
        <f t="shared" ca="1" si="110"/>
        <v>1</v>
      </c>
      <c r="J1019" t="str">
        <f t="shared" si="111"/>
        <v>Safety</v>
      </c>
    </row>
    <row r="1020" spans="1:10">
      <c r="A1020" t="str" cm="1">
        <f t="array" ref="A1020">INDEX(Vendor_Master!$A$2:$A$401, ROUNDUP((ROW()-1)/4, 0))</f>
        <v>VND-255</v>
      </c>
      <c r="B1020" t="str">
        <f t="shared" si="105"/>
        <v>Environmental Policy</v>
      </c>
      <c r="C1020" t="str">
        <f t="shared" si="106"/>
        <v>Yes</v>
      </c>
      <c r="D1020" t="str">
        <f t="shared" si="107"/>
        <v>Yes</v>
      </c>
      <c r="E1020" s="1">
        <v>45431</v>
      </c>
      <c r="F1020" s="1">
        <v>46108</v>
      </c>
      <c r="G1020">
        <f t="shared" ca="1" si="108"/>
        <v>25</v>
      </c>
      <c r="H1020" t="str">
        <f t="shared" ca="1" si="109"/>
        <v>Expiring Soon</v>
      </c>
      <c r="I1020">
        <f t="shared" ca="1" si="110"/>
        <v>1</v>
      </c>
      <c r="J1020" t="str">
        <f t="shared" si="111"/>
        <v>Environmental</v>
      </c>
    </row>
    <row r="1021" spans="1:10">
      <c r="A1021" t="str" cm="1">
        <f t="array" ref="A1021">INDEX(Vendor_Master!$A$2:$A$401, ROUNDUP((ROW()-1)/4, 0))</f>
        <v>VND-255</v>
      </c>
      <c r="B1021" t="str">
        <f t="shared" si="105"/>
        <v>Sustainability Disclosure</v>
      </c>
      <c r="C1021" t="str">
        <f t="shared" si="106"/>
        <v>Yes</v>
      </c>
      <c r="D1021" t="str">
        <f t="shared" si="107"/>
        <v>Yes</v>
      </c>
      <c r="E1021" s="1">
        <v>46037</v>
      </c>
      <c r="F1021" s="1">
        <v>46090</v>
      </c>
      <c r="G1021">
        <f t="shared" ca="1" si="108"/>
        <v>7</v>
      </c>
      <c r="H1021" t="str">
        <f t="shared" ca="1" si="109"/>
        <v>Expiring Soon</v>
      </c>
      <c r="I1021">
        <f t="shared" ca="1" si="110"/>
        <v>1</v>
      </c>
      <c r="J1021" t="str">
        <f t="shared" si="111"/>
        <v>Environmental</v>
      </c>
    </row>
    <row r="1022" spans="1:10">
      <c r="A1022" t="str" cm="1">
        <f t="array" ref="A1022">INDEX(Vendor_Master!$A$2:$A$401, ROUNDUP((ROW()-1)/4, 0))</f>
        <v>VND-256</v>
      </c>
      <c r="B1022" t="str">
        <f t="shared" si="105"/>
        <v>ISO 14001</v>
      </c>
      <c r="C1022" t="str">
        <f t="shared" si="106"/>
        <v>Yes</v>
      </c>
      <c r="D1022" t="str">
        <f t="shared" si="107"/>
        <v>Yes</v>
      </c>
      <c r="E1022" s="1">
        <v>45645</v>
      </c>
      <c r="F1022" s="1">
        <v>46083</v>
      </c>
      <c r="G1022">
        <f t="shared" ca="1" si="108"/>
        <v>0</v>
      </c>
      <c r="H1022" t="str">
        <f t="shared" ca="1" si="109"/>
        <v>Expiring Soon</v>
      </c>
      <c r="I1022">
        <f t="shared" ca="1" si="110"/>
        <v>1</v>
      </c>
      <c r="J1022" t="str">
        <f t="shared" si="111"/>
        <v>Environmental</v>
      </c>
    </row>
    <row r="1023" spans="1:10">
      <c r="A1023" t="str" cm="1">
        <f t="array" ref="A1023">INDEX(Vendor_Master!$A$2:$A$401, ROUNDUP((ROW()-1)/4, 0))</f>
        <v>VND-256</v>
      </c>
      <c r="B1023" t="str">
        <f t="shared" si="105"/>
        <v>Safety Certificate</v>
      </c>
      <c r="C1023" t="str">
        <f t="shared" si="106"/>
        <v>Yes</v>
      </c>
      <c r="D1023" t="str">
        <f t="shared" si="107"/>
        <v>Yes</v>
      </c>
      <c r="E1023" s="1">
        <v>45784</v>
      </c>
      <c r="F1023" s="1">
        <v>46098</v>
      </c>
      <c r="G1023">
        <f t="shared" ca="1" si="108"/>
        <v>15</v>
      </c>
      <c r="H1023" t="str">
        <f t="shared" ca="1" si="109"/>
        <v>Expiring Soon</v>
      </c>
      <c r="I1023">
        <f t="shared" ca="1" si="110"/>
        <v>1</v>
      </c>
      <c r="J1023" t="str">
        <f t="shared" si="111"/>
        <v>Safety</v>
      </c>
    </row>
    <row r="1024" spans="1:10">
      <c r="A1024" t="str" cm="1">
        <f t="array" ref="A1024">INDEX(Vendor_Master!$A$2:$A$401, ROUNDUP((ROW()-1)/4, 0))</f>
        <v>VND-256</v>
      </c>
      <c r="B1024" t="str">
        <f t="shared" si="105"/>
        <v>Environmental Policy</v>
      </c>
      <c r="C1024" t="str">
        <f t="shared" si="106"/>
        <v>Yes</v>
      </c>
      <c r="D1024" t="str">
        <f t="shared" si="107"/>
        <v>Yes</v>
      </c>
      <c r="E1024" s="1">
        <v>45776</v>
      </c>
      <c r="F1024" s="1">
        <v>46103</v>
      </c>
      <c r="G1024">
        <f t="shared" ca="1" si="108"/>
        <v>20</v>
      </c>
      <c r="H1024" t="str">
        <f t="shared" ca="1" si="109"/>
        <v>Expiring Soon</v>
      </c>
      <c r="I1024">
        <f t="shared" ca="1" si="110"/>
        <v>1</v>
      </c>
      <c r="J1024" t="str">
        <f t="shared" si="111"/>
        <v>Environmental</v>
      </c>
    </row>
    <row r="1025" spans="1:10">
      <c r="A1025" t="str" cm="1">
        <f t="array" ref="A1025">INDEX(Vendor_Master!$A$2:$A$401, ROUNDUP((ROW()-1)/4, 0))</f>
        <v>VND-256</v>
      </c>
      <c r="B1025" t="str">
        <f t="shared" si="105"/>
        <v>Sustainability Disclosure</v>
      </c>
      <c r="C1025" t="str">
        <f t="shared" si="106"/>
        <v>Yes</v>
      </c>
      <c r="D1025" t="str">
        <f t="shared" si="107"/>
        <v>Yes</v>
      </c>
      <c r="E1025" s="1">
        <v>45575</v>
      </c>
      <c r="F1025" s="1">
        <v>46110</v>
      </c>
      <c r="G1025">
        <f t="shared" ca="1" si="108"/>
        <v>27</v>
      </c>
      <c r="H1025" t="str">
        <f t="shared" ca="1" si="109"/>
        <v>Expiring Soon</v>
      </c>
      <c r="I1025">
        <f t="shared" ca="1" si="110"/>
        <v>1</v>
      </c>
      <c r="J1025" t="str">
        <f t="shared" si="111"/>
        <v>Environmental</v>
      </c>
    </row>
    <row r="1026" spans="1:10">
      <c r="A1026" t="str" cm="1">
        <f t="array" ref="A1026">INDEX(Vendor_Master!$A$2:$A$401, ROUNDUP((ROW()-1)/4, 0))</f>
        <v>VND-257</v>
      </c>
      <c r="B1026" t="str">
        <f t="shared" ref="B1026:B1089" si="112">CHOOSE(MOD(ROW()-2,4)+1,"ISO 14001","Safety Certificate","Environmental Policy","Sustainability Disclosure")</f>
        <v>ISO 14001</v>
      </c>
      <c r="C1026" t="str">
        <f t="shared" ref="C1026:C1089" si="113">"Yes"</f>
        <v>Yes</v>
      </c>
      <c r="D1026" t="str">
        <f t="shared" ref="D1026:D1089" si="114">IF(ROW()-1&lt;=1280,"Yes","No")</f>
        <v>Yes</v>
      </c>
      <c r="E1026" s="1">
        <v>45565</v>
      </c>
      <c r="F1026" s="1">
        <v>46089</v>
      </c>
      <c r="G1026">
        <f t="shared" ref="G1026:G1089" ca="1" si="115">IF($F1026="","",$F1026-TODAY())</f>
        <v>6</v>
      </c>
      <c r="H1026" t="str">
        <f t="shared" ref="H1026:H1089" ca="1" si="116">IF($C1026="No","Not Required",
IF($D1026="No","Missing",
IF($F1026&lt;TODAY(),"Expired",
IF($F1026&lt;=TODAY()+30,"Expiring Soon","Active"))))</f>
        <v>Expiring Soon</v>
      </c>
      <c r="I1026">
        <f t="shared" ref="I1026:I1089" ca="1" si="117">IF(OR($H1026="Missing",$H1026="Expired",$H1026="Expiring Soon"),1,0)</f>
        <v>1</v>
      </c>
      <c r="J1026" t="str">
        <f t="shared" si="111"/>
        <v>Environmental</v>
      </c>
    </row>
    <row r="1027" spans="1:10">
      <c r="A1027" t="str" cm="1">
        <f t="array" ref="A1027">INDEX(Vendor_Master!$A$2:$A$401, ROUNDUP((ROW()-1)/4, 0))</f>
        <v>VND-257</v>
      </c>
      <c r="B1027" t="str">
        <f t="shared" si="112"/>
        <v>Safety Certificate</v>
      </c>
      <c r="C1027" t="str">
        <f t="shared" si="113"/>
        <v>Yes</v>
      </c>
      <c r="D1027" t="str">
        <f t="shared" si="114"/>
        <v>Yes</v>
      </c>
      <c r="E1027" s="1">
        <v>45537</v>
      </c>
      <c r="F1027" s="1">
        <v>46095</v>
      </c>
      <c r="G1027">
        <f t="shared" ca="1" si="115"/>
        <v>12</v>
      </c>
      <c r="H1027" t="str">
        <f t="shared" ca="1" si="116"/>
        <v>Expiring Soon</v>
      </c>
      <c r="I1027">
        <f t="shared" ca="1" si="117"/>
        <v>1</v>
      </c>
      <c r="J1027" t="str">
        <f t="shared" ref="J1027:J1090" si="118">IF(B1027="ISO 14001","Environmental",
 IF(B1027="Environmental Policy","Environmental",
 IF(B1027="Sustainability Disclosure","Environmental",
 IF(B1027="Safety Certificate","Safety","Regulatory"))))</f>
        <v>Safety</v>
      </c>
    </row>
    <row r="1028" spans="1:10">
      <c r="A1028" t="str" cm="1">
        <f t="array" ref="A1028">INDEX(Vendor_Master!$A$2:$A$401, ROUNDUP((ROW()-1)/4, 0))</f>
        <v>VND-257</v>
      </c>
      <c r="B1028" t="str">
        <f t="shared" si="112"/>
        <v>Environmental Policy</v>
      </c>
      <c r="C1028" t="str">
        <f t="shared" si="113"/>
        <v>Yes</v>
      </c>
      <c r="D1028" t="str">
        <f t="shared" si="114"/>
        <v>Yes</v>
      </c>
      <c r="E1028" s="1">
        <v>45809</v>
      </c>
      <c r="F1028" s="1">
        <v>46095</v>
      </c>
      <c r="G1028">
        <f t="shared" ca="1" si="115"/>
        <v>12</v>
      </c>
      <c r="H1028" t="str">
        <f t="shared" ca="1" si="116"/>
        <v>Expiring Soon</v>
      </c>
      <c r="I1028">
        <f t="shared" ca="1" si="117"/>
        <v>1</v>
      </c>
      <c r="J1028" t="str">
        <f t="shared" si="118"/>
        <v>Environmental</v>
      </c>
    </row>
    <row r="1029" spans="1:10">
      <c r="A1029" t="str" cm="1">
        <f t="array" ref="A1029">INDEX(Vendor_Master!$A$2:$A$401, ROUNDUP((ROW()-1)/4, 0))</f>
        <v>VND-257</v>
      </c>
      <c r="B1029" t="str">
        <f t="shared" si="112"/>
        <v>Sustainability Disclosure</v>
      </c>
      <c r="C1029" t="str">
        <f t="shared" si="113"/>
        <v>Yes</v>
      </c>
      <c r="D1029" t="str">
        <f t="shared" si="114"/>
        <v>Yes</v>
      </c>
      <c r="E1029" s="1">
        <v>45473</v>
      </c>
      <c r="F1029" s="1">
        <v>46085</v>
      </c>
      <c r="G1029">
        <f t="shared" ca="1" si="115"/>
        <v>2</v>
      </c>
      <c r="H1029" t="str">
        <f t="shared" ca="1" si="116"/>
        <v>Expiring Soon</v>
      </c>
      <c r="I1029">
        <f t="shared" ca="1" si="117"/>
        <v>1</v>
      </c>
      <c r="J1029" t="str">
        <f t="shared" si="118"/>
        <v>Environmental</v>
      </c>
    </row>
    <row r="1030" spans="1:10">
      <c r="A1030" t="str" cm="1">
        <f t="array" ref="A1030">INDEX(Vendor_Master!$A$2:$A$401, ROUNDUP((ROW()-1)/4, 0))</f>
        <v>VND-258</v>
      </c>
      <c r="B1030" t="str">
        <f t="shared" si="112"/>
        <v>ISO 14001</v>
      </c>
      <c r="C1030" t="str">
        <f t="shared" si="113"/>
        <v>Yes</v>
      </c>
      <c r="D1030" t="str">
        <f t="shared" si="114"/>
        <v>Yes</v>
      </c>
      <c r="E1030" s="1">
        <v>45996</v>
      </c>
      <c r="F1030" s="1">
        <v>46095</v>
      </c>
      <c r="G1030">
        <f t="shared" ca="1" si="115"/>
        <v>12</v>
      </c>
      <c r="H1030" t="str">
        <f t="shared" ca="1" si="116"/>
        <v>Expiring Soon</v>
      </c>
      <c r="I1030">
        <f t="shared" ca="1" si="117"/>
        <v>1</v>
      </c>
      <c r="J1030" t="str">
        <f t="shared" si="118"/>
        <v>Environmental</v>
      </c>
    </row>
    <row r="1031" spans="1:10">
      <c r="A1031" t="str" cm="1">
        <f t="array" ref="A1031">INDEX(Vendor_Master!$A$2:$A$401, ROUNDUP((ROW()-1)/4, 0))</f>
        <v>VND-258</v>
      </c>
      <c r="B1031" t="str">
        <f t="shared" si="112"/>
        <v>Safety Certificate</v>
      </c>
      <c r="C1031" t="str">
        <f t="shared" si="113"/>
        <v>Yes</v>
      </c>
      <c r="D1031" t="str">
        <f t="shared" si="114"/>
        <v>Yes</v>
      </c>
      <c r="E1031" s="1">
        <v>45516</v>
      </c>
      <c r="F1031" s="1">
        <v>46093</v>
      </c>
      <c r="G1031">
        <f t="shared" ca="1" si="115"/>
        <v>10</v>
      </c>
      <c r="H1031" t="str">
        <f t="shared" ca="1" si="116"/>
        <v>Expiring Soon</v>
      </c>
      <c r="I1031">
        <f t="shared" ca="1" si="117"/>
        <v>1</v>
      </c>
      <c r="J1031" t="str">
        <f t="shared" si="118"/>
        <v>Safety</v>
      </c>
    </row>
    <row r="1032" spans="1:10">
      <c r="A1032" t="str" cm="1">
        <f t="array" ref="A1032">INDEX(Vendor_Master!$A$2:$A$401, ROUNDUP((ROW()-1)/4, 0))</f>
        <v>VND-258</v>
      </c>
      <c r="B1032" t="str">
        <f t="shared" si="112"/>
        <v>Environmental Policy</v>
      </c>
      <c r="C1032" t="str">
        <f t="shared" si="113"/>
        <v>Yes</v>
      </c>
      <c r="D1032" t="str">
        <f t="shared" si="114"/>
        <v>Yes</v>
      </c>
      <c r="E1032" s="1">
        <v>45384</v>
      </c>
      <c r="F1032" s="1">
        <v>46102</v>
      </c>
      <c r="G1032">
        <f t="shared" ca="1" si="115"/>
        <v>19</v>
      </c>
      <c r="H1032" t="str">
        <f t="shared" ca="1" si="116"/>
        <v>Expiring Soon</v>
      </c>
      <c r="I1032">
        <f t="shared" ca="1" si="117"/>
        <v>1</v>
      </c>
      <c r="J1032" t="str">
        <f t="shared" si="118"/>
        <v>Environmental</v>
      </c>
    </row>
    <row r="1033" spans="1:10">
      <c r="A1033" t="str" cm="1">
        <f t="array" ref="A1033">INDEX(Vendor_Master!$A$2:$A$401, ROUNDUP((ROW()-1)/4, 0))</f>
        <v>VND-258</v>
      </c>
      <c r="B1033" t="str">
        <f t="shared" si="112"/>
        <v>Sustainability Disclosure</v>
      </c>
      <c r="C1033" t="str">
        <f t="shared" si="113"/>
        <v>Yes</v>
      </c>
      <c r="D1033" t="str">
        <f t="shared" si="114"/>
        <v>Yes</v>
      </c>
      <c r="E1033" s="1">
        <v>45886</v>
      </c>
      <c r="F1033" s="1">
        <v>46093</v>
      </c>
      <c r="G1033">
        <f t="shared" ca="1" si="115"/>
        <v>10</v>
      </c>
      <c r="H1033" t="str">
        <f t="shared" ca="1" si="116"/>
        <v>Expiring Soon</v>
      </c>
      <c r="I1033">
        <f t="shared" ca="1" si="117"/>
        <v>1</v>
      </c>
      <c r="J1033" t="str">
        <f t="shared" si="118"/>
        <v>Environmental</v>
      </c>
    </row>
    <row r="1034" spans="1:10">
      <c r="A1034" t="str" cm="1">
        <f t="array" ref="A1034">INDEX(Vendor_Master!$A$2:$A$401, ROUNDUP((ROW()-1)/4, 0))</f>
        <v>VND-259</v>
      </c>
      <c r="B1034" t="str">
        <f t="shared" si="112"/>
        <v>ISO 14001</v>
      </c>
      <c r="C1034" t="str">
        <f t="shared" si="113"/>
        <v>Yes</v>
      </c>
      <c r="D1034" t="str">
        <f t="shared" si="114"/>
        <v>Yes</v>
      </c>
      <c r="E1034" s="1">
        <v>45672</v>
      </c>
      <c r="F1034" s="1">
        <v>46098</v>
      </c>
      <c r="G1034">
        <f t="shared" ca="1" si="115"/>
        <v>15</v>
      </c>
      <c r="H1034" t="str">
        <f t="shared" ca="1" si="116"/>
        <v>Expiring Soon</v>
      </c>
      <c r="I1034">
        <f t="shared" ca="1" si="117"/>
        <v>1</v>
      </c>
      <c r="J1034" t="str">
        <f t="shared" si="118"/>
        <v>Environmental</v>
      </c>
    </row>
    <row r="1035" spans="1:10">
      <c r="A1035" t="str" cm="1">
        <f t="array" ref="A1035">INDEX(Vendor_Master!$A$2:$A$401, ROUNDUP((ROW()-1)/4, 0))</f>
        <v>VND-259</v>
      </c>
      <c r="B1035" t="str">
        <f t="shared" si="112"/>
        <v>Safety Certificate</v>
      </c>
      <c r="C1035" t="str">
        <f t="shared" si="113"/>
        <v>Yes</v>
      </c>
      <c r="D1035" t="str">
        <f t="shared" si="114"/>
        <v>Yes</v>
      </c>
      <c r="E1035" s="1">
        <v>45698</v>
      </c>
      <c r="F1035" s="1">
        <v>46099</v>
      </c>
      <c r="G1035">
        <f t="shared" ca="1" si="115"/>
        <v>16</v>
      </c>
      <c r="H1035" t="str">
        <f t="shared" ca="1" si="116"/>
        <v>Expiring Soon</v>
      </c>
      <c r="I1035">
        <f t="shared" ca="1" si="117"/>
        <v>1</v>
      </c>
      <c r="J1035" t="str">
        <f t="shared" si="118"/>
        <v>Safety</v>
      </c>
    </row>
    <row r="1036" spans="1:10">
      <c r="A1036" t="str" cm="1">
        <f t="array" ref="A1036">INDEX(Vendor_Master!$A$2:$A$401, ROUNDUP((ROW()-1)/4, 0))</f>
        <v>VND-259</v>
      </c>
      <c r="B1036" t="str">
        <f t="shared" si="112"/>
        <v>Environmental Policy</v>
      </c>
      <c r="C1036" t="str">
        <f t="shared" si="113"/>
        <v>Yes</v>
      </c>
      <c r="D1036" t="str">
        <f t="shared" si="114"/>
        <v>Yes</v>
      </c>
      <c r="E1036" s="1">
        <v>45853</v>
      </c>
      <c r="F1036" s="1">
        <v>46110</v>
      </c>
      <c r="G1036">
        <f t="shared" ca="1" si="115"/>
        <v>27</v>
      </c>
      <c r="H1036" t="str">
        <f t="shared" ca="1" si="116"/>
        <v>Expiring Soon</v>
      </c>
      <c r="I1036">
        <f t="shared" ca="1" si="117"/>
        <v>1</v>
      </c>
      <c r="J1036" t="str">
        <f t="shared" si="118"/>
        <v>Environmental</v>
      </c>
    </row>
    <row r="1037" spans="1:10">
      <c r="A1037" t="str" cm="1">
        <f t="array" ref="A1037">INDEX(Vendor_Master!$A$2:$A$401, ROUNDUP((ROW()-1)/4, 0))</f>
        <v>VND-259</v>
      </c>
      <c r="B1037" t="str">
        <f t="shared" si="112"/>
        <v>Sustainability Disclosure</v>
      </c>
      <c r="C1037" t="str">
        <f t="shared" si="113"/>
        <v>Yes</v>
      </c>
      <c r="D1037" t="str">
        <f t="shared" si="114"/>
        <v>Yes</v>
      </c>
      <c r="E1037" s="1">
        <v>45438</v>
      </c>
      <c r="F1037" s="1">
        <v>46111</v>
      </c>
      <c r="G1037">
        <f t="shared" ca="1" si="115"/>
        <v>28</v>
      </c>
      <c r="H1037" t="str">
        <f t="shared" ca="1" si="116"/>
        <v>Expiring Soon</v>
      </c>
      <c r="I1037">
        <f t="shared" ca="1" si="117"/>
        <v>1</v>
      </c>
      <c r="J1037" t="str">
        <f t="shared" si="118"/>
        <v>Environmental</v>
      </c>
    </row>
    <row r="1038" spans="1:10">
      <c r="A1038" t="str" cm="1">
        <f t="array" ref="A1038">INDEX(Vendor_Master!$A$2:$A$401, ROUNDUP((ROW()-1)/4, 0))</f>
        <v>VND-260</v>
      </c>
      <c r="B1038" t="str">
        <f t="shared" si="112"/>
        <v>ISO 14001</v>
      </c>
      <c r="C1038" t="str">
        <f t="shared" si="113"/>
        <v>Yes</v>
      </c>
      <c r="D1038" t="str">
        <f t="shared" si="114"/>
        <v>Yes</v>
      </c>
      <c r="E1038" s="1">
        <v>45479</v>
      </c>
      <c r="F1038" s="1">
        <v>46111</v>
      </c>
      <c r="G1038">
        <f t="shared" ca="1" si="115"/>
        <v>28</v>
      </c>
      <c r="H1038" t="str">
        <f t="shared" ca="1" si="116"/>
        <v>Expiring Soon</v>
      </c>
      <c r="I1038">
        <f t="shared" ca="1" si="117"/>
        <v>1</v>
      </c>
      <c r="J1038" t="str">
        <f t="shared" si="118"/>
        <v>Environmental</v>
      </c>
    </row>
    <row r="1039" spans="1:10">
      <c r="A1039" t="str" cm="1">
        <f t="array" ref="A1039">INDEX(Vendor_Master!$A$2:$A$401, ROUNDUP((ROW()-1)/4, 0))</f>
        <v>VND-260</v>
      </c>
      <c r="B1039" t="str">
        <f t="shared" si="112"/>
        <v>Safety Certificate</v>
      </c>
      <c r="C1039" t="str">
        <f t="shared" si="113"/>
        <v>Yes</v>
      </c>
      <c r="D1039" t="str">
        <f t="shared" si="114"/>
        <v>Yes</v>
      </c>
      <c r="E1039" s="1">
        <v>46038</v>
      </c>
      <c r="F1039" s="1">
        <v>46088</v>
      </c>
      <c r="G1039">
        <f t="shared" ca="1" si="115"/>
        <v>5</v>
      </c>
      <c r="H1039" t="str">
        <f t="shared" ca="1" si="116"/>
        <v>Expiring Soon</v>
      </c>
      <c r="I1039">
        <f t="shared" ca="1" si="117"/>
        <v>1</v>
      </c>
      <c r="J1039" t="str">
        <f t="shared" si="118"/>
        <v>Safety</v>
      </c>
    </row>
    <row r="1040" spans="1:10">
      <c r="A1040" t="str" cm="1">
        <f t="array" ref="A1040">INDEX(Vendor_Master!$A$2:$A$401, ROUNDUP((ROW()-1)/4, 0))</f>
        <v>VND-260</v>
      </c>
      <c r="B1040" t="str">
        <f t="shared" si="112"/>
        <v>Environmental Policy</v>
      </c>
      <c r="C1040" t="str">
        <f t="shared" si="113"/>
        <v>Yes</v>
      </c>
      <c r="D1040" t="str">
        <f t="shared" si="114"/>
        <v>Yes</v>
      </c>
      <c r="E1040" s="1">
        <v>45845</v>
      </c>
      <c r="F1040" s="1">
        <v>46109</v>
      </c>
      <c r="G1040">
        <f t="shared" ca="1" si="115"/>
        <v>26</v>
      </c>
      <c r="H1040" t="str">
        <f t="shared" ca="1" si="116"/>
        <v>Expiring Soon</v>
      </c>
      <c r="I1040">
        <f t="shared" ca="1" si="117"/>
        <v>1</v>
      </c>
      <c r="J1040" t="str">
        <f t="shared" si="118"/>
        <v>Environmental</v>
      </c>
    </row>
    <row r="1041" spans="1:10">
      <c r="A1041" t="str" cm="1">
        <f t="array" ref="A1041">INDEX(Vendor_Master!$A$2:$A$401, ROUNDUP((ROW()-1)/4, 0))</f>
        <v>VND-260</v>
      </c>
      <c r="B1041" t="str">
        <f t="shared" si="112"/>
        <v>Sustainability Disclosure</v>
      </c>
      <c r="C1041" t="str">
        <f t="shared" si="113"/>
        <v>Yes</v>
      </c>
      <c r="D1041" t="str">
        <f t="shared" si="114"/>
        <v>Yes</v>
      </c>
      <c r="E1041" s="1">
        <v>45725</v>
      </c>
      <c r="F1041" s="1">
        <v>46108</v>
      </c>
      <c r="G1041">
        <f t="shared" ca="1" si="115"/>
        <v>25</v>
      </c>
      <c r="H1041" t="str">
        <f t="shared" ca="1" si="116"/>
        <v>Expiring Soon</v>
      </c>
      <c r="I1041">
        <f t="shared" ca="1" si="117"/>
        <v>1</v>
      </c>
      <c r="J1041" t="str">
        <f t="shared" si="118"/>
        <v>Environmental</v>
      </c>
    </row>
    <row r="1042" spans="1:10">
      <c r="A1042" t="str" cm="1">
        <f t="array" ref="A1042">INDEX(Vendor_Master!$A$2:$A$401, ROUNDUP((ROW()-1)/4, 0))</f>
        <v>VND-261</v>
      </c>
      <c r="B1042" t="str">
        <f t="shared" si="112"/>
        <v>ISO 14001</v>
      </c>
      <c r="C1042" t="str">
        <f t="shared" si="113"/>
        <v>Yes</v>
      </c>
      <c r="D1042" t="str">
        <f t="shared" si="114"/>
        <v>Yes</v>
      </c>
      <c r="E1042" s="1">
        <v>45685</v>
      </c>
      <c r="F1042" s="1">
        <v>46096</v>
      </c>
      <c r="G1042">
        <f t="shared" ca="1" si="115"/>
        <v>13</v>
      </c>
      <c r="H1042" t="str">
        <f t="shared" ca="1" si="116"/>
        <v>Expiring Soon</v>
      </c>
      <c r="I1042">
        <f t="shared" ca="1" si="117"/>
        <v>1</v>
      </c>
      <c r="J1042" t="str">
        <f t="shared" si="118"/>
        <v>Environmental</v>
      </c>
    </row>
    <row r="1043" spans="1:10">
      <c r="A1043" t="str" cm="1">
        <f t="array" ref="A1043">INDEX(Vendor_Master!$A$2:$A$401, ROUNDUP((ROW()-1)/4, 0))</f>
        <v>VND-261</v>
      </c>
      <c r="B1043" t="str">
        <f t="shared" si="112"/>
        <v>Safety Certificate</v>
      </c>
      <c r="C1043" t="str">
        <f t="shared" si="113"/>
        <v>Yes</v>
      </c>
      <c r="D1043" t="str">
        <f t="shared" si="114"/>
        <v>Yes</v>
      </c>
      <c r="E1043" s="1">
        <v>45519</v>
      </c>
      <c r="F1043" s="1">
        <v>46089</v>
      </c>
      <c r="G1043">
        <f t="shared" ca="1" si="115"/>
        <v>6</v>
      </c>
      <c r="H1043" t="str">
        <f t="shared" ca="1" si="116"/>
        <v>Expiring Soon</v>
      </c>
      <c r="I1043">
        <f t="shared" ca="1" si="117"/>
        <v>1</v>
      </c>
      <c r="J1043" t="str">
        <f t="shared" si="118"/>
        <v>Safety</v>
      </c>
    </row>
    <row r="1044" spans="1:10">
      <c r="A1044" t="str" cm="1">
        <f t="array" ref="A1044">INDEX(Vendor_Master!$A$2:$A$401, ROUNDUP((ROW()-1)/4, 0))</f>
        <v>VND-261</v>
      </c>
      <c r="B1044" t="str">
        <f t="shared" si="112"/>
        <v>Environmental Policy</v>
      </c>
      <c r="C1044" t="str">
        <f t="shared" si="113"/>
        <v>Yes</v>
      </c>
      <c r="D1044" t="str">
        <f t="shared" si="114"/>
        <v>Yes</v>
      </c>
      <c r="E1044" s="1">
        <v>45908</v>
      </c>
      <c r="F1044" s="1">
        <v>46105</v>
      </c>
      <c r="G1044">
        <f t="shared" ca="1" si="115"/>
        <v>22</v>
      </c>
      <c r="H1044" t="str">
        <f t="shared" ca="1" si="116"/>
        <v>Expiring Soon</v>
      </c>
      <c r="I1044">
        <f t="shared" ca="1" si="117"/>
        <v>1</v>
      </c>
      <c r="J1044" t="str">
        <f t="shared" si="118"/>
        <v>Environmental</v>
      </c>
    </row>
    <row r="1045" spans="1:10">
      <c r="A1045" t="str" cm="1">
        <f t="array" ref="A1045">INDEX(Vendor_Master!$A$2:$A$401, ROUNDUP((ROW()-1)/4, 0))</f>
        <v>VND-261</v>
      </c>
      <c r="B1045" t="str">
        <f t="shared" si="112"/>
        <v>Sustainability Disclosure</v>
      </c>
      <c r="C1045" t="str">
        <f t="shared" si="113"/>
        <v>Yes</v>
      </c>
      <c r="D1045" t="str">
        <f t="shared" si="114"/>
        <v>Yes</v>
      </c>
      <c r="E1045" s="1">
        <v>45882</v>
      </c>
      <c r="F1045" s="1">
        <v>46091</v>
      </c>
      <c r="G1045">
        <f t="shared" ca="1" si="115"/>
        <v>8</v>
      </c>
      <c r="H1045" t="str">
        <f t="shared" ca="1" si="116"/>
        <v>Expiring Soon</v>
      </c>
      <c r="I1045">
        <f t="shared" ca="1" si="117"/>
        <v>1</v>
      </c>
      <c r="J1045" t="str">
        <f t="shared" si="118"/>
        <v>Environmental</v>
      </c>
    </row>
    <row r="1046" spans="1:10">
      <c r="A1046" t="str" cm="1">
        <f t="array" ref="A1046">INDEX(Vendor_Master!$A$2:$A$401, ROUNDUP((ROW()-1)/4, 0))</f>
        <v>VND-262</v>
      </c>
      <c r="B1046" t="str">
        <f t="shared" si="112"/>
        <v>ISO 14001</v>
      </c>
      <c r="C1046" t="str">
        <f t="shared" si="113"/>
        <v>Yes</v>
      </c>
      <c r="D1046" t="str">
        <f t="shared" si="114"/>
        <v>Yes</v>
      </c>
      <c r="E1046" s="1">
        <v>45645</v>
      </c>
      <c r="F1046" s="1">
        <v>46094</v>
      </c>
      <c r="G1046">
        <f t="shared" ca="1" si="115"/>
        <v>11</v>
      </c>
      <c r="H1046" t="str">
        <f t="shared" ca="1" si="116"/>
        <v>Expiring Soon</v>
      </c>
      <c r="I1046">
        <f t="shared" ca="1" si="117"/>
        <v>1</v>
      </c>
      <c r="J1046" t="str">
        <f t="shared" si="118"/>
        <v>Environmental</v>
      </c>
    </row>
    <row r="1047" spans="1:10">
      <c r="A1047" t="str" cm="1">
        <f t="array" ref="A1047">INDEX(Vendor_Master!$A$2:$A$401, ROUNDUP((ROW()-1)/4, 0))</f>
        <v>VND-262</v>
      </c>
      <c r="B1047" t="str">
        <f t="shared" si="112"/>
        <v>Safety Certificate</v>
      </c>
      <c r="C1047" t="str">
        <f t="shared" si="113"/>
        <v>Yes</v>
      </c>
      <c r="D1047" t="str">
        <f t="shared" si="114"/>
        <v>Yes</v>
      </c>
      <c r="E1047" s="1">
        <v>45578</v>
      </c>
      <c r="F1047" s="1">
        <v>46082</v>
      </c>
      <c r="G1047">
        <f t="shared" ca="1" si="115"/>
        <v>-1</v>
      </c>
      <c r="H1047" t="str">
        <f t="shared" ca="1" si="116"/>
        <v>Expired</v>
      </c>
      <c r="I1047">
        <f t="shared" ca="1" si="117"/>
        <v>1</v>
      </c>
      <c r="J1047" t="str">
        <f t="shared" si="118"/>
        <v>Safety</v>
      </c>
    </row>
    <row r="1048" spans="1:10">
      <c r="A1048" t="str" cm="1">
        <f t="array" ref="A1048">INDEX(Vendor_Master!$A$2:$A$401, ROUNDUP((ROW()-1)/4, 0))</f>
        <v>VND-262</v>
      </c>
      <c r="B1048" t="str">
        <f t="shared" si="112"/>
        <v>Environmental Policy</v>
      </c>
      <c r="C1048" t="str">
        <f t="shared" si="113"/>
        <v>Yes</v>
      </c>
      <c r="D1048" t="str">
        <f t="shared" si="114"/>
        <v>Yes</v>
      </c>
      <c r="E1048" s="1">
        <v>45660</v>
      </c>
      <c r="F1048" s="1">
        <v>46094</v>
      </c>
      <c r="G1048">
        <f t="shared" ca="1" si="115"/>
        <v>11</v>
      </c>
      <c r="H1048" t="str">
        <f t="shared" ca="1" si="116"/>
        <v>Expiring Soon</v>
      </c>
      <c r="I1048">
        <f t="shared" ca="1" si="117"/>
        <v>1</v>
      </c>
      <c r="J1048" t="str">
        <f t="shared" si="118"/>
        <v>Environmental</v>
      </c>
    </row>
    <row r="1049" spans="1:10">
      <c r="A1049" t="str" cm="1">
        <f t="array" ref="A1049">INDEX(Vendor_Master!$A$2:$A$401, ROUNDUP((ROW()-1)/4, 0))</f>
        <v>VND-262</v>
      </c>
      <c r="B1049" t="str">
        <f t="shared" si="112"/>
        <v>Sustainability Disclosure</v>
      </c>
      <c r="C1049" t="str">
        <f t="shared" si="113"/>
        <v>Yes</v>
      </c>
      <c r="D1049" t="str">
        <f t="shared" si="114"/>
        <v>Yes</v>
      </c>
      <c r="E1049" s="1">
        <v>45539</v>
      </c>
      <c r="F1049" s="1">
        <v>46095</v>
      </c>
      <c r="G1049">
        <f t="shared" ca="1" si="115"/>
        <v>12</v>
      </c>
      <c r="H1049" t="str">
        <f t="shared" ca="1" si="116"/>
        <v>Expiring Soon</v>
      </c>
      <c r="I1049">
        <f t="shared" ca="1" si="117"/>
        <v>1</v>
      </c>
      <c r="J1049" t="str">
        <f t="shared" si="118"/>
        <v>Environmental</v>
      </c>
    </row>
    <row r="1050" spans="1:10">
      <c r="A1050" t="str" cm="1">
        <f t="array" ref="A1050">INDEX(Vendor_Master!$A$2:$A$401, ROUNDUP((ROW()-1)/4, 0))</f>
        <v>VND-263</v>
      </c>
      <c r="B1050" t="str">
        <f t="shared" si="112"/>
        <v>ISO 14001</v>
      </c>
      <c r="C1050" t="str">
        <f t="shared" si="113"/>
        <v>Yes</v>
      </c>
      <c r="D1050" t="str">
        <f t="shared" si="114"/>
        <v>Yes</v>
      </c>
      <c r="E1050" s="1">
        <v>45882</v>
      </c>
      <c r="F1050" s="1">
        <v>46086</v>
      </c>
      <c r="G1050">
        <f t="shared" ca="1" si="115"/>
        <v>3</v>
      </c>
      <c r="H1050" t="str">
        <f t="shared" ca="1" si="116"/>
        <v>Expiring Soon</v>
      </c>
      <c r="I1050">
        <f t="shared" ca="1" si="117"/>
        <v>1</v>
      </c>
      <c r="J1050" t="str">
        <f t="shared" si="118"/>
        <v>Environmental</v>
      </c>
    </row>
    <row r="1051" spans="1:10">
      <c r="A1051" t="str" cm="1">
        <f t="array" ref="A1051">INDEX(Vendor_Master!$A$2:$A$401, ROUNDUP((ROW()-1)/4, 0))</f>
        <v>VND-263</v>
      </c>
      <c r="B1051" t="str">
        <f t="shared" si="112"/>
        <v>Safety Certificate</v>
      </c>
      <c r="C1051" t="str">
        <f t="shared" si="113"/>
        <v>Yes</v>
      </c>
      <c r="D1051" t="str">
        <f t="shared" si="114"/>
        <v>Yes</v>
      </c>
      <c r="E1051" s="1">
        <v>45594</v>
      </c>
      <c r="F1051" s="1">
        <v>46087</v>
      </c>
      <c r="G1051">
        <f t="shared" ca="1" si="115"/>
        <v>4</v>
      </c>
      <c r="H1051" t="str">
        <f t="shared" ca="1" si="116"/>
        <v>Expiring Soon</v>
      </c>
      <c r="I1051">
        <f t="shared" ca="1" si="117"/>
        <v>1</v>
      </c>
      <c r="J1051" t="str">
        <f t="shared" si="118"/>
        <v>Safety</v>
      </c>
    </row>
    <row r="1052" spans="1:10">
      <c r="A1052" t="str" cm="1">
        <f t="array" ref="A1052">INDEX(Vendor_Master!$A$2:$A$401, ROUNDUP((ROW()-1)/4, 0))</f>
        <v>VND-263</v>
      </c>
      <c r="B1052" t="str">
        <f t="shared" si="112"/>
        <v>Environmental Policy</v>
      </c>
      <c r="C1052" t="str">
        <f t="shared" si="113"/>
        <v>Yes</v>
      </c>
      <c r="D1052" t="str">
        <f t="shared" si="114"/>
        <v>Yes</v>
      </c>
      <c r="E1052" s="1">
        <v>45928</v>
      </c>
      <c r="F1052" s="1">
        <v>46091</v>
      </c>
      <c r="G1052">
        <f t="shared" ca="1" si="115"/>
        <v>8</v>
      </c>
      <c r="H1052" t="str">
        <f t="shared" ca="1" si="116"/>
        <v>Expiring Soon</v>
      </c>
      <c r="I1052">
        <f t="shared" ca="1" si="117"/>
        <v>1</v>
      </c>
      <c r="J1052" t="str">
        <f t="shared" si="118"/>
        <v>Environmental</v>
      </c>
    </row>
    <row r="1053" spans="1:10">
      <c r="A1053" t="str" cm="1">
        <f t="array" ref="A1053">INDEX(Vendor_Master!$A$2:$A$401, ROUNDUP((ROW()-1)/4, 0))</f>
        <v>VND-263</v>
      </c>
      <c r="B1053" t="str">
        <f t="shared" si="112"/>
        <v>Sustainability Disclosure</v>
      </c>
      <c r="C1053" t="str">
        <f t="shared" si="113"/>
        <v>Yes</v>
      </c>
      <c r="D1053" t="str">
        <f t="shared" si="114"/>
        <v>Yes</v>
      </c>
      <c r="E1053" s="1">
        <v>45618</v>
      </c>
      <c r="F1053" s="1">
        <v>46110</v>
      </c>
      <c r="G1053">
        <f t="shared" ca="1" si="115"/>
        <v>27</v>
      </c>
      <c r="H1053" t="str">
        <f t="shared" ca="1" si="116"/>
        <v>Expiring Soon</v>
      </c>
      <c r="I1053">
        <f t="shared" ca="1" si="117"/>
        <v>1</v>
      </c>
      <c r="J1053" t="str">
        <f t="shared" si="118"/>
        <v>Environmental</v>
      </c>
    </row>
    <row r="1054" spans="1:10">
      <c r="A1054" t="str" cm="1">
        <f t="array" ref="A1054">INDEX(Vendor_Master!$A$2:$A$401, ROUNDUP((ROW()-1)/4, 0))</f>
        <v>VND-264</v>
      </c>
      <c r="B1054" t="str">
        <f t="shared" si="112"/>
        <v>ISO 14001</v>
      </c>
      <c r="C1054" t="str">
        <f t="shared" si="113"/>
        <v>Yes</v>
      </c>
      <c r="D1054" t="str">
        <f t="shared" si="114"/>
        <v>Yes</v>
      </c>
      <c r="E1054" s="1">
        <v>45493</v>
      </c>
      <c r="F1054" s="1">
        <v>46099</v>
      </c>
      <c r="G1054">
        <f t="shared" ca="1" si="115"/>
        <v>16</v>
      </c>
      <c r="H1054" t="str">
        <f t="shared" ca="1" si="116"/>
        <v>Expiring Soon</v>
      </c>
      <c r="I1054">
        <f t="shared" ca="1" si="117"/>
        <v>1</v>
      </c>
      <c r="J1054" t="str">
        <f t="shared" si="118"/>
        <v>Environmental</v>
      </c>
    </row>
    <row r="1055" spans="1:10">
      <c r="A1055" t="str" cm="1">
        <f t="array" ref="A1055">INDEX(Vendor_Master!$A$2:$A$401, ROUNDUP((ROW()-1)/4, 0))</f>
        <v>VND-264</v>
      </c>
      <c r="B1055" t="str">
        <f t="shared" si="112"/>
        <v>Safety Certificate</v>
      </c>
      <c r="C1055" t="str">
        <f t="shared" si="113"/>
        <v>Yes</v>
      </c>
      <c r="D1055" t="str">
        <f t="shared" si="114"/>
        <v>Yes</v>
      </c>
      <c r="E1055" s="1">
        <v>46071</v>
      </c>
      <c r="F1055" s="1">
        <v>46105</v>
      </c>
      <c r="G1055">
        <f t="shared" ca="1" si="115"/>
        <v>22</v>
      </c>
      <c r="H1055" t="str">
        <f t="shared" ca="1" si="116"/>
        <v>Expiring Soon</v>
      </c>
      <c r="I1055">
        <f t="shared" ca="1" si="117"/>
        <v>1</v>
      </c>
      <c r="J1055" t="str">
        <f t="shared" si="118"/>
        <v>Safety</v>
      </c>
    </row>
    <row r="1056" spans="1:10">
      <c r="A1056" t="str" cm="1">
        <f t="array" ref="A1056">INDEX(Vendor_Master!$A$2:$A$401, ROUNDUP((ROW()-1)/4, 0))</f>
        <v>VND-264</v>
      </c>
      <c r="B1056" t="str">
        <f t="shared" si="112"/>
        <v>Environmental Policy</v>
      </c>
      <c r="C1056" t="str">
        <f t="shared" si="113"/>
        <v>Yes</v>
      </c>
      <c r="D1056" t="str">
        <f t="shared" si="114"/>
        <v>Yes</v>
      </c>
      <c r="E1056" s="1">
        <v>45596</v>
      </c>
      <c r="F1056" s="1">
        <v>46106</v>
      </c>
      <c r="G1056">
        <f t="shared" ca="1" si="115"/>
        <v>23</v>
      </c>
      <c r="H1056" t="str">
        <f t="shared" ca="1" si="116"/>
        <v>Expiring Soon</v>
      </c>
      <c r="I1056">
        <f t="shared" ca="1" si="117"/>
        <v>1</v>
      </c>
      <c r="J1056" t="str">
        <f t="shared" si="118"/>
        <v>Environmental</v>
      </c>
    </row>
    <row r="1057" spans="1:10">
      <c r="A1057" t="str" cm="1">
        <f t="array" ref="A1057">INDEX(Vendor_Master!$A$2:$A$401, ROUNDUP((ROW()-1)/4, 0))</f>
        <v>VND-264</v>
      </c>
      <c r="B1057" t="str">
        <f t="shared" si="112"/>
        <v>Sustainability Disclosure</v>
      </c>
      <c r="C1057" t="str">
        <f t="shared" si="113"/>
        <v>Yes</v>
      </c>
      <c r="D1057" t="str">
        <f t="shared" si="114"/>
        <v>Yes</v>
      </c>
      <c r="E1057" s="1">
        <v>45471</v>
      </c>
      <c r="F1057" s="1">
        <v>46084</v>
      </c>
      <c r="G1057">
        <f t="shared" ca="1" si="115"/>
        <v>1</v>
      </c>
      <c r="H1057" t="str">
        <f t="shared" ca="1" si="116"/>
        <v>Expiring Soon</v>
      </c>
      <c r="I1057">
        <f t="shared" ca="1" si="117"/>
        <v>1</v>
      </c>
      <c r="J1057" t="str">
        <f t="shared" si="118"/>
        <v>Environmental</v>
      </c>
    </row>
    <row r="1058" spans="1:10">
      <c r="A1058" t="str" cm="1">
        <f t="array" ref="A1058">INDEX(Vendor_Master!$A$2:$A$401, ROUNDUP((ROW()-1)/4, 0))</f>
        <v>VND-265</v>
      </c>
      <c r="B1058" t="str">
        <f t="shared" si="112"/>
        <v>ISO 14001</v>
      </c>
      <c r="C1058" t="str">
        <f t="shared" si="113"/>
        <v>Yes</v>
      </c>
      <c r="D1058" t="str">
        <f t="shared" si="114"/>
        <v>Yes</v>
      </c>
      <c r="E1058" s="1">
        <v>45507</v>
      </c>
      <c r="F1058" s="1">
        <v>46084</v>
      </c>
      <c r="G1058">
        <f t="shared" ca="1" si="115"/>
        <v>1</v>
      </c>
      <c r="H1058" t="str">
        <f t="shared" ca="1" si="116"/>
        <v>Expiring Soon</v>
      </c>
      <c r="I1058">
        <f t="shared" ca="1" si="117"/>
        <v>1</v>
      </c>
      <c r="J1058" t="str">
        <f t="shared" si="118"/>
        <v>Environmental</v>
      </c>
    </row>
    <row r="1059" spans="1:10">
      <c r="A1059" t="str" cm="1">
        <f t="array" ref="A1059">INDEX(Vendor_Master!$A$2:$A$401, ROUNDUP((ROW()-1)/4, 0))</f>
        <v>VND-265</v>
      </c>
      <c r="B1059" t="str">
        <f t="shared" si="112"/>
        <v>Safety Certificate</v>
      </c>
      <c r="C1059" t="str">
        <f t="shared" si="113"/>
        <v>Yes</v>
      </c>
      <c r="D1059" t="str">
        <f t="shared" si="114"/>
        <v>Yes</v>
      </c>
      <c r="E1059" s="1">
        <v>45498</v>
      </c>
      <c r="F1059" s="1">
        <v>46095</v>
      </c>
      <c r="G1059">
        <f t="shared" ca="1" si="115"/>
        <v>12</v>
      </c>
      <c r="H1059" t="str">
        <f t="shared" ca="1" si="116"/>
        <v>Expiring Soon</v>
      </c>
      <c r="I1059">
        <f t="shared" ca="1" si="117"/>
        <v>1</v>
      </c>
      <c r="J1059" t="str">
        <f t="shared" si="118"/>
        <v>Safety</v>
      </c>
    </row>
    <row r="1060" spans="1:10">
      <c r="A1060" t="str" cm="1">
        <f t="array" ref="A1060">INDEX(Vendor_Master!$A$2:$A$401, ROUNDUP((ROW()-1)/4, 0))</f>
        <v>VND-265</v>
      </c>
      <c r="B1060" t="str">
        <f t="shared" si="112"/>
        <v>Environmental Policy</v>
      </c>
      <c r="C1060" t="str">
        <f t="shared" si="113"/>
        <v>Yes</v>
      </c>
      <c r="D1060" t="str">
        <f t="shared" si="114"/>
        <v>Yes</v>
      </c>
      <c r="E1060" s="1">
        <v>45749</v>
      </c>
      <c r="F1060" s="1">
        <v>46089</v>
      </c>
      <c r="G1060">
        <f t="shared" ca="1" si="115"/>
        <v>6</v>
      </c>
      <c r="H1060" t="str">
        <f t="shared" ca="1" si="116"/>
        <v>Expiring Soon</v>
      </c>
      <c r="I1060">
        <f t="shared" ca="1" si="117"/>
        <v>1</v>
      </c>
      <c r="J1060" t="str">
        <f t="shared" si="118"/>
        <v>Environmental</v>
      </c>
    </row>
    <row r="1061" spans="1:10">
      <c r="A1061" t="str" cm="1">
        <f t="array" ref="A1061">INDEX(Vendor_Master!$A$2:$A$401, ROUNDUP((ROW()-1)/4, 0))</f>
        <v>VND-265</v>
      </c>
      <c r="B1061" t="str">
        <f t="shared" si="112"/>
        <v>Sustainability Disclosure</v>
      </c>
      <c r="C1061" t="str">
        <f t="shared" si="113"/>
        <v>Yes</v>
      </c>
      <c r="D1061" t="str">
        <f t="shared" si="114"/>
        <v>Yes</v>
      </c>
      <c r="E1061" s="1">
        <v>45951</v>
      </c>
      <c r="F1061" s="1">
        <v>46083</v>
      </c>
      <c r="G1061">
        <f t="shared" ca="1" si="115"/>
        <v>0</v>
      </c>
      <c r="H1061" t="str">
        <f t="shared" ca="1" si="116"/>
        <v>Expiring Soon</v>
      </c>
      <c r="I1061">
        <f t="shared" ca="1" si="117"/>
        <v>1</v>
      </c>
      <c r="J1061" t="str">
        <f t="shared" si="118"/>
        <v>Environmental</v>
      </c>
    </row>
    <row r="1062" spans="1:10">
      <c r="A1062" t="str" cm="1">
        <f t="array" ref="A1062">INDEX(Vendor_Master!$A$2:$A$401, ROUNDUP((ROW()-1)/4, 0))</f>
        <v>VND-266</v>
      </c>
      <c r="B1062" t="str">
        <f t="shared" si="112"/>
        <v>ISO 14001</v>
      </c>
      <c r="C1062" t="str">
        <f t="shared" si="113"/>
        <v>Yes</v>
      </c>
      <c r="D1062" t="str">
        <f t="shared" si="114"/>
        <v>Yes</v>
      </c>
      <c r="E1062" s="1">
        <v>45560</v>
      </c>
      <c r="F1062" s="1">
        <v>46084</v>
      </c>
      <c r="G1062">
        <f t="shared" ca="1" si="115"/>
        <v>1</v>
      </c>
      <c r="H1062" t="str">
        <f t="shared" ca="1" si="116"/>
        <v>Expiring Soon</v>
      </c>
      <c r="I1062">
        <f t="shared" ca="1" si="117"/>
        <v>1</v>
      </c>
      <c r="J1062" t="str">
        <f t="shared" si="118"/>
        <v>Environmental</v>
      </c>
    </row>
    <row r="1063" spans="1:10">
      <c r="A1063" t="str" cm="1">
        <f t="array" ref="A1063">INDEX(Vendor_Master!$A$2:$A$401, ROUNDUP((ROW()-1)/4, 0))</f>
        <v>VND-266</v>
      </c>
      <c r="B1063" t="str">
        <f t="shared" si="112"/>
        <v>Safety Certificate</v>
      </c>
      <c r="C1063" t="str">
        <f t="shared" si="113"/>
        <v>Yes</v>
      </c>
      <c r="D1063" t="str">
        <f t="shared" si="114"/>
        <v>Yes</v>
      </c>
      <c r="E1063" s="1">
        <v>45747</v>
      </c>
      <c r="F1063" s="1">
        <v>46092</v>
      </c>
      <c r="G1063">
        <f t="shared" ca="1" si="115"/>
        <v>9</v>
      </c>
      <c r="H1063" t="str">
        <f t="shared" ca="1" si="116"/>
        <v>Expiring Soon</v>
      </c>
      <c r="I1063">
        <f t="shared" ca="1" si="117"/>
        <v>1</v>
      </c>
      <c r="J1063" t="str">
        <f t="shared" si="118"/>
        <v>Safety</v>
      </c>
    </row>
    <row r="1064" spans="1:10">
      <c r="A1064" t="str" cm="1">
        <f t="array" ref="A1064">INDEX(Vendor_Master!$A$2:$A$401, ROUNDUP((ROW()-1)/4, 0))</f>
        <v>VND-266</v>
      </c>
      <c r="B1064" t="str">
        <f t="shared" si="112"/>
        <v>Environmental Policy</v>
      </c>
      <c r="C1064" t="str">
        <f t="shared" si="113"/>
        <v>Yes</v>
      </c>
      <c r="D1064" t="str">
        <f t="shared" si="114"/>
        <v>Yes</v>
      </c>
      <c r="E1064" s="1">
        <v>45729</v>
      </c>
      <c r="F1064" s="1">
        <v>46100</v>
      </c>
      <c r="G1064">
        <f t="shared" ca="1" si="115"/>
        <v>17</v>
      </c>
      <c r="H1064" t="str">
        <f t="shared" ca="1" si="116"/>
        <v>Expiring Soon</v>
      </c>
      <c r="I1064">
        <f t="shared" ca="1" si="117"/>
        <v>1</v>
      </c>
      <c r="J1064" t="str">
        <f t="shared" si="118"/>
        <v>Environmental</v>
      </c>
    </row>
    <row r="1065" spans="1:10">
      <c r="A1065" t="str" cm="1">
        <f t="array" ref="A1065">INDEX(Vendor_Master!$A$2:$A$401, ROUNDUP((ROW()-1)/4, 0))</f>
        <v>VND-266</v>
      </c>
      <c r="B1065" t="str">
        <f t="shared" si="112"/>
        <v>Sustainability Disclosure</v>
      </c>
      <c r="C1065" t="str">
        <f t="shared" si="113"/>
        <v>Yes</v>
      </c>
      <c r="D1065" t="str">
        <f t="shared" si="114"/>
        <v>Yes</v>
      </c>
      <c r="E1065" s="1">
        <v>45874</v>
      </c>
      <c r="F1065" s="1">
        <v>46097</v>
      </c>
      <c r="G1065">
        <f t="shared" ca="1" si="115"/>
        <v>14</v>
      </c>
      <c r="H1065" t="str">
        <f t="shared" ca="1" si="116"/>
        <v>Expiring Soon</v>
      </c>
      <c r="I1065">
        <f t="shared" ca="1" si="117"/>
        <v>1</v>
      </c>
      <c r="J1065" t="str">
        <f t="shared" si="118"/>
        <v>Environmental</v>
      </c>
    </row>
    <row r="1066" spans="1:10">
      <c r="A1066" t="str" cm="1">
        <f t="array" ref="A1066">INDEX(Vendor_Master!$A$2:$A$401, ROUNDUP((ROW()-1)/4, 0))</f>
        <v>VND-267</v>
      </c>
      <c r="B1066" t="str">
        <f t="shared" si="112"/>
        <v>ISO 14001</v>
      </c>
      <c r="C1066" t="str">
        <f t="shared" si="113"/>
        <v>Yes</v>
      </c>
      <c r="D1066" t="str">
        <f t="shared" si="114"/>
        <v>Yes</v>
      </c>
      <c r="E1066" s="1">
        <v>45465</v>
      </c>
      <c r="F1066" s="1">
        <v>46104</v>
      </c>
      <c r="G1066">
        <f t="shared" ca="1" si="115"/>
        <v>21</v>
      </c>
      <c r="H1066" t="str">
        <f t="shared" ca="1" si="116"/>
        <v>Expiring Soon</v>
      </c>
      <c r="I1066">
        <f t="shared" ca="1" si="117"/>
        <v>1</v>
      </c>
      <c r="J1066" t="str">
        <f t="shared" si="118"/>
        <v>Environmental</v>
      </c>
    </row>
    <row r="1067" spans="1:10">
      <c r="A1067" t="str" cm="1">
        <f t="array" ref="A1067">INDEX(Vendor_Master!$A$2:$A$401, ROUNDUP((ROW()-1)/4, 0))</f>
        <v>VND-267</v>
      </c>
      <c r="B1067" t="str">
        <f t="shared" si="112"/>
        <v>Safety Certificate</v>
      </c>
      <c r="C1067" t="str">
        <f t="shared" si="113"/>
        <v>Yes</v>
      </c>
      <c r="D1067" t="str">
        <f t="shared" si="114"/>
        <v>Yes</v>
      </c>
      <c r="E1067" s="1">
        <v>45532</v>
      </c>
      <c r="F1067" s="1">
        <v>46107</v>
      </c>
      <c r="G1067">
        <f t="shared" ca="1" si="115"/>
        <v>24</v>
      </c>
      <c r="H1067" t="str">
        <f t="shared" ca="1" si="116"/>
        <v>Expiring Soon</v>
      </c>
      <c r="I1067">
        <f t="shared" ca="1" si="117"/>
        <v>1</v>
      </c>
      <c r="J1067" t="str">
        <f t="shared" si="118"/>
        <v>Safety</v>
      </c>
    </row>
    <row r="1068" spans="1:10">
      <c r="A1068" t="str" cm="1">
        <f t="array" ref="A1068">INDEX(Vendor_Master!$A$2:$A$401, ROUNDUP((ROW()-1)/4, 0))</f>
        <v>VND-267</v>
      </c>
      <c r="B1068" t="str">
        <f t="shared" si="112"/>
        <v>Environmental Policy</v>
      </c>
      <c r="C1068" t="str">
        <f t="shared" si="113"/>
        <v>Yes</v>
      </c>
      <c r="D1068" t="str">
        <f t="shared" si="114"/>
        <v>Yes</v>
      </c>
      <c r="E1068" s="1">
        <v>46022</v>
      </c>
      <c r="F1068" s="1">
        <v>46090</v>
      </c>
      <c r="G1068">
        <f t="shared" ca="1" si="115"/>
        <v>7</v>
      </c>
      <c r="H1068" t="str">
        <f t="shared" ca="1" si="116"/>
        <v>Expiring Soon</v>
      </c>
      <c r="I1068">
        <f t="shared" ca="1" si="117"/>
        <v>1</v>
      </c>
      <c r="J1068" t="str">
        <f t="shared" si="118"/>
        <v>Environmental</v>
      </c>
    </row>
    <row r="1069" spans="1:10">
      <c r="A1069" t="str" cm="1">
        <f t="array" ref="A1069">INDEX(Vendor_Master!$A$2:$A$401, ROUNDUP((ROW()-1)/4, 0))</f>
        <v>VND-267</v>
      </c>
      <c r="B1069" t="str">
        <f t="shared" si="112"/>
        <v>Sustainability Disclosure</v>
      </c>
      <c r="C1069" t="str">
        <f t="shared" si="113"/>
        <v>Yes</v>
      </c>
      <c r="D1069" t="str">
        <f t="shared" si="114"/>
        <v>Yes</v>
      </c>
      <c r="E1069" s="1">
        <v>45868</v>
      </c>
      <c r="F1069" s="1">
        <v>46108</v>
      </c>
      <c r="G1069">
        <f t="shared" ca="1" si="115"/>
        <v>25</v>
      </c>
      <c r="H1069" t="str">
        <f t="shared" ca="1" si="116"/>
        <v>Expiring Soon</v>
      </c>
      <c r="I1069">
        <f t="shared" ca="1" si="117"/>
        <v>1</v>
      </c>
      <c r="J1069" t="str">
        <f t="shared" si="118"/>
        <v>Environmental</v>
      </c>
    </row>
    <row r="1070" spans="1:10">
      <c r="A1070" t="str" cm="1">
        <f t="array" ref="A1070">INDEX(Vendor_Master!$A$2:$A$401, ROUNDUP((ROW()-1)/4, 0))</f>
        <v>VND-268</v>
      </c>
      <c r="B1070" t="str">
        <f t="shared" si="112"/>
        <v>ISO 14001</v>
      </c>
      <c r="C1070" t="str">
        <f t="shared" si="113"/>
        <v>Yes</v>
      </c>
      <c r="D1070" t="str">
        <f t="shared" si="114"/>
        <v>Yes</v>
      </c>
      <c r="E1070" s="1">
        <v>45973</v>
      </c>
      <c r="F1070" s="1">
        <v>46107</v>
      </c>
      <c r="G1070">
        <f t="shared" ca="1" si="115"/>
        <v>24</v>
      </c>
      <c r="H1070" t="str">
        <f t="shared" ca="1" si="116"/>
        <v>Expiring Soon</v>
      </c>
      <c r="I1070">
        <f t="shared" ca="1" si="117"/>
        <v>1</v>
      </c>
      <c r="J1070" t="str">
        <f t="shared" si="118"/>
        <v>Environmental</v>
      </c>
    </row>
    <row r="1071" spans="1:10">
      <c r="A1071" t="str" cm="1">
        <f t="array" ref="A1071">INDEX(Vendor_Master!$A$2:$A$401, ROUNDUP((ROW()-1)/4, 0))</f>
        <v>VND-268</v>
      </c>
      <c r="B1071" t="str">
        <f t="shared" si="112"/>
        <v>Safety Certificate</v>
      </c>
      <c r="C1071" t="str">
        <f t="shared" si="113"/>
        <v>Yes</v>
      </c>
      <c r="D1071" t="str">
        <f t="shared" si="114"/>
        <v>Yes</v>
      </c>
      <c r="E1071" s="1">
        <v>45471</v>
      </c>
      <c r="F1071" s="1">
        <v>46103</v>
      </c>
      <c r="G1071">
        <f t="shared" ca="1" si="115"/>
        <v>20</v>
      </c>
      <c r="H1071" t="str">
        <f t="shared" ca="1" si="116"/>
        <v>Expiring Soon</v>
      </c>
      <c r="I1071">
        <f t="shared" ca="1" si="117"/>
        <v>1</v>
      </c>
      <c r="J1071" t="str">
        <f t="shared" si="118"/>
        <v>Safety</v>
      </c>
    </row>
    <row r="1072" spans="1:10">
      <c r="A1072" t="str" cm="1">
        <f t="array" ref="A1072">INDEX(Vendor_Master!$A$2:$A$401, ROUNDUP((ROW()-1)/4, 0))</f>
        <v>VND-268</v>
      </c>
      <c r="B1072" t="str">
        <f t="shared" si="112"/>
        <v>Environmental Policy</v>
      </c>
      <c r="C1072" t="str">
        <f t="shared" si="113"/>
        <v>Yes</v>
      </c>
      <c r="D1072" t="str">
        <f t="shared" si="114"/>
        <v>Yes</v>
      </c>
      <c r="E1072" s="1">
        <v>46047</v>
      </c>
      <c r="F1072" s="1">
        <v>46082</v>
      </c>
      <c r="G1072">
        <f t="shared" ca="1" si="115"/>
        <v>-1</v>
      </c>
      <c r="H1072" t="str">
        <f t="shared" ca="1" si="116"/>
        <v>Expired</v>
      </c>
      <c r="I1072">
        <f t="shared" ca="1" si="117"/>
        <v>1</v>
      </c>
      <c r="J1072" t="str">
        <f t="shared" si="118"/>
        <v>Environmental</v>
      </c>
    </row>
    <row r="1073" spans="1:10">
      <c r="A1073" t="str" cm="1">
        <f t="array" ref="A1073">INDEX(Vendor_Master!$A$2:$A$401, ROUNDUP((ROW()-1)/4, 0))</f>
        <v>VND-268</v>
      </c>
      <c r="B1073" t="str">
        <f t="shared" si="112"/>
        <v>Sustainability Disclosure</v>
      </c>
      <c r="C1073" t="str">
        <f t="shared" si="113"/>
        <v>Yes</v>
      </c>
      <c r="D1073" t="str">
        <f t="shared" si="114"/>
        <v>Yes</v>
      </c>
      <c r="E1073" s="1">
        <v>45470</v>
      </c>
      <c r="F1073" s="1">
        <v>46086</v>
      </c>
      <c r="G1073">
        <f t="shared" ca="1" si="115"/>
        <v>3</v>
      </c>
      <c r="H1073" t="str">
        <f t="shared" ca="1" si="116"/>
        <v>Expiring Soon</v>
      </c>
      <c r="I1073">
        <f t="shared" ca="1" si="117"/>
        <v>1</v>
      </c>
      <c r="J1073" t="str">
        <f t="shared" si="118"/>
        <v>Environmental</v>
      </c>
    </row>
    <row r="1074" spans="1:10">
      <c r="A1074" t="str" cm="1">
        <f t="array" ref="A1074">INDEX(Vendor_Master!$A$2:$A$401, ROUNDUP((ROW()-1)/4, 0))</f>
        <v>VND-269</v>
      </c>
      <c r="B1074" t="str">
        <f t="shared" si="112"/>
        <v>ISO 14001</v>
      </c>
      <c r="C1074" t="str">
        <f t="shared" si="113"/>
        <v>Yes</v>
      </c>
      <c r="D1074" t="str">
        <f t="shared" si="114"/>
        <v>Yes</v>
      </c>
      <c r="E1074" s="1">
        <v>45673</v>
      </c>
      <c r="F1074" s="1">
        <v>46111</v>
      </c>
      <c r="G1074">
        <f t="shared" ca="1" si="115"/>
        <v>28</v>
      </c>
      <c r="H1074" t="str">
        <f t="shared" ca="1" si="116"/>
        <v>Expiring Soon</v>
      </c>
      <c r="I1074">
        <f t="shared" ca="1" si="117"/>
        <v>1</v>
      </c>
      <c r="J1074" t="str">
        <f t="shared" si="118"/>
        <v>Environmental</v>
      </c>
    </row>
    <row r="1075" spans="1:10">
      <c r="A1075" t="str" cm="1">
        <f t="array" ref="A1075">INDEX(Vendor_Master!$A$2:$A$401, ROUNDUP((ROW()-1)/4, 0))</f>
        <v>VND-269</v>
      </c>
      <c r="B1075" t="str">
        <f t="shared" si="112"/>
        <v>Safety Certificate</v>
      </c>
      <c r="C1075" t="str">
        <f t="shared" si="113"/>
        <v>Yes</v>
      </c>
      <c r="D1075" t="str">
        <f t="shared" si="114"/>
        <v>Yes</v>
      </c>
      <c r="E1075" s="1">
        <v>45410</v>
      </c>
      <c r="F1075" s="1">
        <v>46092</v>
      </c>
      <c r="G1075">
        <f t="shared" ca="1" si="115"/>
        <v>9</v>
      </c>
      <c r="H1075" t="str">
        <f t="shared" ca="1" si="116"/>
        <v>Expiring Soon</v>
      </c>
      <c r="I1075">
        <f t="shared" ca="1" si="117"/>
        <v>1</v>
      </c>
      <c r="J1075" t="str">
        <f t="shared" si="118"/>
        <v>Safety</v>
      </c>
    </row>
    <row r="1076" spans="1:10">
      <c r="A1076" t="str" cm="1">
        <f t="array" ref="A1076">INDEX(Vendor_Master!$A$2:$A$401, ROUNDUP((ROW()-1)/4, 0))</f>
        <v>VND-269</v>
      </c>
      <c r="B1076" t="str">
        <f t="shared" si="112"/>
        <v>Environmental Policy</v>
      </c>
      <c r="C1076" t="str">
        <f t="shared" si="113"/>
        <v>Yes</v>
      </c>
      <c r="D1076" t="str">
        <f t="shared" si="114"/>
        <v>Yes</v>
      </c>
      <c r="E1076" s="1">
        <v>45640</v>
      </c>
      <c r="F1076" s="1">
        <v>46089</v>
      </c>
      <c r="G1076">
        <f t="shared" ca="1" si="115"/>
        <v>6</v>
      </c>
      <c r="H1076" t="str">
        <f t="shared" ca="1" si="116"/>
        <v>Expiring Soon</v>
      </c>
      <c r="I1076">
        <f t="shared" ca="1" si="117"/>
        <v>1</v>
      </c>
      <c r="J1076" t="str">
        <f t="shared" si="118"/>
        <v>Environmental</v>
      </c>
    </row>
    <row r="1077" spans="1:10">
      <c r="A1077" t="str" cm="1">
        <f t="array" ref="A1077">INDEX(Vendor_Master!$A$2:$A$401, ROUNDUP((ROW()-1)/4, 0))</f>
        <v>VND-269</v>
      </c>
      <c r="B1077" t="str">
        <f t="shared" si="112"/>
        <v>Sustainability Disclosure</v>
      </c>
      <c r="C1077" t="str">
        <f t="shared" si="113"/>
        <v>Yes</v>
      </c>
      <c r="D1077" t="str">
        <f t="shared" si="114"/>
        <v>Yes</v>
      </c>
      <c r="E1077" s="1">
        <v>46018</v>
      </c>
      <c r="F1077" s="1">
        <v>46098</v>
      </c>
      <c r="G1077">
        <f t="shared" ca="1" si="115"/>
        <v>15</v>
      </c>
      <c r="H1077" t="str">
        <f t="shared" ca="1" si="116"/>
        <v>Expiring Soon</v>
      </c>
      <c r="I1077">
        <f t="shared" ca="1" si="117"/>
        <v>1</v>
      </c>
      <c r="J1077" t="str">
        <f t="shared" si="118"/>
        <v>Environmental</v>
      </c>
    </row>
    <row r="1078" spans="1:10">
      <c r="A1078" t="str" cm="1">
        <f t="array" ref="A1078">INDEX(Vendor_Master!$A$2:$A$401, ROUNDUP((ROW()-1)/4, 0))</f>
        <v>VND-270</v>
      </c>
      <c r="B1078" t="str">
        <f t="shared" si="112"/>
        <v>ISO 14001</v>
      </c>
      <c r="C1078" t="str">
        <f t="shared" si="113"/>
        <v>Yes</v>
      </c>
      <c r="D1078" t="str">
        <f t="shared" si="114"/>
        <v>Yes</v>
      </c>
      <c r="E1078" s="1">
        <v>46014</v>
      </c>
      <c r="F1078" s="1">
        <v>46087</v>
      </c>
      <c r="G1078">
        <f t="shared" ca="1" si="115"/>
        <v>4</v>
      </c>
      <c r="H1078" t="str">
        <f t="shared" ca="1" si="116"/>
        <v>Expiring Soon</v>
      </c>
      <c r="I1078">
        <f t="shared" ca="1" si="117"/>
        <v>1</v>
      </c>
      <c r="J1078" t="str">
        <f t="shared" si="118"/>
        <v>Environmental</v>
      </c>
    </row>
    <row r="1079" spans="1:10">
      <c r="A1079" t="str" cm="1">
        <f t="array" ref="A1079">INDEX(Vendor_Master!$A$2:$A$401, ROUNDUP((ROW()-1)/4, 0))</f>
        <v>VND-270</v>
      </c>
      <c r="B1079" t="str">
        <f t="shared" si="112"/>
        <v>Safety Certificate</v>
      </c>
      <c r="C1079" t="str">
        <f t="shared" si="113"/>
        <v>Yes</v>
      </c>
      <c r="D1079" t="str">
        <f t="shared" si="114"/>
        <v>Yes</v>
      </c>
      <c r="E1079" s="1">
        <v>45631</v>
      </c>
      <c r="F1079" s="1">
        <v>46103</v>
      </c>
      <c r="G1079">
        <f t="shared" ca="1" si="115"/>
        <v>20</v>
      </c>
      <c r="H1079" t="str">
        <f t="shared" ca="1" si="116"/>
        <v>Expiring Soon</v>
      </c>
      <c r="I1079">
        <f t="shared" ca="1" si="117"/>
        <v>1</v>
      </c>
      <c r="J1079" t="str">
        <f t="shared" si="118"/>
        <v>Safety</v>
      </c>
    </row>
    <row r="1080" spans="1:10">
      <c r="A1080" t="str" cm="1">
        <f t="array" ref="A1080">INDEX(Vendor_Master!$A$2:$A$401, ROUNDUP((ROW()-1)/4, 0))</f>
        <v>VND-270</v>
      </c>
      <c r="B1080" t="str">
        <f t="shared" si="112"/>
        <v>Environmental Policy</v>
      </c>
      <c r="C1080" t="str">
        <f t="shared" si="113"/>
        <v>Yes</v>
      </c>
      <c r="D1080" t="str">
        <f t="shared" si="114"/>
        <v>Yes</v>
      </c>
      <c r="E1080" s="1">
        <v>45599</v>
      </c>
      <c r="F1080" s="1">
        <v>46106</v>
      </c>
      <c r="G1080">
        <f t="shared" ca="1" si="115"/>
        <v>23</v>
      </c>
      <c r="H1080" t="str">
        <f t="shared" ca="1" si="116"/>
        <v>Expiring Soon</v>
      </c>
      <c r="I1080">
        <f t="shared" ca="1" si="117"/>
        <v>1</v>
      </c>
      <c r="J1080" t="str">
        <f t="shared" si="118"/>
        <v>Environmental</v>
      </c>
    </row>
    <row r="1081" spans="1:10">
      <c r="A1081" t="str" cm="1">
        <f t="array" ref="A1081">INDEX(Vendor_Master!$A$2:$A$401, ROUNDUP((ROW()-1)/4, 0))</f>
        <v>VND-270</v>
      </c>
      <c r="B1081" t="str">
        <f t="shared" si="112"/>
        <v>Sustainability Disclosure</v>
      </c>
      <c r="C1081" t="str">
        <f t="shared" si="113"/>
        <v>Yes</v>
      </c>
      <c r="D1081" t="str">
        <f t="shared" si="114"/>
        <v>Yes</v>
      </c>
      <c r="E1081" s="1">
        <v>45815</v>
      </c>
      <c r="F1081" s="1">
        <v>46103</v>
      </c>
      <c r="G1081">
        <f t="shared" ca="1" si="115"/>
        <v>20</v>
      </c>
      <c r="H1081" t="str">
        <f t="shared" ca="1" si="116"/>
        <v>Expiring Soon</v>
      </c>
      <c r="I1081">
        <f t="shared" ca="1" si="117"/>
        <v>1</v>
      </c>
      <c r="J1081" t="str">
        <f t="shared" si="118"/>
        <v>Environmental</v>
      </c>
    </row>
    <row r="1082" spans="1:10">
      <c r="A1082" t="str" cm="1">
        <f t="array" ref="A1082">INDEX(Vendor_Master!$A$2:$A$401, ROUNDUP((ROW()-1)/4, 0))</f>
        <v>VND-271</v>
      </c>
      <c r="B1082" t="str">
        <f t="shared" si="112"/>
        <v>ISO 14001</v>
      </c>
      <c r="C1082" t="str">
        <f t="shared" si="113"/>
        <v>Yes</v>
      </c>
      <c r="D1082" t="str">
        <f t="shared" si="114"/>
        <v>Yes</v>
      </c>
      <c r="E1082" s="1">
        <v>46010</v>
      </c>
      <c r="F1082" s="1">
        <v>46104</v>
      </c>
      <c r="G1082">
        <f t="shared" ca="1" si="115"/>
        <v>21</v>
      </c>
      <c r="H1082" t="str">
        <f t="shared" ca="1" si="116"/>
        <v>Expiring Soon</v>
      </c>
      <c r="I1082">
        <f t="shared" ca="1" si="117"/>
        <v>1</v>
      </c>
      <c r="J1082" t="str">
        <f t="shared" si="118"/>
        <v>Environmental</v>
      </c>
    </row>
    <row r="1083" spans="1:10">
      <c r="A1083" t="str" cm="1">
        <f t="array" ref="A1083">INDEX(Vendor_Master!$A$2:$A$401, ROUNDUP((ROW()-1)/4, 0))</f>
        <v>VND-271</v>
      </c>
      <c r="B1083" t="str">
        <f t="shared" si="112"/>
        <v>Safety Certificate</v>
      </c>
      <c r="C1083" t="str">
        <f t="shared" si="113"/>
        <v>Yes</v>
      </c>
      <c r="D1083" t="str">
        <f t="shared" si="114"/>
        <v>Yes</v>
      </c>
      <c r="E1083" s="1">
        <v>45581</v>
      </c>
      <c r="F1083" s="1">
        <v>46096</v>
      </c>
      <c r="G1083">
        <f t="shared" ca="1" si="115"/>
        <v>13</v>
      </c>
      <c r="H1083" t="str">
        <f t="shared" ca="1" si="116"/>
        <v>Expiring Soon</v>
      </c>
      <c r="I1083">
        <f t="shared" ca="1" si="117"/>
        <v>1</v>
      </c>
      <c r="J1083" t="str">
        <f t="shared" si="118"/>
        <v>Safety</v>
      </c>
    </row>
    <row r="1084" spans="1:10">
      <c r="A1084" t="str" cm="1">
        <f t="array" ref="A1084">INDEX(Vendor_Master!$A$2:$A$401, ROUNDUP((ROW()-1)/4, 0))</f>
        <v>VND-271</v>
      </c>
      <c r="B1084" t="str">
        <f t="shared" si="112"/>
        <v>Environmental Policy</v>
      </c>
      <c r="C1084" t="str">
        <f t="shared" si="113"/>
        <v>Yes</v>
      </c>
      <c r="D1084" t="str">
        <f t="shared" si="114"/>
        <v>Yes</v>
      </c>
      <c r="E1084" s="1">
        <v>45653</v>
      </c>
      <c r="F1084" s="1">
        <v>46098</v>
      </c>
      <c r="G1084">
        <f t="shared" ca="1" si="115"/>
        <v>15</v>
      </c>
      <c r="H1084" t="str">
        <f t="shared" ca="1" si="116"/>
        <v>Expiring Soon</v>
      </c>
      <c r="I1084">
        <f t="shared" ca="1" si="117"/>
        <v>1</v>
      </c>
      <c r="J1084" t="str">
        <f t="shared" si="118"/>
        <v>Environmental</v>
      </c>
    </row>
    <row r="1085" spans="1:10">
      <c r="A1085" t="str" cm="1">
        <f t="array" ref="A1085">INDEX(Vendor_Master!$A$2:$A$401, ROUNDUP((ROW()-1)/4, 0))</f>
        <v>VND-271</v>
      </c>
      <c r="B1085" t="str">
        <f t="shared" si="112"/>
        <v>Sustainability Disclosure</v>
      </c>
      <c r="C1085" t="str">
        <f t="shared" si="113"/>
        <v>Yes</v>
      </c>
      <c r="D1085" t="str">
        <f t="shared" si="114"/>
        <v>Yes</v>
      </c>
      <c r="E1085" s="1">
        <v>45800</v>
      </c>
      <c r="F1085" s="1">
        <v>46089</v>
      </c>
      <c r="G1085">
        <f t="shared" ca="1" si="115"/>
        <v>6</v>
      </c>
      <c r="H1085" t="str">
        <f t="shared" ca="1" si="116"/>
        <v>Expiring Soon</v>
      </c>
      <c r="I1085">
        <f t="shared" ca="1" si="117"/>
        <v>1</v>
      </c>
      <c r="J1085" t="str">
        <f t="shared" si="118"/>
        <v>Environmental</v>
      </c>
    </row>
    <row r="1086" spans="1:10">
      <c r="A1086" t="str" cm="1">
        <f t="array" ref="A1086">INDEX(Vendor_Master!$A$2:$A$401, ROUNDUP((ROW()-1)/4, 0))</f>
        <v>VND-272</v>
      </c>
      <c r="B1086" t="str">
        <f t="shared" si="112"/>
        <v>ISO 14001</v>
      </c>
      <c r="C1086" t="str">
        <f t="shared" si="113"/>
        <v>Yes</v>
      </c>
      <c r="D1086" t="str">
        <f t="shared" si="114"/>
        <v>Yes</v>
      </c>
      <c r="E1086" s="1">
        <v>45905</v>
      </c>
      <c r="F1086" s="1">
        <v>46110</v>
      </c>
      <c r="G1086">
        <f t="shared" ca="1" si="115"/>
        <v>27</v>
      </c>
      <c r="H1086" t="str">
        <f t="shared" ca="1" si="116"/>
        <v>Expiring Soon</v>
      </c>
      <c r="I1086">
        <f t="shared" ca="1" si="117"/>
        <v>1</v>
      </c>
      <c r="J1086" t="str">
        <f t="shared" si="118"/>
        <v>Environmental</v>
      </c>
    </row>
    <row r="1087" spans="1:10">
      <c r="A1087" t="str" cm="1">
        <f t="array" ref="A1087">INDEX(Vendor_Master!$A$2:$A$401, ROUNDUP((ROW()-1)/4, 0))</f>
        <v>VND-272</v>
      </c>
      <c r="B1087" t="str">
        <f t="shared" si="112"/>
        <v>Safety Certificate</v>
      </c>
      <c r="C1087" t="str">
        <f t="shared" si="113"/>
        <v>Yes</v>
      </c>
      <c r="D1087" t="str">
        <f t="shared" si="114"/>
        <v>Yes</v>
      </c>
      <c r="E1087" s="1">
        <v>45781</v>
      </c>
      <c r="F1087" s="1">
        <v>46092</v>
      </c>
      <c r="G1087">
        <f t="shared" ca="1" si="115"/>
        <v>9</v>
      </c>
      <c r="H1087" t="str">
        <f t="shared" ca="1" si="116"/>
        <v>Expiring Soon</v>
      </c>
      <c r="I1087">
        <f t="shared" ca="1" si="117"/>
        <v>1</v>
      </c>
      <c r="J1087" t="str">
        <f t="shared" si="118"/>
        <v>Safety</v>
      </c>
    </row>
    <row r="1088" spans="1:10">
      <c r="A1088" t="str" cm="1">
        <f t="array" ref="A1088">INDEX(Vendor_Master!$A$2:$A$401, ROUNDUP((ROW()-1)/4, 0))</f>
        <v>VND-272</v>
      </c>
      <c r="B1088" t="str">
        <f t="shared" si="112"/>
        <v>Environmental Policy</v>
      </c>
      <c r="C1088" t="str">
        <f t="shared" si="113"/>
        <v>Yes</v>
      </c>
      <c r="D1088" t="str">
        <f t="shared" si="114"/>
        <v>Yes</v>
      </c>
      <c r="E1088" s="1">
        <v>45853</v>
      </c>
      <c r="F1088" s="1">
        <v>46087</v>
      </c>
      <c r="G1088">
        <f t="shared" ca="1" si="115"/>
        <v>4</v>
      </c>
      <c r="H1088" t="str">
        <f t="shared" ca="1" si="116"/>
        <v>Expiring Soon</v>
      </c>
      <c r="I1088">
        <f t="shared" ca="1" si="117"/>
        <v>1</v>
      </c>
      <c r="J1088" t="str">
        <f t="shared" si="118"/>
        <v>Environmental</v>
      </c>
    </row>
    <row r="1089" spans="1:10">
      <c r="A1089" t="str" cm="1">
        <f t="array" ref="A1089">INDEX(Vendor_Master!$A$2:$A$401, ROUNDUP((ROW()-1)/4, 0))</f>
        <v>VND-272</v>
      </c>
      <c r="B1089" t="str">
        <f t="shared" si="112"/>
        <v>Sustainability Disclosure</v>
      </c>
      <c r="C1089" t="str">
        <f t="shared" si="113"/>
        <v>Yes</v>
      </c>
      <c r="D1089" t="str">
        <f t="shared" si="114"/>
        <v>Yes</v>
      </c>
      <c r="E1089" s="1">
        <v>45709</v>
      </c>
      <c r="F1089" s="1">
        <v>46087</v>
      </c>
      <c r="G1089">
        <f t="shared" ca="1" si="115"/>
        <v>4</v>
      </c>
      <c r="H1089" t="str">
        <f t="shared" ca="1" si="116"/>
        <v>Expiring Soon</v>
      </c>
      <c r="I1089">
        <f t="shared" ca="1" si="117"/>
        <v>1</v>
      </c>
      <c r="J1089" t="str">
        <f t="shared" si="118"/>
        <v>Environmental</v>
      </c>
    </row>
    <row r="1090" spans="1:10">
      <c r="A1090" t="str" cm="1">
        <f t="array" ref="A1090">INDEX(Vendor_Master!$A$2:$A$401, ROUNDUP((ROW()-1)/4, 0))</f>
        <v>VND-273</v>
      </c>
      <c r="B1090" t="str">
        <f t="shared" ref="B1090:B1153" si="119">CHOOSE(MOD(ROW()-2,4)+1,"ISO 14001","Safety Certificate","Environmental Policy","Sustainability Disclosure")</f>
        <v>ISO 14001</v>
      </c>
      <c r="C1090" t="str">
        <f t="shared" ref="C1090:C1153" si="120">"Yes"</f>
        <v>Yes</v>
      </c>
      <c r="D1090" t="str">
        <f t="shared" ref="D1090:D1153" si="121">IF(ROW()-1&lt;=1280,"Yes","No")</f>
        <v>Yes</v>
      </c>
      <c r="E1090" s="1">
        <v>45657</v>
      </c>
      <c r="F1090" s="1">
        <v>46101</v>
      </c>
      <c r="G1090">
        <f t="shared" ref="G1090:G1153" ca="1" si="122">IF($F1090="","",$F1090-TODAY())</f>
        <v>18</v>
      </c>
      <c r="H1090" t="str">
        <f t="shared" ref="H1090:H1153" ca="1" si="123">IF($C1090="No","Not Required",
IF($D1090="No","Missing",
IF($F1090&lt;TODAY(),"Expired",
IF($F1090&lt;=TODAY()+30,"Expiring Soon","Active"))))</f>
        <v>Expiring Soon</v>
      </c>
      <c r="I1090">
        <f t="shared" ref="I1090:I1153" ca="1" si="124">IF(OR($H1090="Missing",$H1090="Expired",$H1090="Expiring Soon"),1,0)</f>
        <v>1</v>
      </c>
      <c r="J1090" t="str">
        <f t="shared" si="118"/>
        <v>Environmental</v>
      </c>
    </row>
    <row r="1091" spans="1:10">
      <c r="A1091" t="str" cm="1">
        <f t="array" ref="A1091">INDEX(Vendor_Master!$A$2:$A$401, ROUNDUP((ROW()-1)/4, 0))</f>
        <v>VND-273</v>
      </c>
      <c r="B1091" t="str">
        <f t="shared" si="119"/>
        <v>Safety Certificate</v>
      </c>
      <c r="C1091" t="str">
        <f t="shared" si="120"/>
        <v>Yes</v>
      </c>
      <c r="D1091" t="str">
        <f t="shared" si="121"/>
        <v>Yes</v>
      </c>
      <c r="E1091" s="1">
        <v>45688</v>
      </c>
      <c r="F1091" s="1">
        <v>46087</v>
      </c>
      <c r="G1091">
        <f t="shared" ca="1" si="122"/>
        <v>4</v>
      </c>
      <c r="H1091" t="str">
        <f t="shared" ca="1" si="123"/>
        <v>Expiring Soon</v>
      </c>
      <c r="I1091">
        <f t="shared" ca="1" si="124"/>
        <v>1</v>
      </c>
      <c r="J1091" t="str">
        <f t="shared" ref="J1091:J1154" si="125">IF(B1091="ISO 14001","Environmental",
 IF(B1091="Environmental Policy","Environmental",
 IF(B1091="Sustainability Disclosure","Environmental",
 IF(B1091="Safety Certificate","Safety","Regulatory"))))</f>
        <v>Safety</v>
      </c>
    </row>
    <row r="1092" spans="1:10">
      <c r="A1092" t="str" cm="1">
        <f t="array" ref="A1092">INDEX(Vendor_Master!$A$2:$A$401, ROUNDUP((ROW()-1)/4, 0))</f>
        <v>VND-273</v>
      </c>
      <c r="B1092" t="str">
        <f t="shared" si="119"/>
        <v>Environmental Policy</v>
      </c>
      <c r="C1092" t="str">
        <f t="shared" si="120"/>
        <v>Yes</v>
      </c>
      <c r="D1092" t="str">
        <f t="shared" si="121"/>
        <v>Yes</v>
      </c>
      <c r="E1092" s="1">
        <v>46018</v>
      </c>
      <c r="F1092" s="1">
        <v>46099</v>
      </c>
      <c r="G1092">
        <f t="shared" ca="1" si="122"/>
        <v>16</v>
      </c>
      <c r="H1092" t="str">
        <f t="shared" ca="1" si="123"/>
        <v>Expiring Soon</v>
      </c>
      <c r="I1092">
        <f t="shared" ca="1" si="124"/>
        <v>1</v>
      </c>
      <c r="J1092" t="str">
        <f t="shared" si="125"/>
        <v>Environmental</v>
      </c>
    </row>
    <row r="1093" spans="1:10">
      <c r="A1093" t="str" cm="1">
        <f t="array" ref="A1093">INDEX(Vendor_Master!$A$2:$A$401, ROUNDUP((ROW()-1)/4, 0))</f>
        <v>VND-273</v>
      </c>
      <c r="B1093" t="str">
        <f t="shared" si="119"/>
        <v>Sustainability Disclosure</v>
      </c>
      <c r="C1093" t="str">
        <f t="shared" si="120"/>
        <v>Yes</v>
      </c>
      <c r="D1093" t="str">
        <f t="shared" si="121"/>
        <v>Yes</v>
      </c>
      <c r="E1093" s="1">
        <v>45657</v>
      </c>
      <c r="F1093" s="1">
        <v>46095</v>
      </c>
      <c r="G1093">
        <f t="shared" ca="1" si="122"/>
        <v>12</v>
      </c>
      <c r="H1093" t="str">
        <f t="shared" ca="1" si="123"/>
        <v>Expiring Soon</v>
      </c>
      <c r="I1093">
        <f t="shared" ca="1" si="124"/>
        <v>1</v>
      </c>
      <c r="J1093" t="str">
        <f t="shared" si="125"/>
        <v>Environmental</v>
      </c>
    </row>
    <row r="1094" spans="1:10">
      <c r="A1094" t="str" cm="1">
        <f t="array" ref="A1094">INDEX(Vendor_Master!$A$2:$A$401, ROUNDUP((ROW()-1)/4, 0))</f>
        <v>VND-274</v>
      </c>
      <c r="B1094" t="str">
        <f t="shared" si="119"/>
        <v>ISO 14001</v>
      </c>
      <c r="C1094" t="str">
        <f t="shared" si="120"/>
        <v>Yes</v>
      </c>
      <c r="D1094" t="str">
        <f t="shared" si="121"/>
        <v>Yes</v>
      </c>
      <c r="E1094" s="1">
        <v>45737</v>
      </c>
      <c r="F1094" s="1">
        <v>46088</v>
      </c>
      <c r="G1094">
        <f t="shared" ca="1" si="122"/>
        <v>5</v>
      </c>
      <c r="H1094" t="str">
        <f t="shared" ca="1" si="123"/>
        <v>Expiring Soon</v>
      </c>
      <c r="I1094">
        <f t="shared" ca="1" si="124"/>
        <v>1</v>
      </c>
      <c r="J1094" t="str">
        <f t="shared" si="125"/>
        <v>Environmental</v>
      </c>
    </row>
    <row r="1095" spans="1:10">
      <c r="A1095" t="str" cm="1">
        <f t="array" ref="A1095">INDEX(Vendor_Master!$A$2:$A$401, ROUNDUP((ROW()-1)/4, 0))</f>
        <v>VND-274</v>
      </c>
      <c r="B1095" t="str">
        <f t="shared" si="119"/>
        <v>Safety Certificate</v>
      </c>
      <c r="C1095" t="str">
        <f t="shared" si="120"/>
        <v>Yes</v>
      </c>
      <c r="D1095" t="str">
        <f t="shared" si="121"/>
        <v>Yes</v>
      </c>
      <c r="E1095" s="1">
        <v>45667</v>
      </c>
      <c r="F1095" s="1">
        <v>46083</v>
      </c>
      <c r="G1095">
        <f t="shared" ca="1" si="122"/>
        <v>0</v>
      </c>
      <c r="H1095" t="str">
        <f t="shared" ca="1" si="123"/>
        <v>Expiring Soon</v>
      </c>
      <c r="I1095">
        <f t="shared" ca="1" si="124"/>
        <v>1</v>
      </c>
      <c r="J1095" t="str">
        <f t="shared" si="125"/>
        <v>Safety</v>
      </c>
    </row>
    <row r="1096" spans="1:10">
      <c r="A1096" t="str" cm="1">
        <f t="array" ref="A1096">INDEX(Vendor_Master!$A$2:$A$401, ROUNDUP((ROW()-1)/4, 0))</f>
        <v>VND-274</v>
      </c>
      <c r="B1096" t="str">
        <f t="shared" si="119"/>
        <v>Environmental Policy</v>
      </c>
      <c r="C1096" t="str">
        <f t="shared" si="120"/>
        <v>Yes</v>
      </c>
      <c r="D1096" t="str">
        <f t="shared" si="121"/>
        <v>Yes</v>
      </c>
      <c r="E1096" s="1">
        <v>45759</v>
      </c>
      <c r="F1096" s="1">
        <v>46101</v>
      </c>
      <c r="G1096">
        <f t="shared" ca="1" si="122"/>
        <v>18</v>
      </c>
      <c r="H1096" t="str">
        <f t="shared" ca="1" si="123"/>
        <v>Expiring Soon</v>
      </c>
      <c r="I1096">
        <f t="shared" ca="1" si="124"/>
        <v>1</v>
      </c>
      <c r="J1096" t="str">
        <f t="shared" si="125"/>
        <v>Environmental</v>
      </c>
    </row>
    <row r="1097" spans="1:10">
      <c r="A1097" t="str" cm="1">
        <f t="array" ref="A1097">INDEX(Vendor_Master!$A$2:$A$401, ROUNDUP((ROW()-1)/4, 0))</f>
        <v>VND-274</v>
      </c>
      <c r="B1097" t="str">
        <f t="shared" si="119"/>
        <v>Sustainability Disclosure</v>
      </c>
      <c r="C1097" t="str">
        <f t="shared" si="120"/>
        <v>Yes</v>
      </c>
      <c r="D1097" t="str">
        <f t="shared" si="121"/>
        <v>Yes</v>
      </c>
      <c r="E1097" s="1">
        <v>45926</v>
      </c>
      <c r="F1097" s="1">
        <v>46087</v>
      </c>
      <c r="G1097">
        <f t="shared" ca="1" si="122"/>
        <v>4</v>
      </c>
      <c r="H1097" t="str">
        <f t="shared" ca="1" si="123"/>
        <v>Expiring Soon</v>
      </c>
      <c r="I1097">
        <f t="shared" ca="1" si="124"/>
        <v>1</v>
      </c>
      <c r="J1097" t="str">
        <f t="shared" si="125"/>
        <v>Environmental</v>
      </c>
    </row>
    <row r="1098" spans="1:10">
      <c r="A1098" t="str" cm="1">
        <f t="array" ref="A1098">INDEX(Vendor_Master!$A$2:$A$401, ROUNDUP((ROW()-1)/4, 0))</f>
        <v>VND-275</v>
      </c>
      <c r="B1098" t="str">
        <f t="shared" si="119"/>
        <v>ISO 14001</v>
      </c>
      <c r="C1098" t="str">
        <f t="shared" si="120"/>
        <v>Yes</v>
      </c>
      <c r="D1098" t="str">
        <f t="shared" si="121"/>
        <v>Yes</v>
      </c>
      <c r="E1098" s="1">
        <v>45711</v>
      </c>
      <c r="F1098" s="1">
        <v>46084</v>
      </c>
      <c r="G1098">
        <f t="shared" ca="1" si="122"/>
        <v>1</v>
      </c>
      <c r="H1098" t="str">
        <f t="shared" ca="1" si="123"/>
        <v>Expiring Soon</v>
      </c>
      <c r="I1098">
        <f t="shared" ca="1" si="124"/>
        <v>1</v>
      </c>
      <c r="J1098" t="str">
        <f t="shared" si="125"/>
        <v>Environmental</v>
      </c>
    </row>
    <row r="1099" spans="1:10">
      <c r="A1099" t="str" cm="1">
        <f t="array" ref="A1099">INDEX(Vendor_Master!$A$2:$A$401, ROUNDUP((ROW()-1)/4, 0))</f>
        <v>VND-275</v>
      </c>
      <c r="B1099" t="str">
        <f t="shared" si="119"/>
        <v>Safety Certificate</v>
      </c>
      <c r="C1099" t="str">
        <f t="shared" si="120"/>
        <v>Yes</v>
      </c>
      <c r="D1099" t="str">
        <f t="shared" si="121"/>
        <v>Yes</v>
      </c>
      <c r="E1099" s="1">
        <v>45919</v>
      </c>
      <c r="F1099" s="1">
        <v>46089</v>
      </c>
      <c r="G1099">
        <f t="shared" ca="1" si="122"/>
        <v>6</v>
      </c>
      <c r="H1099" t="str">
        <f t="shared" ca="1" si="123"/>
        <v>Expiring Soon</v>
      </c>
      <c r="I1099">
        <f t="shared" ca="1" si="124"/>
        <v>1</v>
      </c>
      <c r="J1099" t="str">
        <f t="shared" si="125"/>
        <v>Safety</v>
      </c>
    </row>
    <row r="1100" spans="1:10">
      <c r="A1100" t="str" cm="1">
        <f t="array" ref="A1100">INDEX(Vendor_Master!$A$2:$A$401, ROUNDUP((ROW()-1)/4, 0))</f>
        <v>VND-275</v>
      </c>
      <c r="B1100" t="str">
        <f t="shared" si="119"/>
        <v>Environmental Policy</v>
      </c>
      <c r="C1100" t="str">
        <f t="shared" si="120"/>
        <v>Yes</v>
      </c>
      <c r="D1100" t="str">
        <f t="shared" si="121"/>
        <v>Yes</v>
      </c>
      <c r="E1100" s="1">
        <v>46038</v>
      </c>
      <c r="F1100" s="1">
        <v>46092</v>
      </c>
      <c r="G1100">
        <f t="shared" ca="1" si="122"/>
        <v>9</v>
      </c>
      <c r="H1100" t="str">
        <f t="shared" ca="1" si="123"/>
        <v>Expiring Soon</v>
      </c>
      <c r="I1100">
        <f t="shared" ca="1" si="124"/>
        <v>1</v>
      </c>
      <c r="J1100" t="str">
        <f t="shared" si="125"/>
        <v>Environmental</v>
      </c>
    </row>
    <row r="1101" spans="1:10">
      <c r="A1101" t="str" cm="1">
        <f t="array" ref="A1101">INDEX(Vendor_Master!$A$2:$A$401, ROUNDUP((ROW()-1)/4, 0))</f>
        <v>VND-275</v>
      </c>
      <c r="B1101" t="str">
        <f t="shared" si="119"/>
        <v>Sustainability Disclosure</v>
      </c>
      <c r="C1101" t="str">
        <f t="shared" si="120"/>
        <v>Yes</v>
      </c>
      <c r="D1101" t="str">
        <f t="shared" si="121"/>
        <v>Yes</v>
      </c>
      <c r="E1101" s="1">
        <v>45834</v>
      </c>
      <c r="F1101" s="1">
        <v>46101</v>
      </c>
      <c r="G1101">
        <f t="shared" ca="1" si="122"/>
        <v>18</v>
      </c>
      <c r="H1101" t="str">
        <f t="shared" ca="1" si="123"/>
        <v>Expiring Soon</v>
      </c>
      <c r="I1101">
        <f t="shared" ca="1" si="124"/>
        <v>1</v>
      </c>
      <c r="J1101" t="str">
        <f t="shared" si="125"/>
        <v>Environmental</v>
      </c>
    </row>
    <row r="1102" spans="1:10">
      <c r="A1102" t="str" cm="1">
        <f t="array" ref="A1102">INDEX(Vendor_Master!$A$2:$A$401, ROUNDUP((ROW()-1)/4, 0))</f>
        <v>VND-276</v>
      </c>
      <c r="B1102" t="str">
        <f t="shared" si="119"/>
        <v>ISO 14001</v>
      </c>
      <c r="C1102" t="str">
        <f t="shared" si="120"/>
        <v>Yes</v>
      </c>
      <c r="D1102" t="str">
        <f t="shared" si="121"/>
        <v>Yes</v>
      </c>
      <c r="E1102" s="1">
        <v>45908</v>
      </c>
      <c r="F1102" s="1">
        <v>46107</v>
      </c>
      <c r="G1102">
        <f t="shared" ca="1" si="122"/>
        <v>24</v>
      </c>
      <c r="H1102" t="str">
        <f t="shared" ca="1" si="123"/>
        <v>Expiring Soon</v>
      </c>
      <c r="I1102">
        <f t="shared" ca="1" si="124"/>
        <v>1</v>
      </c>
      <c r="J1102" t="str">
        <f t="shared" si="125"/>
        <v>Environmental</v>
      </c>
    </row>
    <row r="1103" spans="1:10">
      <c r="A1103" t="str" cm="1">
        <f t="array" ref="A1103">INDEX(Vendor_Master!$A$2:$A$401, ROUNDUP((ROW()-1)/4, 0))</f>
        <v>VND-276</v>
      </c>
      <c r="B1103" t="str">
        <f t="shared" si="119"/>
        <v>Safety Certificate</v>
      </c>
      <c r="C1103" t="str">
        <f t="shared" si="120"/>
        <v>Yes</v>
      </c>
      <c r="D1103" t="str">
        <f t="shared" si="121"/>
        <v>Yes</v>
      </c>
      <c r="E1103" s="1">
        <v>45611</v>
      </c>
      <c r="F1103" s="1">
        <v>46082</v>
      </c>
      <c r="G1103">
        <f t="shared" ca="1" si="122"/>
        <v>-1</v>
      </c>
      <c r="H1103" t="str">
        <f t="shared" ca="1" si="123"/>
        <v>Expired</v>
      </c>
      <c r="I1103">
        <f t="shared" ca="1" si="124"/>
        <v>1</v>
      </c>
      <c r="J1103" t="str">
        <f t="shared" si="125"/>
        <v>Safety</v>
      </c>
    </row>
    <row r="1104" spans="1:10">
      <c r="A1104" t="str" cm="1">
        <f t="array" ref="A1104">INDEX(Vendor_Master!$A$2:$A$401, ROUNDUP((ROW()-1)/4, 0))</f>
        <v>VND-276</v>
      </c>
      <c r="B1104" t="str">
        <f t="shared" si="119"/>
        <v>Environmental Policy</v>
      </c>
      <c r="C1104" t="str">
        <f t="shared" si="120"/>
        <v>Yes</v>
      </c>
      <c r="D1104" t="str">
        <f t="shared" si="121"/>
        <v>Yes</v>
      </c>
      <c r="E1104" s="1">
        <v>45630</v>
      </c>
      <c r="F1104" s="1">
        <v>46097</v>
      </c>
      <c r="G1104">
        <f t="shared" ca="1" si="122"/>
        <v>14</v>
      </c>
      <c r="H1104" t="str">
        <f t="shared" ca="1" si="123"/>
        <v>Expiring Soon</v>
      </c>
      <c r="I1104">
        <f t="shared" ca="1" si="124"/>
        <v>1</v>
      </c>
      <c r="J1104" t="str">
        <f t="shared" si="125"/>
        <v>Environmental</v>
      </c>
    </row>
    <row r="1105" spans="1:10">
      <c r="A1105" t="str" cm="1">
        <f t="array" ref="A1105">INDEX(Vendor_Master!$A$2:$A$401, ROUNDUP((ROW()-1)/4, 0))</f>
        <v>VND-276</v>
      </c>
      <c r="B1105" t="str">
        <f t="shared" si="119"/>
        <v>Sustainability Disclosure</v>
      </c>
      <c r="C1105" t="str">
        <f t="shared" si="120"/>
        <v>Yes</v>
      </c>
      <c r="D1105" t="str">
        <f t="shared" si="121"/>
        <v>Yes</v>
      </c>
      <c r="E1105" s="1">
        <v>45549</v>
      </c>
      <c r="F1105" s="1">
        <v>46107</v>
      </c>
      <c r="G1105">
        <f t="shared" ca="1" si="122"/>
        <v>24</v>
      </c>
      <c r="H1105" t="str">
        <f t="shared" ca="1" si="123"/>
        <v>Expiring Soon</v>
      </c>
      <c r="I1105">
        <f t="shared" ca="1" si="124"/>
        <v>1</v>
      </c>
      <c r="J1105" t="str">
        <f t="shared" si="125"/>
        <v>Environmental</v>
      </c>
    </row>
    <row r="1106" spans="1:10">
      <c r="A1106" t="str" cm="1">
        <f t="array" ref="A1106">INDEX(Vendor_Master!$A$2:$A$401, ROUNDUP((ROW()-1)/4, 0))</f>
        <v>VND-277</v>
      </c>
      <c r="B1106" t="str">
        <f t="shared" si="119"/>
        <v>ISO 14001</v>
      </c>
      <c r="C1106" t="str">
        <f t="shared" si="120"/>
        <v>Yes</v>
      </c>
      <c r="D1106" t="str">
        <f t="shared" si="121"/>
        <v>Yes</v>
      </c>
      <c r="E1106" s="1">
        <v>45975</v>
      </c>
      <c r="F1106" s="1">
        <v>46096</v>
      </c>
      <c r="G1106">
        <f t="shared" ca="1" si="122"/>
        <v>13</v>
      </c>
      <c r="H1106" t="str">
        <f t="shared" ca="1" si="123"/>
        <v>Expiring Soon</v>
      </c>
      <c r="I1106">
        <f t="shared" ca="1" si="124"/>
        <v>1</v>
      </c>
      <c r="J1106" t="str">
        <f t="shared" si="125"/>
        <v>Environmental</v>
      </c>
    </row>
    <row r="1107" spans="1:10">
      <c r="A1107" t="str" cm="1">
        <f t="array" ref="A1107">INDEX(Vendor_Master!$A$2:$A$401, ROUNDUP((ROW()-1)/4, 0))</f>
        <v>VND-277</v>
      </c>
      <c r="B1107" t="str">
        <f t="shared" si="119"/>
        <v>Safety Certificate</v>
      </c>
      <c r="C1107" t="str">
        <f t="shared" si="120"/>
        <v>Yes</v>
      </c>
      <c r="D1107" t="str">
        <f t="shared" si="121"/>
        <v>Yes</v>
      </c>
      <c r="E1107" s="1">
        <v>45851</v>
      </c>
      <c r="F1107" s="1">
        <v>46087</v>
      </c>
      <c r="G1107">
        <f t="shared" ca="1" si="122"/>
        <v>4</v>
      </c>
      <c r="H1107" t="str">
        <f t="shared" ca="1" si="123"/>
        <v>Expiring Soon</v>
      </c>
      <c r="I1107">
        <f t="shared" ca="1" si="124"/>
        <v>1</v>
      </c>
      <c r="J1107" t="str">
        <f t="shared" si="125"/>
        <v>Safety</v>
      </c>
    </row>
    <row r="1108" spans="1:10">
      <c r="A1108" t="str" cm="1">
        <f t="array" ref="A1108">INDEX(Vendor_Master!$A$2:$A$401, ROUNDUP((ROW()-1)/4, 0))</f>
        <v>VND-277</v>
      </c>
      <c r="B1108" t="str">
        <f t="shared" si="119"/>
        <v>Environmental Policy</v>
      </c>
      <c r="C1108" t="str">
        <f t="shared" si="120"/>
        <v>Yes</v>
      </c>
      <c r="D1108" t="str">
        <f t="shared" si="121"/>
        <v>Yes</v>
      </c>
      <c r="E1108" s="1">
        <v>45409</v>
      </c>
      <c r="F1108" s="1">
        <v>46087</v>
      </c>
      <c r="G1108">
        <f t="shared" ca="1" si="122"/>
        <v>4</v>
      </c>
      <c r="H1108" t="str">
        <f t="shared" ca="1" si="123"/>
        <v>Expiring Soon</v>
      </c>
      <c r="I1108">
        <f t="shared" ca="1" si="124"/>
        <v>1</v>
      </c>
      <c r="J1108" t="str">
        <f t="shared" si="125"/>
        <v>Environmental</v>
      </c>
    </row>
    <row r="1109" spans="1:10">
      <c r="A1109" t="str" cm="1">
        <f t="array" ref="A1109">INDEX(Vendor_Master!$A$2:$A$401, ROUNDUP((ROW()-1)/4, 0))</f>
        <v>VND-277</v>
      </c>
      <c r="B1109" t="str">
        <f t="shared" si="119"/>
        <v>Sustainability Disclosure</v>
      </c>
      <c r="C1109" t="str">
        <f t="shared" si="120"/>
        <v>Yes</v>
      </c>
      <c r="D1109" t="str">
        <f t="shared" si="121"/>
        <v>Yes</v>
      </c>
      <c r="E1109" s="1">
        <v>45400</v>
      </c>
      <c r="F1109" s="1">
        <v>46085</v>
      </c>
      <c r="G1109">
        <f t="shared" ca="1" si="122"/>
        <v>2</v>
      </c>
      <c r="H1109" t="str">
        <f t="shared" ca="1" si="123"/>
        <v>Expiring Soon</v>
      </c>
      <c r="I1109">
        <f t="shared" ca="1" si="124"/>
        <v>1</v>
      </c>
      <c r="J1109" t="str">
        <f t="shared" si="125"/>
        <v>Environmental</v>
      </c>
    </row>
    <row r="1110" spans="1:10">
      <c r="A1110" t="str" cm="1">
        <f t="array" ref="A1110">INDEX(Vendor_Master!$A$2:$A$401, ROUNDUP((ROW()-1)/4, 0))</f>
        <v>VND-278</v>
      </c>
      <c r="B1110" t="str">
        <f t="shared" si="119"/>
        <v>ISO 14001</v>
      </c>
      <c r="C1110" t="str">
        <f t="shared" si="120"/>
        <v>Yes</v>
      </c>
      <c r="D1110" t="str">
        <f t="shared" si="121"/>
        <v>Yes</v>
      </c>
      <c r="E1110" s="1">
        <v>45747</v>
      </c>
      <c r="F1110" s="1">
        <v>46090</v>
      </c>
      <c r="G1110">
        <f t="shared" ca="1" si="122"/>
        <v>7</v>
      </c>
      <c r="H1110" t="str">
        <f t="shared" ca="1" si="123"/>
        <v>Expiring Soon</v>
      </c>
      <c r="I1110">
        <f t="shared" ca="1" si="124"/>
        <v>1</v>
      </c>
      <c r="J1110" t="str">
        <f t="shared" si="125"/>
        <v>Environmental</v>
      </c>
    </row>
    <row r="1111" spans="1:10">
      <c r="A1111" t="str" cm="1">
        <f t="array" ref="A1111">INDEX(Vendor_Master!$A$2:$A$401, ROUNDUP((ROW()-1)/4, 0))</f>
        <v>VND-278</v>
      </c>
      <c r="B1111" t="str">
        <f t="shared" si="119"/>
        <v>Safety Certificate</v>
      </c>
      <c r="C1111" t="str">
        <f t="shared" si="120"/>
        <v>Yes</v>
      </c>
      <c r="D1111" t="str">
        <f t="shared" si="121"/>
        <v>Yes</v>
      </c>
      <c r="E1111" s="1">
        <v>45441</v>
      </c>
      <c r="F1111" s="1">
        <v>46103</v>
      </c>
      <c r="G1111">
        <f t="shared" ca="1" si="122"/>
        <v>20</v>
      </c>
      <c r="H1111" t="str">
        <f t="shared" ca="1" si="123"/>
        <v>Expiring Soon</v>
      </c>
      <c r="I1111">
        <f t="shared" ca="1" si="124"/>
        <v>1</v>
      </c>
      <c r="J1111" t="str">
        <f t="shared" si="125"/>
        <v>Safety</v>
      </c>
    </row>
    <row r="1112" spans="1:10">
      <c r="A1112" t="str" cm="1">
        <f t="array" ref="A1112">INDEX(Vendor_Master!$A$2:$A$401, ROUNDUP((ROW()-1)/4, 0))</f>
        <v>VND-278</v>
      </c>
      <c r="B1112" t="str">
        <f t="shared" si="119"/>
        <v>Environmental Policy</v>
      </c>
      <c r="C1112" t="str">
        <f t="shared" si="120"/>
        <v>Yes</v>
      </c>
      <c r="D1112" t="str">
        <f t="shared" si="121"/>
        <v>Yes</v>
      </c>
      <c r="E1112" s="1">
        <v>45922</v>
      </c>
      <c r="F1112" s="1">
        <v>46102</v>
      </c>
      <c r="G1112">
        <f t="shared" ca="1" si="122"/>
        <v>19</v>
      </c>
      <c r="H1112" t="str">
        <f t="shared" ca="1" si="123"/>
        <v>Expiring Soon</v>
      </c>
      <c r="I1112">
        <f t="shared" ca="1" si="124"/>
        <v>1</v>
      </c>
      <c r="J1112" t="str">
        <f t="shared" si="125"/>
        <v>Environmental</v>
      </c>
    </row>
    <row r="1113" spans="1:10">
      <c r="A1113" t="str" cm="1">
        <f t="array" ref="A1113">INDEX(Vendor_Master!$A$2:$A$401, ROUNDUP((ROW()-1)/4, 0))</f>
        <v>VND-278</v>
      </c>
      <c r="B1113" t="str">
        <f t="shared" si="119"/>
        <v>Sustainability Disclosure</v>
      </c>
      <c r="C1113" t="str">
        <f t="shared" si="120"/>
        <v>Yes</v>
      </c>
      <c r="D1113" t="str">
        <f t="shared" si="121"/>
        <v>Yes</v>
      </c>
      <c r="E1113" s="1">
        <v>45523</v>
      </c>
      <c r="F1113" s="1">
        <v>46098</v>
      </c>
      <c r="G1113">
        <f t="shared" ca="1" si="122"/>
        <v>15</v>
      </c>
      <c r="H1113" t="str">
        <f t="shared" ca="1" si="123"/>
        <v>Expiring Soon</v>
      </c>
      <c r="I1113">
        <f t="shared" ca="1" si="124"/>
        <v>1</v>
      </c>
      <c r="J1113" t="str">
        <f t="shared" si="125"/>
        <v>Environmental</v>
      </c>
    </row>
    <row r="1114" spans="1:10">
      <c r="A1114" t="str" cm="1">
        <f t="array" ref="A1114">INDEX(Vendor_Master!$A$2:$A$401, ROUNDUP((ROW()-1)/4, 0))</f>
        <v>VND-279</v>
      </c>
      <c r="B1114" t="str">
        <f t="shared" si="119"/>
        <v>ISO 14001</v>
      </c>
      <c r="C1114" t="str">
        <f t="shared" si="120"/>
        <v>Yes</v>
      </c>
      <c r="D1114" t="str">
        <f t="shared" si="121"/>
        <v>Yes</v>
      </c>
      <c r="E1114" s="1">
        <v>45871</v>
      </c>
      <c r="F1114" s="1">
        <v>46090</v>
      </c>
      <c r="G1114">
        <f t="shared" ca="1" si="122"/>
        <v>7</v>
      </c>
      <c r="H1114" t="str">
        <f t="shared" ca="1" si="123"/>
        <v>Expiring Soon</v>
      </c>
      <c r="I1114">
        <f t="shared" ca="1" si="124"/>
        <v>1</v>
      </c>
      <c r="J1114" t="str">
        <f t="shared" si="125"/>
        <v>Environmental</v>
      </c>
    </row>
    <row r="1115" spans="1:10">
      <c r="A1115" t="str" cm="1">
        <f t="array" ref="A1115">INDEX(Vendor_Master!$A$2:$A$401, ROUNDUP((ROW()-1)/4, 0))</f>
        <v>VND-279</v>
      </c>
      <c r="B1115" t="str">
        <f t="shared" si="119"/>
        <v>Safety Certificate</v>
      </c>
      <c r="C1115" t="str">
        <f t="shared" si="120"/>
        <v>Yes</v>
      </c>
      <c r="D1115" t="str">
        <f t="shared" si="121"/>
        <v>Yes</v>
      </c>
      <c r="E1115" s="1">
        <v>46026</v>
      </c>
      <c r="F1115" s="1">
        <v>46103</v>
      </c>
      <c r="G1115">
        <f t="shared" ca="1" si="122"/>
        <v>20</v>
      </c>
      <c r="H1115" t="str">
        <f t="shared" ca="1" si="123"/>
        <v>Expiring Soon</v>
      </c>
      <c r="I1115">
        <f t="shared" ca="1" si="124"/>
        <v>1</v>
      </c>
      <c r="J1115" t="str">
        <f t="shared" si="125"/>
        <v>Safety</v>
      </c>
    </row>
    <row r="1116" spans="1:10">
      <c r="A1116" t="str" cm="1">
        <f t="array" ref="A1116">INDEX(Vendor_Master!$A$2:$A$401, ROUNDUP((ROW()-1)/4, 0))</f>
        <v>VND-279</v>
      </c>
      <c r="B1116" t="str">
        <f t="shared" si="119"/>
        <v>Environmental Policy</v>
      </c>
      <c r="C1116" t="str">
        <f t="shared" si="120"/>
        <v>Yes</v>
      </c>
      <c r="D1116" t="str">
        <f t="shared" si="121"/>
        <v>Yes</v>
      </c>
      <c r="E1116" s="1">
        <v>45623</v>
      </c>
      <c r="F1116" s="1">
        <v>46099</v>
      </c>
      <c r="G1116">
        <f t="shared" ca="1" si="122"/>
        <v>16</v>
      </c>
      <c r="H1116" t="str">
        <f t="shared" ca="1" si="123"/>
        <v>Expiring Soon</v>
      </c>
      <c r="I1116">
        <f t="shared" ca="1" si="124"/>
        <v>1</v>
      </c>
      <c r="J1116" t="str">
        <f t="shared" si="125"/>
        <v>Environmental</v>
      </c>
    </row>
    <row r="1117" spans="1:10">
      <c r="A1117" t="str" cm="1">
        <f t="array" ref="A1117">INDEX(Vendor_Master!$A$2:$A$401, ROUNDUP((ROW()-1)/4, 0))</f>
        <v>VND-279</v>
      </c>
      <c r="B1117" t="str">
        <f t="shared" si="119"/>
        <v>Sustainability Disclosure</v>
      </c>
      <c r="C1117" t="str">
        <f t="shared" si="120"/>
        <v>Yes</v>
      </c>
      <c r="D1117" t="str">
        <f t="shared" si="121"/>
        <v>Yes</v>
      </c>
      <c r="E1117" s="1">
        <v>45663</v>
      </c>
      <c r="F1117" s="1">
        <v>46085</v>
      </c>
      <c r="G1117">
        <f t="shared" ca="1" si="122"/>
        <v>2</v>
      </c>
      <c r="H1117" t="str">
        <f t="shared" ca="1" si="123"/>
        <v>Expiring Soon</v>
      </c>
      <c r="I1117">
        <f t="shared" ca="1" si="124"/>
        <v>1</v>
      </c>
      <c r="J1117" t="str">
        <f t="shared" si="125"/>
        <v>Environmental</v>
      </c>
    </row>
    <row r="1118" spans="1:10">
      <c r="A1118" t="str" cm="1">
        <f t="array" ref="A1118">INDEX(Vendor_Master!$A$2:$A$401, ROUNDUP((ROW()-1)/4, 0))</f>
        <v>VND-280</v>
      </c>
      <c r="B1118" t="str">
        <f t="shared" si="119"/>
        <v>ISO 14001</v>
      </c>
      <c r="C1118" t="str">
        <f t="shared" si="120"/>
        <v>Yes</v>
      </c>
      <c r="D1118" t="str">
        <f t="shared" si="121"/>
        <v>Yes</v>
      </c>
      <c r="E1118" s="1">
        <v>45432</v>
      </c>
      <c r="F1118" s="1">
        <v>46105</v>
      </c>
      <c r="G1118">
        <f t="shared" ca="1" si="122"/>
        <v>22</v>
      </c>
      <c r="H1118" t="str">
        <f t="shared" ca="1" si="123"/>
        <v>Expiring Soon</v>
      </c>
      <c r="I1118">
        <f t="shared" ca="1" si="124"/>
        <v>1</v>
      </c>
      <c r="J1118" t="str">
        <f t="shared" si="125"/>
        <v>Environmental</v>
      </c>
    </row>
    <row r="1119" spans="1:10">
      <c r="A1119" t="str" cm="1">
        <f t="array" ref="A1119">INDEX(Vendor_Master!$A$2:$A$401, ROUNDUP((ROW()-1)/4, 0))</f>
        <v>VND-280</v>
      </c>
      <c r="B1119" t="str">
        <f t="shared" si="119"/>
        <v>Safety Certificate</v>
      </c>
      <c r="C1119" t="str">
        <f t="shared" si="120"/>
        <v>Yes</v>
      </c>
      <c r="D1119" t="str">
        <f t="shared" si="121"/>
        <v>Yes</v>
      </c>
      <c r="E1119" s="1">
        <v>45986</v>
      </c>
      <c r="F1119" s="1">
        <v>46098</v>
      </c>
      <c r="G1119">
        <f t="shared" ca="1" si="122"/>
        <v>15</v>
      </c>
      <c r="H1119" t="str">
        <f t="shared" ca="1" si="123"/>
        <v>Expiring Soon</v>
      </c>
      <c r="I1119">
        <f t="shared" ca="1" si="124"/>
        <v>1</v>
      </c>
      <c r="J1119" t="str">
        <f t="shared" si="125"/>
        <v>Safety</v>
      </c>
    </row>
    <row r="1120" spans="1:10">
      <c r="A1120" t="str" cm="1">
        <f t="array" ref="A1120">INDEX(Vendor_Master!$A$2:$A$401, ROUNDUP((ROW()-1)/4, 0))</f>
        <v>VND-280</v>
      </c>
      <c r="B1120" t="str">
        <f t="shared" si="119"/>
        <v>Environmental Policy</v>
      </c>
      <c r="C1120" t="str">
        <f t="shared" si="120"/>
        <v>Yes</v>
      </c>
      <c r="D1120" t="str">
        <f t="shared" si="121"/>
        <v>Yes</v>
      </c>
      <c r="E1120" s="1">
        <v>45433</v>
      </c>
      <c r="F1120" s="1">
        <v>46094</v>
      </c>
      <c r="G1120">
        <f t="shared" ca="1" si="122"/>
        <v>11</v>
      </c>
      <c r="H1120" t="str">
        <f t="shared" ca="1" si="123"/>
        <v>Expiring Soon</v>
      </c>
      <c r="I1120">
        <f t="shared" ca="1" si="124"/>
        <v>1</v>
      </c>
      <c r="J1120" t="str">
        <f t="shared" si="125"/>
        <v>Environmental</v>
      </c>
    </row>
    <row r="1121" spans="1:10">
      <c r="A1121" t="str" cm="1">
        <f t="array" ref="A1121">INDEX(Vendor_Master!$A$2:$A$401, ROUNDUP((ROW()-1)/4, 0))</f>
        <v>VND-280</v>
      </c>
      <c r="B1121" t="str">
        <f t="shared" si="119"/>
        <v>Sustainability Disclosure</v>
      </c>
      <c r="C1121" t="str">
        <f t="shared" si="120"/>
        <v>Yes</v>
      </c>
      <c r="D1121" t="str">
        <f t="shared" si="121"/>
        <v>Yes</v>
      </c>
      <c r="E1121" s="1">
        <v>45963</v>
      </c>
      <c r="F1121" s="1">
        <v>46105</v>
      </c>
      <c r="G1121">
        <f t="shared" ca="1" si="122"/>
        <v>22</v>
      </c>
      <c r="H1121" t="str">
        <f t="shared" ca="1" si="123"/>
        <v>Expiring Soon</v>
      </c>
      <c r="I1121">
        <f t="shared" ca="1" si="124"/>
        <v>1</v>
      </c>
      <c r="J1121" t="str">
        <f t="shared" si="125"/>
        <v>Environmental</v>
      </c>
    </row>
    <row r="1122" spans="1:10">
      <c r="A1122" t="str" cm="1">
        <f t="array" ref="A1122">INDEX(Vendor_Master!$A$2:$A$401, ROUNDUP((ROW()-1)/4, 0))</f>
        <v>VND-281</v>
      </c>
      <c r="B1122" t="str">
        <f t="shared" si="119"/>
        <v>ISO 14001</v>
      </c>
      <c r="C1122" t="str">
        <f t="shared" si="120"/>
        <v>Yes</v>
      </c>
      <c r="D1122" t="str">
        <f t="shared" si="121"/>
        <v>Yes</v>
      </c>
      <c r="E1122" s="1">
        <v>46061</v>
      </c>
      <c r="F1122" s="1">
        <v>46092</v>
      </c>
      <c r="G1122">
        <f t="shared" ca="1" si="122"/>
        <v>9</v>
      </c>
      <c r="H1122" t="str">
        <f t="shared" ca="1" si="123"/>
        <v>Expiring Soon</v>
      </c>
      <c r="I1122">
        <f t="shared" ca="1" si="124"/>
        <v>1</v>
      </c>
      <c r="J1122" t="str">
        <f t="shared" si="125"/>
        <v>Environmental</v>
      </c>
    </row>
    <row r="1123" spans="1:10">
      <c r="A1123" t="str" cm="1">
        <f t="array" ref="A1123">INDEX(Vendor_Master!$A$2:$A$401, ROUNDUP((ROW()-1)/4, 0))</f>
        <v>VND-281</v>
      </c>
      <c r="B1123" t="str">
        <f t="shared" si="119"/>
        <v>Safety Certificate</v>
      </c>
      <c r="C1123" t="str">
        <f t="shared" si="120"/>
        <v>Yes</v>
      </c>
      <c r="D1123" t="str">
        <f t="shared" si="121"/>
        <v>Yes</v>
      </c>
      <c r="E1123" s="1">
        <v>46001</v>
      </c>
      <c r="F1123" s="1">
        <v>46088</v>
      </c>
      <c r="G1123">
        <f t="shared" ca="1" si="122"/>
        <v>5</v>
      </c>
      <c r="H1123" t="str">
        <f t="shared" ca="1" si="123"/>
        <v>Expiring Soon</v>
      </c>
      <c r="I1123">
        <f t="shared" ca="1" si="124"/>
        <v>1</v>
      </c>
      <c r="J1123" t="str">
        <f t="shared" si="125"/>
        <v>Safety</v>
      </c>
    </row>
    <row r="1124" spans="1:10">
      <c r="A1124" t="str" cm="1">
        <f t="array" ref="A1124">INDEX(Vendor_Master!$A$2:$A$401, ROUNDUP((ROW()-1)/4, 0))</f>
        <v>VND-281</v>
      </c>
      <c r="B1124" t="str">
        <f t="shared" si="119"/>
        <v>Environmental Policy</v>
      </c>
      <c r="C1124" t="str">
        <f t="shared" si="120"/>
        <v>Yes</v>
      </c>
      <c r="D1124" t="str">
        <f t="shared" si="121"/>
        <v>Yes</v>
      </c>
      <c r="E1124" s="1">
        <v>45565</v>
      </c>
      <c r="F1124" s="1">
        <v>46086</v>
      </c>
      <c r="G1124">
        <f t="shared" ca="1" si="122"/>
        <v>3</v>
      </c>
      <c r="H1124" t="str">
        <f t="shared" ca="1" si="123"/>
        <v>Expiring Soon</v>
      </c>
      <c r="I1124">
        <f t="shared" ca="1" si="124"/>
        <v>1</v>
      </c>
      <c r="J1124" t="str">
        <f t="shared" si="125"/>
        <v>Environmental</v>
      </c>
    </row>
    <row r="1125" spans="1:10">
      <c r="A1125" t="str" cm="1">
        <f t="array" ref="A1125">INDEX(Vendor_Master!$A$2:$A$401, ROUNDUP((ROW()-1)/4, 0))</f>
        <v>VND-281</v>
      </c>
      <c r="B1125" t="str">
        <f t="shared" si="119"/>
        <v>Sustainability Disclosure</v>
      </c>
      <c r="C1125" t="str">
        <f t="shared" si="120"/>
        <v>Yes</v>
      </c>
      <c r="D1125" t="str">
        <f t="shared" si="121"/>
        <v>Yes</v>
      </c>
      <c r="E1125" s="1">
        <v>46030</v>
      </c>
      <c r="F1125" s="1">
        <v>46093</v>
      </c>
      <c r="G1125">
        <f t="shared" ca="1" si="122"/>
        <v>10</v>
      </c>
      <c r="H1125" t="str">
        <f t="shared" ca="1" si="123"/>
        <v>Expiring Soon</v>
      </c>
      <c r="I1125">
        <f t="shared" ca="1" si="124"/>
        <v>1</v>
      </c>
      <c r="J1125" t="str">
        <f t="shared" si="125"/>
        <v>Environmental</v>
      </c>
    </row>
    <row r="1126" spans="1:10">
      <c r="A1126" t="str" cm="1">
        <f t="array" ref="A1126">INDEX(Vendor_Master!$A$2:$A$401, ROUNDUP((ROW()-1)/4, 0))</f>
        <v>VND-282</v>
      </c>
      <c r="B1126" t="str">
        <f t="shared" si="119"/>
        <v>ISO 14001</v>
      </c>
      <c r="C1126" t="str">
        <f t="shared" si="120"/>
        <v>Yes</v>
      </c>
      <c r="D1126" t="str">
        <f t="shared" si="121"/>
        <v>Yes</v>
      </c>
      <c r="E1126" s="1">
        <v>45752</v>
      </c>
      <c r="F1126" s="1">
        <v>46098</v>
      </c>
      <c r="G1126">
        <f t="shared" ca="1" si="122"/>
        <v>15</v>
      </c>
      <c r="H1126" t="str">
        <f t="shared" ca="1" si="123"/>
        <v>Expiring Soon</v>
      </c>
      <c r="I1126">
        <f t="shared" ca="1" si="124"/>
        <v>1</v>
      </c>
      <c r="J1126" t="str">
        <f t="shared" si="125"/>
        <v>Environmental</v>
      </c>
    </row>
    <row r="1127" spans="1:10">
      <c r="A1127" t="str" cm="1">
        <f t="array" ref="A1127">INDEX(Vendor_Master!$A$2:$A$401, ROUNDUP((ROW()-1)/4, 0))</f>
        <v>VND-282</v>
      </c>
      <c r="B1127" t="str">
        <f t="shared" si="119"/>
        <v>Safety Certificate</v>
      </c>
      <c r="C1127" t="str">
        <f t="shared" si="120"/>
        <v>Yes</v>
      </c>
      <c r="D1127" t="str">
        <f t="shared" si="121"/>
        <v>Yes</v>
      </c>
      <c r="E1127" s="1">
        <v>45426</v>
      </c>
      <c r="F1127" s="1">
        <v>46111</v>
      </c>
      <c r="G1127">
        <f t="shared" ca="1" si="122"/>
        <v>28</v>
      </c>
      <c r="H1127" t="str">
        <f t="shared" ca="1" si="123"/>
        <v>Expiring Soon</v>
      </c>
      <c r="I1127">
        <f t="shared" ca="1" si="124"/>
        <v>1</v>
      </c>
      <c r="J1127" t="str">
        <f t="shared" si="125"/>
        <v>Safety</v>
      </c>
    </row>
    <row r="1128" spans="1:10">
      <c r="A1128" t="str" cm="1">
        <f t="array" ref="A1128">INDEX(Vendor_Master!$A$2:$A$401, ROUNDUP((ROW()-1)/4, 0))</f>
        <v>VND-282</v>
      </c>
      <c r="B1128" t="str">
        <f t="shared" si="119"/>
        <v>Environmental Policy</v>
      </c>
      <c r="C1128" t="str">
        <f t="shared" si="120"/>
        <v>Yes</v>
      </c>
      <c r="D1128" t="str">
        <f t="shared" si="121"/>
        <v>Yes</v>
      </c>
      <c r="E1128" s="1">
        <v>45951</v>
      </c>
      <c r="F1128" s="1">
        <v>46102</v>
      </c>
      <c r="G1128">
        <f t="shared" ca="1" si="122"/>
        <v>19</v>
      </c>
      <c r="H1128" t="str">
        <f t="shared" ca="1" si="123"/>
        <v>Expiring Soon</v>
      </c>
      <c r="I1128">
        <f t="shared" ca="1" si="124"/>
        <v>1</v>
      </c>
      <c r="J1128" t="str">
        <f t="shared" si="125"/>
        <v>Environmental</v>
      </c>
    </row>
    <row r="1129" spans="1:10">
      <c r="A1129" t="str" cm="1">
        <f t="array" ref="A1129">INDEX(Vendor_Master!$A$2:$A$401, ROUNDUP((ROW()-1)/4, 0))</f>
        <v>VND-282</v>
      </c>
      <c r="B1129" t="str">
        <f t="shared" si="119"/>
        <v>Sustainability Disclosure</v>
      </c>
      <c r="C1129" t="str">
        <f t="shared" si="120"/>
        <v>Yes</v>
      </c>
      <c r="D1129" t="str">
        <f t="shared" si="121"/>
        <v>Yes</v>
      </c>
      <c r="E1129" s="1">
        <v>45682</v>
      </c>
      <c r="F1129" s="1">
        <v>46103</v>
      </c>
      <c r="G1129">
        <f t="shared" ca="1" si="122"/>
        <v>20</v>
      </c>
      <c r="H1129" t="str">
        <f t="shared" ca="1" si="123"/>
        <v>Expiring Soon</v>
      </c>
      <c r="I1129">
        <f t="shared" ca="1" si="124"/>
        <v>1</v>
      </c>
      <c r="J1129" t="str">
        <f t="shared" si="125"/>
        <v>Environmental</v>
      </c>
    </row>
    <row r="1130" spans="1:10">
      <c r="A1130" t="str" cm="1">
        <f t="array" ref="A1130">INDEX(Vendor_Master!$A$2:$A$401, ROUNDUP((ROW()-1)/4, 0))</f>
        <v>VND-283</v>
      </c>
      <c r="B1130" t="str">
        <f t="shared" si="119"/>
        <v>ISO 14001</v>
      </c>
      <c r="C1130" t="str">
        <f t="shared" si="120"/>
        <v>Yes</v>
      </c>
      <c r="D1130" t="str">
        <f t="shared" si="121"/>
        <v>Yes</v>
      </c>
      <c r="E1130" s="1">
        <v>45627</v>
      </c>
      <c r="F1130" s="1">
        <v>46107</v>
      </c>
      <c r="G1130">
        <f t="shared" ca="1" si="122"/>
        <v>24</v>
      </c>
      <c r="H1130" t="str">
        <f t="shared" ca="1" si="123"/>
        <v>Expiring Soon</v>
      </c>
      <c r="I1130">
        <f t="shared" ca="1" si="124"/>
        <v>1</v>
      </c>
      <c r="J1130" t="str">
        <f t="shared" si="125"/>
        <v>Environmental</v>
      </c>
    </row>
    <row r="1131" spans="1:10">
      <c r="A1131" t="str" cm="1">
        <f t="array" ref="A1131">INDEX(Vendor_Master!$A$2:$A$401, ROUNDUP((ROW()-1)/4, 0))</f>
        <v>VND-283</v>
      </c>
      <c r="B1131" t="str">
        <f t="shared" si="119"/>
        <v>Safety Certificate</v>
      </c>
      <c r="C1131" t="str">
        <f t="shared" si="120"/>
        <v>Yes</v>
      </c>
      <c r="D1131" t="str">
        <f t="shared" si="121"/>
        <v>Yes</v>
      </c>
      <c r="E1131" s="1">
        <v>45568</v>
      </c>
      <c r="F1131" s="1">
        <v>46092</v>
      </c>
      <c r="G1131">
        <f t="shared" ca="1" si="122"/>
        <v>9</v>
      </c>
      <c r="H1131" t="str">
        <f t="shared" ca="1" si="123"/>
        <v>Expiring Soon</v>
      </c>
      <c r="I1131">
        <f t="shared" ca="1" si="124"/>
        <v>1</v>
      </c>
      <c r="J1131" t="str">
        <f t="shared" si="125"/>
        <v>Safety</v>
      </c>
    </row>
    <row r="1132" spans="1:10">
      <c r="A1132" t="str" cm="1">
        <f t="array" ref="A1132">INDEX(Vendor_Master!$A$2:$A$401, ROUNDUP((ROW()-1)/4, 0))</f>
        <v>VND-283</v>
      </c>
      <c r="B1132" t="str">
        <f t="shared" si="119"/>
        <v>Environmental Policy</v>
      </c>
      <c r="C1132" t="str">
        <f t="shared" si="120"/>
        <v>Yes</v>
      </c>
      <c r="D1132" t="str">
        <f t="shared" si="121"/>
        <v>Yes</v>
      </c>
      <c r="E1132" s="1">
        <v>45933</v>
      </c>
      <c r="F1132" s="1">
        <v>46092</v>
      </c>
      <c r="G1132">
        <f t="shared" ca="1" si="122"/>
        <v>9</v>
      </c>
      <c r="H1132" t="str">
        <f t="shared" ca="1" si="123"/>
        <v>Expiring Soon</v>
      </c>
      <c r="I1132">
        <f t="shared" ca="1" si="124"/>
        <v>1</v>
      </c>
      <c r="J1132" t="str">
        <f t="shared" si="125"/>
        <v>Environmental</v>
      </c>
    </row>
    <row r="1133" spans="1:10">
      <c r="A1133" t="str" cm="1">
        <f t="array" ref="A1133">INDEX(Vendor_Master!$A$2:$A$401, ROUNDUP((ROW()-1)/4, 0))</f>
        <v>VND-283</v>
      </c>
      <c r="B1133" t="str">
        <f t="shared" si="119"/>
        <v>Sustainability Disclosure</v>
      </c>
      <c r="C1133" t="str">
        <f t="shared" si="120"/>
        <v>Yes</v>
      </c>
      <c r="D1133" t="str">
        <f t="shared" si="121"/>
        <v>Yes</v>
      </c>
      <c r="E1133" s="1">
        <v>45533</v>
      </c>
      <c r="F1133" s="1">
        <v>46100</v>
      </c>
      <c r="G1133">
        <f t="shared" ca="1" si="122"/>
        <v>17</v>
      </c>
      <c r="H1133" t="str">
        <f t="shared" ca="1" si="123"/>
        <v>Expiring Soon</v>
      </c>
      <c r="I1133">
        <f t="shared" ca="1" si="124"/>
        <v>1</v>
      </c>
      <c r="J1133" t="str">
        <f t="shared" si="125"/>
        <v>Environmental</v>
      </c>
    </row>
    <row r="1134" spans="1:10">
      <c r="A1134" t="str" cm="1">
        <f t="array" ref="A1134">INDEX(Vendor_Master!$A$2:$A$401, ROUNDUP((ROW()-1)/4, 0))</f>
        <v>VND-284</v>
      </c>
      <c r="B1134" t="str">
        <f t="shared" si="119"/>
        <v>ISO 14001</v>
      </c>
      <c r="C1134" t="str">
        <f t="shared" si="120"/>
        <v>Yes</v>
      </c>
      <c r="D1134" t="str">
        <f t="shared" si="121"/>
        <v>Yes</v>
      </c>
      <c r="E1134" s="1">
        <v>45974</v>
      </c>
      <c r="F1134" s="1">
        <v>46098</v>
      </c>
      <c r="G1134">
        <f t="shared" ca="1" si="122"/>
        <v>15</v>
      </c>
      <c r="H1134" t="str">
        <f t="shared" ca="1" si="123"/>
        <v>Expiring Soon</v>
      </c>
      <c r="I1134">
        <f t="shared" ca="1" si="124"/>
        <v>1</v>
      </c>
      <c r="J1134" t="str">
        <f t="shared" si="125"/>
        <v>Environmental</v>
      </c>
    </row>
    <row r="1135" spans="1:10">
      <c r="A1135" t="str" cm="1">
        <f t="array" ref="A1135">INDEX(Vendor_Master!$A$2:$A$401, ROUNDUP((ROW()-1)/4, 0))</f>
        <v>VND-284</v>
      </c>
      <c r="B1135" t="str">
        <f t="shared" si="119"/>
        <v>Safety Certificate</v>
      </c>
      <c r="C1135" t="str">
        <f t="shared" si="120"/>
        <v>Yes</v>
      </c>
      <c r="D1135" t="str">
        <f t="shared" si="121"/>
        <v>Yes</v>
      </c>
      <c r="E1135" s="1">
        <v>45999</v>
      </c>
      <c r="F1135" s="1">
        <v>46092</v>
      </c>
      <c r="G1135">
        <f t="shared" ca="1" si="122"/>
        <v>9</v>
      </c>
      <c r="H1135" t="str">
        <f t="shared" ca="1" si="123"/>
        <v>Expiring Soon</v>
      </c>
      <c r="I1135">
        <f t="shared" ca="1" si="124"/>
        <v>1</v>
      </c>
      <c r="J1135" t="str">
        <f t="shared" si="125"/>
        <v>Safety</v>
      </c>
    </row>
    <row r="1136" spans="1:10">
      <c r="A1136" t="str" cm="1">
        <f t="array" ref="A1136">INDEX(Vendor_Master!$A$2:$A$401, ROUNDUP((ROW()-1)/4, 0))</f>
        <v>VND-284</v>
      </c>
      <c r="B1136" t="str">
        <f t="shared" si="119"/>
        <v>Environmental Policy</v>
      </c>
      <c r="C1136" t="str">
        <f t="shared" si="120"/>
        <v>Yes</v>
      </c>
      <c r="D1136" t="str">
        <f t="shared" si="121"/>
        <v>Yes</v>
      </c>
      <c r="E1136" s="1">
        <v>45396</v>
      </c>
      <c r="F1136" s="1">
        <v>46090</v>
      </c>
      <c r="G1136">
        <f t="shared" ca="1" si="122"/>
        <v>7</v>
      </c>
      <c r="H1136" t="str">
        <f t="shared" ca="1" si="123"/>
        <v>Expiring Soon</v>
      </c>
      <c r="I1136">
        <f t="shared" ca="1" si="124"/>
        <v>1</v>
      </c>
      <c r="J1136" t="str">
        <f t="shared" si="125"/>
        <v>Environmental</v>
      </c>
    </row>
    <row r="1137" spans="1:10">
      <c r="A1137" t="str" cm="1">
        <f t="array" ref="A1137">INDEX(Vendor_Master!$A$2:$A$401, ROUNDUP((ROW()-1)/4, 0))</f>
        <v>VND-284</v>
      </c>
      <c r="B1137" t="str">
        <f t="shared" si="119"/>
        <v>Sustainability Disclosure</v>
      </c>
      <c r="C1137" t="str">
        <f t="shared" si="120"/>
        <v>Yes</v>
      </c>
      <c r="D1137" t="str">
        <f t="shared" si="121"/>
        <v>Yes</v>
      </c>
      <c r="E1137" s="1">
        <v>45820</v>
      </c>
      <c r="F1137" s="1">
        <v>46104</v>
      </c>
      <c r="G1137">
        <f t="shared" ca="1" si="122"/>
        <v>21</v>
      </c>
      <c r="H1137" t="str">
        <f t="shared" ca="1" si="123"/>
        <v>Expiring Soon</v>
      </c>
      <c r="I1137">
        <f t="shared" ca="1" si="124"/>
        <v>1</v>
      </c>
      <c r="J1137" t="str">
        <f t="shared" si="125"/>
        <v>Environmental</v>
      </c>
    </row>
    <row r="1138" spans="1:10">
      <c r="A1138" t="str" cm="1">
        <f t="array" ref="A1138">INDEX(Vendor_Master!$A$2:$A$401, ROUNDUP((ROW()-1)/4, 0))</f>
        <v>VND-285</v>
      </c>
      <c r="B1138" t="str">
        <f t="shared" si="119"/>
        <v>ISO 14001</v>
      </c>
      <c r="C1138" t="str">
        <f t="shared" si="120"/>
        <v>Yes</v>
      </c>
      <c r="D1138" t="str">
        <f t="shared" si="121"/>
        <v>Yes</v>
      </c>
      <c r="E1138" s="1">
        <v>45644</v>
      </c>
      <c r="F1138" s="1">
        <v>46094</v>
      </c>
      <c r="G1138">
        <f t="shared" ca="1" si="122"/>
        <v>11</v>
      </c>
      <c r="H1138" t="str">
        <f t="shared" ca="1" si="123"/>
        <v>Expiring Soon</v>
      </c>
      <c r="I1138">
        <f t="shared" ca="1" si="124"/>
        <v>1</v>
      </c>
      <c r="J1138" t="str">
        <f t="shared" si="125"/>
        <v>Environmental</v>
      </c>
    </row>
    <row r="1139" spans="1:10">
      <c r="A1139" t="str" cm="1">
        <f t="array" ref="A1139">INDEX(Vendor_Master!$A$2:$A$401, ROUNDUP((ROW()-1)/4, 0))</f>
        <v>VND-285</v>
      </c>
      <c r="B1139" t="str">
        <f t="shared" si="119"/>
        <v>Safety Certificate</v>
      </c>
      <c r="C1139" t="str">
        <f t="shared" si="120"/>
        <v>Yes</v>
      </c>
      <c r="D1139" t="str">
        <f t="shared" si="121"/>
        <v>Yes</v>
      </c>
      <c r="E1139" s="1">
        <v>46024</v>
      </c>
      <c r="F1139" s="1">
        <v>46084</v>
      </c>
      <c r="G1139">
        <f t="shared" ca="1" si="122"/>
        <v>1</v>
      </c>
      <c r="H1139" t="str">
        <f t="shared" ca="1" si="123"/>
        <v>Expiring Soon</v>
      </c>
      <c r="I1139">
        <f t="shared" ca="1" si="124"/>
        <v>1</v>
      </c>
      <c r="J1139" t="str">
        <f t="shared" si="125"/>
        <v>Safety</v>
      </c>
    </row>
    <row r="1140" spans="1:10">
      <c r="A1140" t="str" cm="1">
        <f t="array" ref="A1140">INDEX(Vendor_Master!$A$2:$A$401, ROUNDUP((ROW()-1)/4, 0))</f>
        <v>VND-285</v>
      </c>
      <c r="B1140" t="str">
        <f t="shared" si="119"/>
        <v>Environmental Policy</v>
      </c>
      <c r="C1140" t="str">
        <f t="shared" si="120"/>
        <v>Yes</v>
      </c>
      <c r="D1140" t="str">
        <f t="shared" si="121"/>
        <v>Yes</v>
      </c>
      <c r="E1140" s="1">
        <v>45474</v>
      </c>
      <c r="F1140" s="1">
        <v>46085</v>
      </c>
      <c r="G1140">
        <f t="shared" ca="1" si="122"/>
        <v>2</v>
      </c>
      <c r="H1140" t="str">
        <f t="shared" ca="1" si="123"/>
        <v>Expiring Soon</v>
      </c>
      <c r="I1140">
        <f t="shared" ca="1" si="124"/>
        <v>1</v>
      </c>
      <c r="J1140" t="str">
        <f t="shared" si="125"/>
        <v>Environmental</v>
      </c>
    </row>
    <row r="1141" spans="1:10">
      <c r="A1141" t="str" cm="1">
        <f t="array" ref="A1141">INDEX(Vendor_Master!$A$2:$A$401, ROUNDUP((ROW()-1)/4, 0))</f>
        <v>VND-285</v>
      </c>
      <c r="B1141" t="str">
        <f t="shared" si="119"/>
        <v>Sustainability Disclosure</v>
      </c>
      <c r="C1141" t="str">
        <f t="shared" si="120"/>
        <v>Yes</v>
      </c>
      <c r="D1141" t="str">
        <f t="shared" si="121"/>
        <v>Yes</v>
      </c>
      <c r="E1141" s="1">
        <v>45977</v>
      </c>
      <c r="F1141" s="1">
        <v>46085</v>
      </c>
      <c r="G1141">
        <f t="shared" ca="1" si="122"/>
        <v>2</v>
      </c>
      <c r="H1141" t="str">
        <f t="shared" ca="1" si="123"/>
        <v>Expiring Soon</v>
      </c>
      <c r="I1141">
        <f t="shared" ca="1" si="124"/>
        <v>1</v>
      </c>
      <c r="J1141" t="str">
        <f t="shared" si="125"/>
        <v>Environmental</v>
      </c>
    </row>
    <row r="1142" spans="1:10">
      <c r="A1142" t="str" cm="1">
        <f t="array" ref="A1142">INDEX(Vendor_Master!$A$2:$A$401, ROUNDUP((ROW()-1)/4, 0))</f>
        <v>VND-286</v>
      </c>
      <c r="B1142" t="str">
        <f t="shared" si="119"/>
        <v>ISO 14001</v>
      </c>
      <c r="C1142" t="str">
        <f t="shared" si="120"/>
        <v>Yes</v>
      </c>
      <c r="D1142" t="str">
        <f t="shared" si="121"/>
        <v>Yes</v>
      </c>
      <c r="E1142" s="1">
        <v>45400</v>
      </c>
      <c r="F1142" s="1">
        <v>46098</v>
      </c>
      <c r="G1142">
        <f t="shared" ca="1" si="122"/>
        <v>15</v>
      </c>
      <c r="H1142" t="str">
        <f t="shared" ca="1" si="123"/>
        <v>Expiring Soon</v>
      </c>
      <c r="I1142">
        <f t="shared" ca="1" si="124"/>
        <v>1</v>
      </c>
      <c r="J1142" t="str">
        <f t="shared" si="125"/>
        <v>Environmental</v>
      </c>
    </row>
    <row r="1143" spans="1:10">
      <c r="A1143" t="str" cm="1">
        <f t="array" ref="A1143">INDEX(Vendor_Master!$A$2:$A$401, ROUNDUP((ROW()-1)/4, 0))</f>
        <v>VND-286</v>
      </c>
      <c r="B1143" t="str">
        <f t="shared" si="119"/>
        <v>Safety Certificate</v>
      </c>
      <c r="C1143" t="str">
        <f t="shared" si="120"/>
        <v>Yes</v>
      </c>
      <c r="D1143" t="str">
        <f t="shared" si="121"/>
        <v>Yes</v>
      </c>
      <c r="E1143" s="1">
        <v>45580</v>
      </c>
      <c r="F1143" s="1">
        <v>46088</v>
      </c>
      <c r="G1143">
        <f t="shared" ca="1" si="122"/>
        <v>5</v>
      </c>
      <c r="H1143" t="str">
        <f t="shared" ca="1" si="123"/>
        <v>Expiring Soon</v>
      </c>
      <c r="I1143">
        <f t="shared" ca="1" si="124"/>
        <v>1</v>
      </c>
      <c r="J1143" t="str">
        <f t="shared" si="125"/>
        <v>Safety</v>
      </c>
    </row>
    <row r="1144" spans="1:10">
      <c r="A1144" t="str" cm="1">
        <f t="array" ref="A1144">INDEX(Vendor_Master!$A$2:$A$401, ROUNDUP((ROW()-1)/4, 0))</f>
        <v>VND-286</v>
      </c>
      <c r="B1144" t="str">
        <f t="shared" si="119"/>
        <v>Environmental Policy</v>
      </c>
      <c r="C1144" t="str">
        <f t="shared" si="120"/>
        <v>Yes</v>
      </c>
      <c r="D1144" t="str">
        <f t="shared" si="121"/>
        <v>Yes</v>
      </c>
      <c r="E1144" s="1">
        <v>45598</v>
      </c>
      <c r="F1144" s="1">
        <v>46088</v>
      </c>
      <c r="G1144">
        <f t="shared" ca="1" si="122"/>
        <v>5</v>
      </c>
      <c r="H1144" t="str">
        <f t="shared" ca="1" si="123"/>
        <v>Expiring Soon</v>
      </c>
      <c r="I1144">
        <f t="shared" ca="1" si="124"/>
        <v>1</v>
      </c>
      <c r="J1144" t="str">
        <f t="shared" si="125"/>
        <v>Environmental</v>
      </c>
    </row>
    <row r="1145" spans="1:10">
      <c r="A1145" t="str" cm="1">
        <f t="array" ref="A1145">INDEX(Vendor_Master!$A$2:$A$401, ROUNDUP((ROW()-1)/4, 0))</f>
        <v>VND-286</v>
      </c>
      <c r="B1145" t="str">
        <f t="shared" si="119"/>
        <v>Sustainability Disclosure</v>
      </c>
      <c r="C1145" t="str">
        <f t="shared" si="120"/>
        <v>Yes</v>
      </c>
      <c r="D1145" t="str">
        <f t="shared" si="121"/>
        <v>Yes</v>
      </c>
      <c r="E1145" s="1">
        <v>45916</v>
      </c>
      <c r="F1145" s="1">
        <v>46085</v>
      </c>
      <c r="G1145">
        <f t="shared" ca="1" si="122"/>
        <v>2</v>
      </c>
      <c r="H1145" t="str">
        <f t="shared" ca="1" si="123"/>
        <v>Expiring Soon</v>
      </c>
      <c r="I1145">
        <f t="shared" ca="1" si="124"/>
        <v>1</v>
      </c>
      <c r="J1145" t="str">
        <f t="shared" si="125"/>
        <v>Environmental</v>
      </c>
    </row>
    <row r="1146" spans="1:10">
      <c r="A1146" t="str" cm="1">
        <f t="array" ref="A1146">INDEX(Vendor_Master!$A$2:$A$401, ROUNDUP((ROW()-1)/4, 0))</f>
        <v>VND-287</v>
      </c>
      <c r="B1146" t="str">
        <f t="shared" si="119"/>
        <v>ISO 14001</v>
      </c>
      <c r="C1146" t="str">
        <f t="shared" si="120"/>
        <v>Yes</v>
      </c>
      <c r="D1146" t="str">
        <f t="shared" si="121"/>
        <v>Yes</v>
      </c>
      <c r="E1146" s="1">
        <v>45978</v>
      </c>
      <c r="F1146" s="1">
        <v>46096</v>
      </c>
      <c r="G1146">
        <f t="shared" ca="1" si="122"/>
        <v>13</v>
      </c>
      <c r="H1146" t="str">
        <f t="shared" ca="1" si="123"/>
        <v>Expiring Soon</v>
      </c>
      <c r="I1146">
        <f t="shared" ca="1" si="124"/>
        <v>1</v>
      </c>
      <c r="J1146" t="str">
        <f t="shared" si="125"/>
        <v>Environmental</v>
      </c>
    </row>
    <row r="1147" spans="1:10">
      <c r="A1147" t="str" cm="1">
        <f t="array" ref="A1147">INDEX(Vendor_Master!$A$2:$A$401, ROUNDUP((ROW()-1)/4, 0))</f>
        <v>VND-287</v>
      </c>
      <c r="B1147" t="str">
        <f t="shared" si="119"/>
        <v>Safety Certificate</v>
      </c>
      <c r="C1147" t="str">
        <f t="shared" si="120"/>
        <v>Yes</v>
      </c>
      <c r="D1147" t="str">
        <f t="shared" si="121"/>
        <v>Yes</v>
      </c>
      <c r="E1147" s="1">
        <v>45470</v>
      </c>
      <c r="F1147" s="1">
        <v>46097</v>
      </c>
      <c r="G1147">
        <f t="shared" ca="1" si="122"/>
        <v>14</v>
      </c>
      <c r="H1147" t="str">
        <f t="shared" ca="1" si="123"/>
        <v>Expiring Soon</v>
      </c>
      <c r="I1147">
        <f t="shared" ca="1" si="124"/>
        <v>1</v>
      </c>
      <c r="J1147" t="str">
        <f t="shared" si="125"/>
        <v>Safety</v>
      </c>
    </row>
    <row r="1148" spans="1:10">
      <c r="A1148" t="str" cm="1">
        <f t="array" ref="A1148">INDEX(Vendor_Master!$A$2:$A$401, ROUNDUP((ROW()-1)/4, 0))</f>
        <v>VND-287</v>
      </c>
      <c r="B1148" t="str">
        <f t="shared" si="119"/>
        <v>Environmental Policy</v>
      </c>
      <c r="C1148" t="str">
        <f t="shared" si="120"/>
        <v>Yes</v>
      </c>
      <c r="D1148" t="str">
        <f t="shared" si="121"/>
        <v>Yes</v>
      </c>
      <c r="E1148" s="1">
        <v>45598</v>
      </c>
      <c r="F1148" s="1">
        <v>46102</v>
      </c>
      <c r="G1148">
        <f t="shared" ca="1" si="122"/>
        <v>19</v>
      </c>
      <c r="H1148" t="str">
        <f t="shared" ca="1" si="123"/>
        <v>Expiring Soon</v>
      </c>
      <c r="I1148">
        <f t="shared" ca="1" si="124"/>
        <v>1</v>
      </c>
      <c r="J1148" t="str">
        <f t="shared" si="125"/>
        <v>Environmental</v>
      </c>
    </row>
    <row r="1149" spans="1:10">
      <c r="A1149" t="str" cm="1">
        <f t="array" ref="A1149">INDEX(Vendor_Master!$A$2:$A$401, ROUNDUP((ROW()-1)/4, 0))</f>
        <v>VND-287</v>
      </c>
      <c r="B1149" t="str">
        <f t="shared" si="119"/>
        <v>Sustainability Disclosure</v>
      </c>
      <c r="C1149" t="str">
        <f t="shared" si="120"/>
        <v>Yes</v>
      </c>
      <c r="D1149" t="str">
        <f t="shared" si="121"/>
        <v>Yes</v>
      </c>
      <c r="E1149" s="1">
        <v>45480</v>
      </c>
      <c r="F1149" s="1">
        <v>46083</v>
      </c>
      <c r="G1149">
        <f t="shared" ca="1" si="122"/>
        <v>0</v>
      </c>
      <c r="H1149" t="str">
        <f t="shared" ca="1" si="123"/>
        <v>Expiring Soon</v>
      </c>
      <c r="I1149">
        <f t="shared" ca="1" si="124"/>
        <v>1</v>
      </c>
      <c r="J1149" t="str">
        <f t="shared" si="125"/>
        <v>Environmental</v>
      </c>
    </row>
    <row r="1150" spans="1:10">
      <c r="A1150" t="str" cm="1">
        <f t="array" ref="A1150">INDEX(Vendor_Master!$A$2:$A$401, ROUNDUP((ROW()-1)/4, 0))</f>
        <v>VND-288</v>
      </c>
      <c r="B1150" t="str">
        <f t="shared" si="119"/>
        <v>ISO 14001</v>
      </c>
      <c r="C1150" t="str">
        <f t="shared" si="120"/>
        <v>Yes</v>
      </c>
      <c r="D1150" t="str">
        <f t="shared" si="121"/>
        <v>Yes</v>
      </c>
      <c r="E1150" s="1">
        <v>45411</v>
      </c>
      <c r="F1150" s="1">
        <v>46092</v>
      </c>
      <c r="G1150">
        <f t="shared" ca="1" si="122"/>
        <v>9</v>
      </c>
      <c r="H1150" t="str">
        <f t="shared" ca="1" si="123"/>
        <v>Expiring Soon</v>
      </c>
      <c r="I1150">
        <f t="shared" ca="1" si="124"/>
        <v>1</v>
      </c>
      <c r="J1150" t="str">
        <f t="shared" si="125"/>
        <v>Environmental</v>
      </c>
    </row>
    <row r="1151" spans="1:10">
      <c r="A1151" t="str" cm="1">
        <f t="array" ref="A1151">INDEX(Vendor_Master!$A$2:$A$401, ROUNDUP((ROW()-1)/4, 0))</f>
        <v>VND-288</v>
      </c>
      <c r="B1151" t="str">
        <f t="shared" si="119"/>
        <v>Safety Certificate</v>
      </c>
      <c r="C1151" t="str">
        <f t="shared" si="120"/>
        <v>Yes</v>
      </c>
      <c r="D1151" t="str">
        <f t="shared" si="121"/>
        <v>Yes</v>
      </c>
      <c r="E1151" s="1">
        <v>46046</v>
      </c>
      <c r="F1151" s="1">
        <v>46097</v>
      </c>
      <c r="G1151">
        <f t="shared" ca="1" si="122"/>
        <v>14</v>
      </c>
      <c r="H1151" t="str">
        <f t="shared" ca="1" si="123"/>
        <v>Expiring Soon</v>
      </c>
      <c r="I1151">
        <f t="shared" ca="1" si="124"/>
        <v>1</v>
      </c>
      <c r="J1151" t="str">
        <f t="shared" si="125"/>
        <v>Safety</v>
      </c>
    </row>
    <row r="1152" spans="1:10">
      <c r="A1152" t="str" cm="1">
        <f t="array" ref="A1152">INDEX(Vendor_Master!$A$2:$A$401, ROUNDUP((ROW()-1)/4, 0))</f>
        <v>VND-288</v>
      </c>
      <c r="B1152" t="str">
        <f t="shared" si="119"/>
        <v>Environmental Policy</v>
      </c>
      <c r="C1152" t="str">
        <f t="shared" si="120"/>
        <v>Yes</v>
      </c>
      <c r="D1152" t="str">
        <f t="shared" si="121"/>
        <v>Yes</v>
      </c>
      <c r="E1152" s="1">
        <v>45862</v>
      </c>
      <c r="F1152" s="1">
        <v>46104</v>
      </c>
      <c r="G1152">
        <f t="shared" ca="1" si="122"/>
        <v>21</v>
      </c>
      <c r="H1152" t="str">
        <f t="shared" ca="1" si="123"/>
        <v>Expiring Soon</v>
      </c>
      <c r="I1152">
        <f t="shared" ca="1" si="124"/>
        <v>1</v>
      </c>
      <c r="J1152" t="str">
        <f t="shared" si="125"/>
        <v>Environmental</v>
      </c>
    </row>
    <row r="1153" spans="1:10">
      <c r="A1153" t="str" cm="1">
        <f t="array" ref="A1153">INDEX(Vendor_Master!$A$2:$A$401, ROUNDUP((ROW()-1)/4, 0))</f>
        <v>VND-288</v>
      </c>
      <c r="B1153" t="str">
        <f t="shared" si="119"/>
        <v>Sustainability Disclosure</v>
      </c>
      <c r="C1153" t="str">
        <f t="shared" si="120"/>
        <v>Yes</v>
      </c>
      <c r="D1153" t="str">
        <f t="shared" si="121"/>
        <v>Yes</v>
      </c>
      <c r="E1153" s="1">
        <v>45430</v>
      </c>
      <c r="F1153" s="1">
        <v>46096</v>
      </c>
      <c r="G1153">
        <f t="shared" ca="1" si="122"/>
        <v>13</v>
      </c>
      <c r="H1153" t="str">
        <f t="shared" ca="1" si="123"/>
        <v>Expiring Soon</v>
      </c>
      <c r="I1153">
        <f t="shared" ca="1" si="124"/>
        <v>1</v>
      </c>
      <c r="J1153" t="str">
        <f t="shared" si="125"/>
        <v>Environmental</v>
      </c>
    </row>
    <row r="1154" spans="1:10">
      <c r="A1154" t="str" cm="1">
        <f t="array" ref="A1154">INDEX(Vendor_Master!$A$2:$A$401, ROUNDUP((ROW()-1)/4, 0))</f>
        <v>VND-289</v>
      </c>
      <c r="B1154" t="str">
        <f t="shared" ref="B1154:B1217" si="126">CHOOSE(MOD(ROW()-2,4)+1,"ISO 14001","Safety Certificate","Environmental Policy","Sustainability Disclosure")</f>
        <v>ISO 14001</v>
      </c>
      <c r="C1154" t="str">
        <f t="shared" ref="C1154:C1217" si="127">"Yes"</f>
        <v>Yes</v>
      </c>
      <c r="D1154" t="str">
        <f t="shared" ref="D1154:D1217" si="128">IF(ROW()-1&lt;=1280,"Yes","No")</f>
        <v>Yes</v>
      </c>
      <c r="E1154" s="1">
        <v>45994</v>
      </c>
      <c r="F1154" s="1">
        <v>45994</v>
      </c>
      <c r="G1154">
        <f t="shared" ref="G1154:G1217" ca="1" si="129">IF($F1154="","",$F1154-TODAY())</f>
        <v>-89</v>
      </c>
      <c r="H1154" t="str">
        <f t="shared" ref="H1154:H1217" ca="1" si="130">IF($C1154="No","Not Required",
IF($D1154="No","Missing",
IF($F1154&lt;TODAY(),"Expired",
IF($F1154&lt;=TODAY()+30,"Expiring Soon","Active"))))</f>
        <v>Expired</v>
      </c>
      <c r="I1154">
        <f t="shared" ref="I1154:I1217" ca="1" si="131">IF(OR($H1154="Missing",$H1154="Expired",$H1154="Expiring Soon"),1,0)</f>
        <v>1</v>
      </c>
      <c r="J1154" t="str">
        <f t="shared" si="125"/>
        <v>Environmental</v>
      </c>
    </row>
    <row r="1155" spans="1:10">
      <c r="A1155" t="str" cm="1">
        <f t="array" ref="A1155">INDEX(Vendor_Master!$A$2:$A$401, ROUNDUP((ROW()-1)/4, 0))</f>
        <v>VND-289</v>
      </c>
      <c r="B1155" t="str">
        <f t="shared" si="126"/>
        <v>Safety Certificate</v>
      </c>
      <c r="C1155" t="str">
        <f t="shared" si="127"/>
        <v>Yes</v>
      </c>
      <c r="D1155" t="str">
        <f t="shared" si="128"/>
        <v>Yes</v>
      </c>
      <c r="E1155" s="1">
        <v>45708</v>
      </c>
      <c r="F1155" s="1">
        <v>45942</v>
      </c>
      <c r="G1155">
        <f t="shared" ca="1" si="129"/>
        <v>-141</v>
      </c>
      <c r="H1155" t="str">
        <f t="shared" ca="1" si="130"/>
        <v>Expired</v>
      </c>
      <c r="I1155">
        <f t="shared" ca="1" si="131"/>
        <v>1</v>
      </c>
      <c r="J1155" t="str">
        <f t="shared" ref="J1155:J1218" si="132">IF(B1155="ISO 14001","Environmental",
 IF(B1155="Environmental Policy","Environmental",
 IF(B1155="Sustainability Disclosure","Environmental",
 IF(B1155="Safety Certificate","Safety","Regulatory"))))</f>
        <v>Safety</v>
      </c>
    </row>
    <row r="1156" spans="1:10">
      <c r="A1156" t="str" cm="1">
        <f t="array" ref="A1156">INDEX(Vendor_Master!$A$2:$A$401, ROUNDUP((ROW()-1)/4, 0))</f>
        <v>VND-289</v>
      </c>
      <c r="B1156" t="str">
        <f t="shared" si="126"/>
        <v>Environmental Policy</v>
      </c>
      <c r="C1156" t="str">
        <f t="shared" si="127"/>
        <v>Yes</v>
      </c>
      <c r="D1156" t="str">
        <f t="shared" si="128"/>
        <v>Yes</v>
      </c>
      <c r="E1156" s="1">
        <v>45932</v>
      </c>
      <c r="F1156" s="1">
        <v>46036</v>
      </c>
      <c r="G1156">
        <f t="shared" ca="1" si="129"/>
        <v>-47</v>
      </c>
      <c r="H1156" t="str">
        <f t="shared" ca="1" si="130"/>
        <v>Expired</v>
      </c>
      <c r="I1156">
        <f t="shared" ca="1" si="131"/>
        <v>1</v>
      </c>
      <c r="J1156" t="str">
        <f t="shared" si="132"/>
        <v>Environmental</v>
      </c>
    </row>
    <row r="1157" spans="1:10">
      <c r="A1157" t="str" cm="1">
        <f t="array" ref="A1157">INDEX(Vendor_Master!$A$2:$A$401, ROUNDUP((ROW()-1)/4, 0))</f>
        <v>VND-289</v>
      </c>
      <c r="B1157" t="str">
        <f t="shared" si="126"/>
        <v>Sustainability Disclosure</v>
      </c>
      <c r="C1157" t="str">
        <f t="shared" si="127"/>
        <v>Yes</v>
      </c>
      <c r="D1157" t="str">
        <f t="shared" si="128"/>
        <v>Yes</v>
      </c>
      <c r="E1157" s="1">
        <v>45429</v>
      </c>
      <c r="F1157" s="1">
        <v>45909</v>
      </c>
      <c r="G1157">
        <f t="shared" ca="1" si="129"/>
        <v>-174</v>
      </c>
      <c r="H1157" t="str">
        <f t="shared" ca="1" si="130"/>
        <v>Expired</v>
      </c>
      <c r="I1157">
        <f t="shared" ca="1" si="131"/>
        <v>1</v>
      </c>
      <c r="J1157" t="str">
        <f t="shared" si="132"/>
        <v>Environmental</v>
      </c>
    </row>
    <row r="1158" spans="1:10">
      <c r="A1158" t="str" cm="1">
        <f t="array" ref="A1158">INDEX(Vendor_Master!$A$2:$A$401, ROUNDUP((ROW()-1)/4, 0))</f>
        <v>VND-290</v>
      </c>
      <c r="B1158" t="str">
        <f t="shared" si="126"/>
        <v>ISO 14001</v>
      </c>
      <c r="C1158" t="str">
        <f t="shared" si="127"/>
        <v>Yes</v>
      </c>
      <c r="D1158" t="str">
        <f t="shared" si="128"/>
        <v>Yes</v>
      </c>
      <c r="E1158" s="1">
        <v>45651</v>
      </c>
      <c r="F1158" s="1">
        <v>46041</v>
      </c>
      <c r="G1158">
        <f t="shared" ca="1" si="129"/>
        <v>-42</v>
      </c>
      <c r="H1158" t="str">
        <f t="shared" ca="1" si="130"/>
        <v>Expired</v>
      </c>
      <c r="I1158">
        <f t="shared" ca="1" si="131"/>
        <v>1</v>
      </c>
      <c r="J1158" t="str">
        <f t="shared" si="132"/>
        <v>Environmental</v>
      </c>
    </row>
    <row r="1159" spans="1:10">
      <c r="A1159" t="str" cm="1">
        <f t="array" ref="A1159">INDEX(Vendor_Master!$A$2:$A$401, ROUNDUP((ROW()-1)/4, 0))</f>
        <v>VND-290</v>
      </c>
      <c r="B1159" t="str">
        <f t="shared" si="126"/>
        <v>Safety Certificate</v>
      </c>
      <c r="C1159" t="str">
        <f t="shared" si="127"/>
        <v>Yes</v>
      </c>
      <c r="D1159" t="str">
        <f t="shared" si="128"/>
        <v>Yes</v>
      </c>
      <c r="E1159" s="1">
        <v>45879</v>
      </c>
      <c r="F1159" s="1">
        <v>46056</v>
      </c>
      <c r="G1159">
        <f t="shared" ca="1" si="129"/>
        <v>-27</v>
      </c>
      <c r="H1159" t="str">
        <f t="shared" ca="1" si="130"/>
        <v>Expired</v>
      </c>
      <c r="I1159">
        <f t="shared" ca="1" si="131"/>
        <v>1</v>
      </c>
      <c r="J1159" t="str">
        <f t="shared" si="132"/>
        <v>Safety</v>
      </c>
    </row>
    <row r="1160" spans="1:10">
      <c r="A1160" t="str" cm="1">
        <f t="array" ref="A1160">INDEX(Vendor_Master!$A$2:$A$401, ROUNDUP((ROW()-1)/4, 0))</f>
        <v>VND-290</v>
      </c>
      <c r="B1160" t="str">
        <f t="shared" si="126"/>
        <v>Environmental Policy</v>
      </c>
      <c r="C1160" t="str">
        <f t="shared" si="127"/>
        <v>Yes</v>
      </c>
      <c r="D1160" t="str">
        <f t="shared" si="128"/>
        <v>Yes</v>
      </c>
      <c r="E1160" s="1">
        <v>45429</v>
      </c>
      <c r="F1160" s="1">
        <v>46047</v>
      </c>
      <c r="G1160">
        <f t="shared" ca="1" si="129"/>
        <v>-36</v>
      </c>
      <c r="H1160" t="str">
        <f t="shared" ca="1" si="130"/>
        <v>Expired</v>
      </c>
      <c r="I1160">
        <f t="shared" ca="1" si="131"/>
        <v>1</v>
      </c>
      <c r="J1160" t="str">
        <f t="shared" si="132"/>
        <v>Environmental</v>
      </c>
    </row>
    <row r="1161" spans="1:10">
      <c r="A1161" t="str" cm="1">
        <f t="array" ref="A1161">INDEX(Vendor_Master!$A$2:$A$401, ROUNDUP((ROW()-1)/4, 0))</f>
        <v>VND-290</v>
      </c>
      <c r="B1161" t="str">
        <f t="shared" si="126"/>
        <v>Sustainability Disclosure</v>
      </c>
      <c r="C1161" t="str">
        <f t="shared" si="127"/>
        <v>Yes</v>
      </c>
      <c r="D1161" t="str">
        <f t="shared" si="128"/>
        <v>Yes</v>
      </c>
      <c r="E1161" s="1">
        <v>45484</v>
      </c>
      <c r="F1161" s="1">
        <v>45911</v>
      </c>
      <c r="G1161">
        <f t="shared" ca="1" si="129"/>
        <v>-172</v>
      </c>
      <c r="H1161" t="str">
        <f t="shared" ca="1" si="130"/>
        <v>Expired</v>
      </c>
      <c r="I1161">
        <f t="shared" ca="1" si="131"/>
        <v>1</v>
      </c>
      <c r="J1161" t="str">
        <f t="shared" si="132"/>
        <v>Environmental</v>
      </c>
    </row>
    <row r="1162" spans="1:10">
      <c r="A1162" t="str" cm="1">
        <f t="array" ref="A1162">INDEX(Vendor_Master!$A$2:$A$401, ROUNDUP((ROW()-1)/4, 0))</f>
        <v>VND-291</v>
      </c>
      <c r="B1162" t="str">
        <f t="shared" si="126"/>
        <v>ISO 14001</v>
      </c>
      <c r="C1162" t="str">
        <f t="shared" si="127"/>
        <v>Yes</v>
      </c>
      <c r="D1162" t="str">
        <f t="shared" si="128"/>
        <v>Yes</v>
      </c>
      <c r="E1162" s="1">
        <v>45995</v>
      </c>
      <c r="F1162" s="1">
        <v>46019</v>
      </c>
      <c r="G1162">
        <f t="shared" ca="1" si="129"/>
        <v>-64</v>
      </c>
      <c r="H1162" t="str">
        <f t="shared" ca="1" si="130"/>
        <v>Expired</v>
      </c>
      <c r="I1162">
        <f t="shared" ca="1" si="131"/>
        <v>1</v>
      </c>
      <c r="J1162" t="str">
        <f t="shared" si="132"/>
        <v>Environmental</v>
      </c>
    </row>
    <row r="1163" spans="1:10">
      <c r="A1163" t="str" cm="1">
        <f t="array" ref="A1163">INDEX(Vendor_Master!$A$2:$A$401, ROUNDUP((ROW()-1)/4, 0))</f>
        <v>VND-291</v>
      </c>
      <c r="B1163" t="str">
        <f t="shared" si="126"/>
        <v>Safety Certificate</v>
      </c>
      <c r="C1163" t="str">
        <f t="shared" si="127"/>
        <v>Yes</v>
      </c>
      <c r="D1163" t="str">
        <f t="shared" si="128"/>
        <v>Yes</v>
      </c>
      <c r="E1163" s="1">
        <v>45811</v>
      </c>
      <c r="F1163" s="1">
        <v>46062</v>
      </c>
      <c r="G1163">
        <f t="shared" ca="1" si="129"/>
        <v>-21</v>
      </c>
      <c r="H1163" t="str">
        <f t="shared" ca="1" si="130"/>
        <v>Expired</v>
      </c>
      <c r="I1163">
        <f t="shared" ca="1" si="131"/>
        <v>1</v>
      </c>
      <c r="J1163" t="str">
        <f t="shared" si="132"/>
        <v>Safety</v>
      </c>
    </row>
    <row r="1164" spans="1:10">
      <c r="A1164" t="str" cm="1">
        <f t="array" ref="A1164">INDEX(Vendor_Master!$A$2:$A$401, ROUNDUP((ROW()-1)/4, 0))</f>
        <v>VND-291</v>
      </c>
      <c r="B1164" t="str">
        <f t="shared" si="126"/>
        <v>Environmental Policy</v>
      </c>
      <c r="C1164" t="str">
        <f t="shared" si="127"/>
        <v>Yes</v>
      </c>
      <c r="D1164" t="str">
        <f t="shared" si="128"/>
        <v>Yes</v>
      </c>
      <c r="E1164" s="1">
        <v>45858</v>
      </c>
      <c r="F1164" s="1">
        <v>45954</v>
      </c>
      <c r="G1164">
        <f t="shared" ca="1" si="129"/>
        <v>-129</v>
      </c>
      <c r="H1164" t="str">
        <f t="shared" ca="1" si="130"/>
        <v>Expired</v>
      </c>
      <c r="I1164">
        <f t="shared" ca="1" si="131"/>
        <v>1</v>
      </c>
      <c r="J1164" t="str">
        <f t="shared" si="132"/>
        <v>Environmental</v>
      </c>
    </row>
    <row r="1165" spans="1:10">
      <c r="A1165" t="str" cm="1">
        <f t="array" ref="A1165">INDEX(Vendor_Master!$A$2:$A$401, ROUNDUP((ROW()-1)/4, 0))</f>
        <v>VND-291</v>
      </c>
      <c r="B1165" t="str">
        <f t="shared" si="126"/>
        <v>Sustainability Disclosure</v>
      </c>
      <c r="C1165" t="str">
        <f t="shared" si="127"/>
        <v>Yes</v>
      </c>
      <c r="D1165" t="str">
        <f t="shared" si="128"/>
        <v>Yes</v>
      </c>
      <c r="E1165" s="1">
        <v>45954</v>
      </c>
      <c r="F1165" s="1">
        <v>45901</v>
      </c>
      <c r="G1165">
        <f t="shared" ca="1" si="129"/>
        <v>-182</v>
      </c>
      <c r="H1165" t="str">
        <f t="shared" ca="1" si="130"/>
        <v>Expired</v>
      </c>
      <c r="I1165">
        <f t="shared" ca="1" si="131"/>
        <v>1</v>
      </c>
      <c r="J1165" t="str">
        <f t="shared" si="132"/>
        <v>Environmental</v>
      </c>
    </row>
    <row r="1166" spans="1:10">
      <c r="A1166" t="str" cm="1">
        <f t="array" ref="A1166">INDEX(Vendor_Master!$A$2:$A$401, ROUNDUP((ROW()-1)/4, 0))</f>
        <v>VND-292</v>
      </c>
      <c r="B1166" t="str">
        <f t="shared" si="126"/>
        <v>ISO 14001</v>
      </c>
      <c r="C1166" t="str">
        <f t="shared" si="127"/>
        <v>Yes</v>
      </c>
      <c r="D1166" t="str">
        <f t="shared" si="128"/>
        <v>Yes</v>
      </c>
      <c r="E1166" s="1">
        <v>45879</v>
      </c>
      <c r="F1166" s="1">
        <v>46027</v>
      </c>
      <c r="G1166">
        <f t="shared" ca="1" si="129"/>
        <v>-56</v>
      </c>
      <c r="H1166" t="str">
        <f t="shared" ca="1" si="130"/>
        <v>Expired</v>
      </c>
      <c r="I1166">
        <f t="shared" ca="1" si="131"/>
        <v>1</v>
      </c>
      <c r="J1166" t="str">
        <f t="shared" si="132"/>
        <v>Environmental</v>
      </c>
    </row>
    <row r="1167" spans="1:10">
      <c r="A1167" t="str" cm="1">
        <f t="array" ref="A1167">INDEX(Vendor_Master!$A$2:$A$401, ROUNDUP((ROW()-1)/4, 0))</f>
        <v>VND-292</v>
      </c>
      <c r="B1167" t="str">
        <f t="shared" si="126"/>
        <v>Safety Certificate</v>
      </c>
      <c r="C1167" t="str">
        <f t="shared" si="127"/>
        <v>Yes</v>
      </c>
      <c r="D1167" t="str">
        <f t="shared" si="128"/>
        <v>Yes</v>
      </c>
      <c r="E1167" s="1">
        <v>45905</v>
      </c>
      <c r="F1167" s="1">
        <v>45975</v>
      </c>
      <c r="G1167">
        <f t="shared" ca="1" si="129"/>
        <v>-108</v>
      </c>
      <c r="H1167" t="str">
        <f t="shared" ca="1" si="130"/>
        <v>Expired</v>
      </c>
      <c r="I1167">
        <f t="shared" ca="1" si="131"/>
        <v>1</v>
      </c>
      <c r="J1167" t="str">
        <f t="shared" si="132"/>
        <v>Safety</v>
      </c>
    </row>
    <row r="1168" spans="1:10">
      <c r="A1168" t="str" cm="1">
        <f t="array" ref="A1168">INDEX(Vendor_Master!$A$2:$A$401, ROUNDUP((ROW()-1)/4, 0))</f>
        <v>VND-292</v>
      </c>
      <c r="B1168" t="str">
        <f t="shared" si="126"/>
        <v>Environmental Policy</v>
      </c>
      <c r="C1168" t="str">
        <f t="shared" si="127"/>
        <v>Yes</v>
      </c>
      <c r="D1168" t="str">
        <f t="shared" si="128"/>
        <v>Yes</v>
      </c>
      <c r="E1168" s="1">
        <v>45823</v>
      </c>
      <c r="F1168" s="1">
        <v>46040</v>
      </c>
      <c r="G1168">
        <f t="shared" ca="1" si="129"/>
        <v>-43</v>
      </c>
      <c r="H1168" t="str">
        <f t="shared" ca="1" si="130"/>
        <v>Expired</v>
      </c>
      <c r="I1168">
        <f t="shared" ca="1" si="131"/>
        <v>1</v>
      </c>
      <c r="J1168" t="str">
        <f t="shared" si="132"/>
        <v>Environmental</v>
      </c>
    </row>
    <row r="1169" spans="1:10">
      <c r="A1169" t="str" cm="1">
        <f t="array" ref="A1169">INDEX(Vendor_Master!$A$2:$A$401, ROUNDUP((ROW()-1)/4, 0))</f>
        <v>VND-292</v>
      </c>
      <c r="B1169" t="str">
        <f t="shared" si="126"/>
        <v>Sustainability Disclosure</v>
      </c>
      <c r="C1169" t="str">
        <f t="shared" si="127"/>
        <v>Yes</v>
      </c>
      <c r="D1169" t="str">
        <f t="shared" si="128"/>
        <v>Yes</v>
      </c>
      <c r="E1169" s="1">
        <v>45695</v>
      </c>
      <c r="F1169" s="1">
        <v>45990</v>
      </c>
      <c r="G1169">
        <f t="shared" ca="1" si="129"/>
        <v>-93</v>
      </c>
      <c r="H1169" t="str">
        <f t="shared" ca="1" si="130"/>
        <v>Expired</v>
      </c>
      <c r="I1169">
        <f t="shared" ca="1" si="131"/>
        <v>1</v>
      </c>
      <c r="J1169" t="str">
        <f t="shared" si="132"/>
        <v>Environmental</v>
      </c>
    </row>
    <row r="1170" spans="1:10">
      <c r="A1170" t="str" cm="1">
        <f t="array" ref="A1170">INDEX(Vendor_Master!$A$2:$A$401, ROUNDUP((ROW()-1)/4, 0))</f>
        <v>VND-293</v>
      </c>
      <c r="B1170" t="str">
        <f t="shared" si="126"/>
        <v>ISO 14001</v>
      </c>
      <c r="C1170" t="str">
        <f t="shared" si="127"/>
        <v>Yes</v>
      </c>
      <c r="D1170" t="str">
        <f t="shared" si="128"/>
        <v>Yes</v>
      </c>
      <c r="E1170" s="1">
        <v>45653</v>
      </c>
      <c r="F1170" s="1">
        <v>45950</v>
      </c>
      <c r="G1170">
        <f t="shared" ca="1" si="129"/>
        <v>-133</v>
      </c>
      <c r="H1170" t="str">
        <f t="shared" ca="1" si="130"/>
        <v>Expired</v>
      </c>
      <c r="I1170">
        <f t="shared" ca="1" si="131"/>
        <v>1</v>
      </c>
      <c r="J1170" t="str">
        <f t="shared" si="132"/>
        <v>Environmental</v>
      </c>
    </row>
    <row r="1171" spans="1:10">
      <c r="A1171" t="str" cm="1">
        <f t="array" ref="A1171">INDEX(Vendor_Master!$A$2:$A$401, ROUNDUP((ROW()-1)/4, 0))</f>
        <v>VND-293</v>
      </c>
      <c r="B1171" t="str">
        <f t="shared" si="126"/>
        <v>Safety Certificate</v>
      </c>
      <c r="C1171" t="str">
        <f t="shared" si="127"/>
        <v>Yes</v>
      </c>
      <c r="D1171" t="str">
        <f t="shared" si="128"/>
        <v>Yes</v>
      </c>
      <c r="E1171" s="1">
        <v>45457</v>
      </c>
      <c r="F1171" s="1">
        <v>46059</v>
      </c>
      <c r="G1171">
        <f t="shared" ca="1" si="129"/>
        <v>-24</v>
      </c>
      <c r="H1171" t="str">
        <f t="shared" ca="1" si="130"/>
        <v>Expired</v>
      </c>
      <c r="I1171">
        <f t="shared" ca="1" si="131"/>
        <v>1</v>
      </c>
      <c r="J1171" t="str">
        <f t="shared" si="132"/>
        <v>Safety</v>
      </c>
    </row>
    <row r="1172" spans="1:10">
      <c r="A1172" t="str" cm="1">
        <f t="array" ref="A1172">INDEX(Vendor_Master!$A$2:$A$401, ROUNDUP((ROW()-1)/4, 0))</f>
        <v>VND-293</v>
      </c>
      <c r="B1172" t="str">
        <f t="shared" si="126"/>
        <v>Environmental Policy</v>
      </c>
      <c r="C1172" t="str">
        <f t="shared" si="127"/>
        <v>Yes</v>
      </c>
      <c r="D1172" t="str">
        <f t="shared" si="128"/>
        <v>Yes</v>
      </c>
      <c r="E1172" s="1">
        <v>45767</v>
      </c>
      <c r="F1172" s="1">
        <v>46029</v>
      </c>
      <c r="G1172">
        <f t="shared" ca="1" si="129"/>
        <v>-54</v>
      </c>
      <c r="H1172" t="str">
        <f t="shared" ca="1" si="130"/>
        <v>Expired</v>
      </c>
      <c r="I1172">
        <f t="shared" ca="1" si="131"/>
        <v>1</v>
      </c>
      <c r="J1172" t="str">
        <f t="shared" si="132"/>
        <v>Environmental</v>
      </c>
    </row>
    <row r="1173" spans="1:10">
      <c r="A1173" t="str" cm="1">
        <f t="array" ref="A1173">INDEX(Vendor_Master!$A$2:$A$401, ROUNDUP((ROW()-1)/4, 0))</f>
        <v>VND-293</v>
      </c>
      <c r="B1173" t="str">
        <f t="shared" si="126"/>
        <v>Sustainability Disclosure</v>
      </c>
      <c r="C1173" t="str">
        <f t="shared" si="127"/>
        <v>Yes</v>
      </c>
      <c r="D1173" t="str">
        <f t="shared" si="128"/>
        <v>Yes</v>
      </c>
      <c r="E1173" s="1">
        <v>45677</v>
      </c>
      <c r="F1173" s="1">
        <v>45939</v>
      </c>
      <c r="G1173">
        <f t="shared" ca="1" si="129"/>
        <v>-144</v>
      </c>
      <c r="H1173" t="str">
        <f t="shared" ca="1" si="130"/>
        <v>Expired</v>
      </c>
      <c r="I1173">
        <f t="shared" ca="1" si="131"/>
        <v>1</v>
      </c>
      <c r="J1173" t="str">
        <f t="shared" si="132"/>
        <v>Environmental</v>
      </c>
    </row>
    <row r="1174" spans="1:10">
      <c r="A1174" t="str" cm="1">
        <f t="array" ref="A1174">INDEX(Vendor_Master!$A$2:$A$401, ROUNDUP((ROW()-1)/4, 0))</f>
        <v>VND-294</v>
      </c>
      <c r="B1174" t="str">
        <f t="shared" si="126"/>
        <v>ISO 14001</v>
      </c>
      <c r="C1174" t="str">
        <f t="shared" si="127"/>
        <v>Yes</v>
      </c>
      <c r="D1174" t="str">
        <f t="shared" si="128"/>
        <v>Yes</v>
      </c>
      <c r="E1174" s="1">
        <v>45596</v>
      </c>
      <c r="F1174" s="1">
        <v>45947</v>
      </c>
      <c r="G1174">
        <f t="shared" ca="1" si="129"/>
        <v>-136</v>
      </c>
      <c r="H1174" t="str">
        <f t="shared" ca="1" si="130"/>
        <v>Expired</v>
      </c>
      <c r="I1174">
        <f t="shared" ca="1" si="131"/>
        <v>1</v>
      </c>
      <c r="J1174" t="str">
        <f t="shared" si="132"/>
        <v>Environmental</v>
      </c>
    </row>
    <row r="1175" spans="1:10">
      <c r="A1175" t="str" cm="1">
        <f t="array" ref="A1175">INDEX(Vendor_Master!$A$2:$A$401, ROUNDUP((ROW()-1)/4, 0))</f>
        <v>VND-294</v>
      </c>
      <c r="B1175" t="str">
        <f t="shared" si="126"/>
        <v>Safety Certificate</v>
      </c>
      <c r="C1175" t="str">
        <f t="shared" si="127"/>
        <v>Yes</v>
      </c>
      <c r="D1175" t="str">
        <f t="shared" si="128"/>
        <v>Yes</v>
      </c>
      <c r="E1175" s="1">
        <v>46062</v>
      </c>
      <c r="F1175" s="1">
        <v>45942</v>
      </c>
      <c r="G1175">
        <f t="shared" ca="1" si="129"/>
        <v>-141</v>
      </c>
      <c r="H1175" t="str">
        <f t="shared" ca="1" si="130"/>
        <v>Expired</v>
      </c>
      <c r="I1175">
        <f t="shared" ca="1" si="131"/>
        <v>1</v>
      </c>
      <c r="J1175" t="str">
        <f t="shared" si="132"/>
        <v>Safety</v>
      </c>
    </row>
    <row r="1176" spans="1:10">
      <c r="A1176" t="str" cm="1">
        <f t="array" ref="A1176">INDEX(Vendor_Master!$A$2:$A$401, ROUNDUP((ROW()-1)/4, 0))</f>
        <v>VND-294</v>
      </c>
      <c r="B1176" t="str">
        <f t="shared" si="126"/>
        <v>Environmental Policy</v>
      </c>
      <c r="C1176" t="str">
        <f t="shared" si="127"/>
        <v>Yes</v>
      </c>
      <c r="D1176" t="str">
        <f t="shared" si="128"/>
        <v>Yes</v>
      </c>
      <c r="E1176" s="1">
        <v>45542</v>
      </c>
      <c r="F1176" s="1">
        <v>46001</v>
      </c>
      <c r="G1176">
        <f t="shared" ca="1" si="129"/>
        <v>-82</v>
      </c>
      <c r="H1176" t="str">
        <f t="shared" ca="1" si="130"/>
        <v>Expired</v>
      </c>
      <c r="I1176">
        <f t="shared" ca="1" si="131"/>
        <v>1</v>
      </c>
      <c r="J1176" t="str">
        <f t="shared" si="132"/>
        <v>Environmental</v>
      </c>
    </row>
    <row r="1177" spans="1:10">
      <c r="A1177" t="str" cm="1">
        <f t="array" ref="A1177">INDEX(Vendor_Master!$A$2:$A$401, ROUNDUP((ROW()-1)/4, 0))</f>
        <v>VND-294</v>
      </c>
      <c r="B1177" t="str">
        <f t="shared" si="126"/>
        <v>Sustainability Disclosure</v>
      </c>
      <c r="C1177" t="str">
        <f t="shared" si="127"/>
        <v>Yes</v>
      </c>
      <c r="D1177" t="str">
        <f t="shared" si="128"/>
        <v>Yes</v>
      </c>
      <c r="E1177" s="1">
        <v>45563</v>
      </c>
      <c r="F1177" s="1">
        <v>46048</v>
      </c>
      <c r="G1177">
        <f t="shared" ca="1" si="129"/>
        <v>-35</v>
      </c>
      <c r="H1177" t="str">
        <f t="shared" ca="1" si="130"/>
        <v>Expired</v>
      </c>
      <c r="I1177">
        <f t="shared" ca="1" si="131"/>
        <v>1</v>
      </c>
      <c r="J1177" t="str">
        <f t="shared" si="132"/>
        <v>Environmental</v>
      </c>
    </row>
    <row r="1178" spans="1:10">
      <c r="A1178" t="str" cm="1">
        <f t="array" ref="A1178">INDEX(Vendor_Master!$A$2:$A$401, ROUNDUP((ROW()-1)/4, 0))</f>
        <v>VND-295</v>
      </c>
      <c r="B1178" t="str">
        <f t="shared" si="126"/>
        <v>ISO 14001</v>
      </c>
      <c r="C1178" t="str">
        <f t="shared" si="127"/>
        <v>Yes</v>
      </c>
      <c r="D1178" t="str">
        <f t="shared" si="128"/>
        <v>Yes</v>
      </c>
      <c r="E1178" s="1">
        <v>45882</v>
      </c>
      <c r="F1178" s="1">
        <v>45908</v>
      </c>
      <c r="G1178">
        <f t="shared" ca="1" si="129"/>
        <v>-175</v>
      </c>
      <c r="H1178" t="str">
        <f t="shared" ca="1" si="130"/>
        <v>Expired</v>
      </c>
      <c r="I1178">
        <f t="shared" ca="1" si="131"/>
        <v>1</v>
      </c>
      <c r="J1178" t="str">
        <f t="shared" si="132"/>
        <v>Environmental</v>
      </c>
    </row>
    <row r="1179" spans="1:10">
      <c r="A1179" t="str" cm="1">
        <f t="array" ref="A1179">INDEX(Vendor_Master!$A$2:$A$401, ROUNDUP((ROW()-1)/4, 0))</f>
        <v>VND-295</v>
      </c>
      <c r="B1179" t="str">
        <f t="shared" si="126"/>
        <v>Safety Certificate</v>
      </c>
      <c r="C1179" t="str">
        <f t="shared" si="127"/>
        <v>Yes</v>
      </c>
      <c r="D1179" t="str">
        <f t="shared" si="128"/>
        <v>Yes</v>
      </c>
      <c r="E1179" s="1">
        <v>45515</v>
      </c>
      <c r="F1179" s="1">
        <v>45959</v>
      </c>
      <c r="G1179">
        <f t="shared" ca="1" si="129"/>
        <v>-124</v>
      </c>
      <c r="H1179" t="str">
        <f t="shared" ca="1" si="130"/>
        <v>Expired</v>
      </c>
      <c r="I1179">
        <f t="shared" ca="1" si="131"/>
        <v>1</v>
      </c>
      <c r="J1179" t="str">
        <f t="shared" si="132"/>
        <v>Safety</v>
      </c>
    </row>
    <row r="1180" spans="1:10">
      <c r="A1180" t="str" cm="1">
        <f t="array" ref="A1180">INDEX(Vendor_Master!$A$2:$A$401, ROUNDUP((ROW()-1)/4, 0))</f>
        <v>VND-295</v>
      </c>
      <c r="B1180" t="str">
        <f t="shared" si="126"/>
        <v>Environmental Policy</v>
      </c>
      <c r="C1180" t="str">
        <f t="shared" si="127"/>
        <v>Yes</v>
      </c>
      <c r="D1180" t="str">
        <f t="shared" si="128"/>
        <v>Yes</v>
      </c>
      <c r="E1180" s="1">
        <v>45736</v>
      </c>
      <c r="F1180" s="1">
        <v>45985</v>
      </c>
      <c r="G1180">
        <f t="shared" ca="1" si="129"/>
        <v>-98</v>
      </c>
      <c r="H1180" t="str">
        <f t="shared" ca="1" si="130"/>
        <v>Expired</v>
      </c>
      <c r="I1180">
        <f t="shared" ca="1" si="131"/>
        <v>1</v>
      </c>
      <c r="J1180" t="str">
        <f t="shared" si="132"/>
        <v>Environmental</v>
      </c>
    </row>
    <row r="1181" spans="1:10">
      <c r="A1181" t="str" cm="1">
        <f t="array" ref="A1181">INDEX(Vendor_Master!$A$2:$A$401, ROUNDUP((ROW()-1)/4, 0))</f>
        <v>VND-295</v>
      </c>
      <c r="B1181" t="str">
        <f t="shared" si="126"/>
        <v>Sustainability Disclosure</v>
      </c>
      <c r="C1181" t="str">
        <f t="shared" si="127"/>
        <v>Yes</v>
      </c>
      <c r="D1181" t="str">
        <f t="shared" si="128"/>
        <v>Yes</v>
      </c>
      <c r="E1181" s="1">
        <v>45962</v>
      </c>
      <c r="F1181" s="1">
        <v>46075</v>
      </c>
      <c r="G1181">
        <f t="shared" ca="1" si="129"/>
        <v>-8</v>
      </c>
      <c r="H1181" t="str">
        <f t="shared" ca="1" si="130"/>
        <v>Expired</v>
      </c>
      <c r="I1181">
        <f t="shared" ca="1" si="131"/>
        <v>1</v>
      </c>
      <c r="J1181" t="str">
        <f t="shared" si="132"/>
        <v>Environmental</v>
      </c>
    </row>
    <row r="1182" spans="1:10">
      <c r="A1182" t="str" cm="1">
        <f t="array" ref="A1182">INDEX(Vendor_Master!$A$2:$A$401, ROUNDUP((ROW()-1)/4, 0))</f>
        <v>VND-296</v>
      </c>
      <c r="B1182" t="str">
        <f t="shared" si="126"/>
        <v>ISO 14001</v>
      </c>
      <c r="C1182" t="str">
        <f t="shared" si="127"/>
        <v>Yes</v>
      </c>
      <c r="D1182" t="str">
        <f t="shared" si="128"/>
        <v>Yes</v>
      </c>
      <c r="E1182" s="1">
        <v>45673</v>
      </c>
      <c r="F1182" s="1">
        <v>45966</v>
      </c>
      <c r="G1182">
        <f t="shared" ca="1" si="129"/>
        <v>-117</v>
      </c>
      <c r="H1182" t="str">
        <f t="shared" ca="1" si="130"/>
        <v>Expired</v>
      </c>
      <c r="I1182">
        <f t="shared" ca="1" si="131"/>
        <v>1</v>
      </c>
      <c r="J1182" t="str">
        <f t="shared" si="132"/>
        <v>Environmental</v>
      </c>
    </row>
    <row r="1183" spans="1:10">
      <c r="A1183" t="str" cm="1">
        <f t="array" ref="A1183">INDEX(Vendor_Master!$A$2:$A$401, ROUNDUP((ROW()-1)/4, 0))</f>
        <v>VND-296</v>
      </c>
      <c r="B1183" t="str">
        <f t="shared" si="126"/>
        <v>Safety Certificate</v>
      </c>
      <c r="C1183" t="str">
        <f t="shared" si="127"/>
        <v>Yes</v>
      </c>
      <c r="D1183" t="str">
        <f t="shared" si="128"/>
        <v>Yes</v>
      </c>
      <c r="E1183" s="1">
        <v>45622</v>
      </c>
      <c r="F1183" s="1">
        <v>46011</v>
      </c>
      <c r="G1183">
        <f t="shared" ca="1" si="129"/>
        <v>-72</v>
      </c>
      <c r="H1183" t="str">
        <f t="shared" ca="1" si="130"/>
        <v>Expired</v>
      </c>
      <c r="I1183">
        <f t="shared" ca="1" si="131"/>
        <v>1</v>
      </c>
      <c r="J1183" t="str">
        <f t="shared" si="132"/>
        <v>Safety</v>
      </c>
    </row>
    <row r="1184" spans="1:10">
      <c r="A1184" t="str" cm="1">
        <f t="array" ref="A1184">INDEX(Vendor_Master!$A$2:$A$401, ROUNDUP((ROW()-1)/4, 0))</f>
        <v>VND-296</v>
      </c>
      <c r="B1184" t="str">
        <f t="shared" si="126"/>
        <v>Environmental Policy</v>
      </c>
      <c r="C1184" t="str">
        <f t="shared" si="127"/>
        <v>Yes</v>
      </c>
      <c r="D1184" t="str">
        <f t="shared" si="128"/>
        <v>Yes</v>
      </c>
      <c r="E1184" s="1">
        <v>45691</v>
      </c>
      <c r="F1184" s="1">
        <v>46007</v>
      </c>
      <c r="G1184">
        <f t="shared" ca="1" si="129"/>
        <v>-76</v>
      </c>
      <c r="H1184" t="str">
        <f t="shared" ca="1" si="130"/>
        <v>Expired</v>
      </c>
      <c r="I1184">
        <f t="shared" ca="1" si="131"/>
        <v>1</v>
      </c>
      <c r="J1184" t="str">
        <f t="shared" si="132"/>
        <v>Environmental</v>
      </c>
    </row>
    <row r="1185" spans="1:10">
      <c r="A1185" t="str" cm="1">
        <f t="array" ref="A1185">INDEX(Vendor_Master!$A$2:$A$401, ROUNDUP((ROW()-1)/4, 0))</f>
        <v>VND-296</v>
      </c>
      <c r="B1185" t="str">
        <f t="shared" si="126"/>
        <v>Sustainability Disclosure</v>
      </c>
      <c r="C1185" t="str">
        <f t="shared" si="127"/>
        <v>Yes</v>
      </c>
      <c r="D1185" t="str">
        <f t="shared" si="128"/>
        <v>Yes</v>
      </c>
      <c r="E1185" s="1">
        <v>46050</v>
      </c>
      <c r="F1185" s="1">
        <v>46034</v>
      </c>
      <c r="G1185">
        <f t="shared" ca="1" si="129"/>
        <v>-49</v>
      </c>
      <c r="H1185" t="str">
        <f t="shared" ca="1" si="130"/>
        <v>Expired</v>
      </c>
      <c r="I1185">
        <f t="shared" ca="1" si="131"/>
        <v>1</v>
      </c>
      <c r="J1185" t="str">
        <f t="shared" si="132"/>
        <v>Environmental</v>
      </c>
    </row>
    <row r="1186" spans="1:10">
      <c r="A1186" t="str" cm="1">
        <f t="array" ref="A1186">INDEX(Vendor_Master!$A$2:$A$401, ROUNDUP((ROW()-1)/4, 0))</f>
        <v>VND-297</v>
      </c>
      <c r="B1186" t="str">
        <f t="shared" si="126"/>
        <v>ISO 14001</v>
      </c>
      <c r="C1186" t="str">
        <f t="shared" si="127"/>
        <v>Yes</v>
      </c>
      <c r="D1186" t="str">
        <f t="shared" si="128"/>
        <v>Yes</v>
      </c>
      <c r="E1186" s="1">
        <v>45658</v>
      </c>
      <c r="F1186" s="1">
        <v>46007</v>
      </c>
      <c r="G1186">
        <f t="shared" ca="1" si="129"/>
        <v>-76</v>
      </c>
      <c r="H1186" t="str">
        <f t="shared" ca="1" si="130"/>
        <v>Expired</v>
      </c>
      <c r="I1186">
        <f t="shared" ca="1" si="131"/>
        <v>1</v>
      </c>
      <c r="J1186" t="str">
        <f t="shared" si="132"/>
        <v>Environmental</v>
      </c>
    </row>
    <row r="1187" spans="1:10">
      <c r="A1187" t="str" cm="1">
        <f t="array" ref="A1187">INDEX(Vendor_Master!$A$2:$A$401, ROUNDUP((ROW()-1)/4, 0))</f>
        <v>VND-297</v>
      </c>
      <c r="B1187" t="str">
        <f t="shared" si="126"/>
        <v>Safety Certificate</v>
      </c>
      <c r="C1187" t="str">
        <f t="shared" si="127"/>
        <v>Yes</v>
      </c>
      <c r="D1187" t="str">
        <f t="shared" si="128"/>
        <v>Yes</v>
      </c>
      <c r="E1187" s="1">
        <v>45575</v>
      </c>
      <c r="F1187" s="1">
        <v>46064</v>
      </c>
      <c r="G1187">
        <f t="shared" ca="1" si="129"/>
        <v>-19</v>
      </c>
      <c r="H1187" t="str">
        <f t="shared" ca="1" si="130"/>
        <v>Expired</v>
      </c>
      <c r="I1187">
        <f t="shared" ca="1" si="131"/>
        <v>1</v>
      </c>
      <c r="J1187" t="str">
        <f t="shared" si="132"/>
        <v>Safety</v>
      </c>
    </row>
    <row r="1188" spans="1:10">
      <c r="A1188" t="str" cm="1">
        <f t="array" ref="A1188">INDEX(Vendor_Master!$A$2:$A$401, ROUNDUP((ROW()-1)/4, 0))</f>
        <v>VND-297</v>
      </c>
      <c r="B1188" t="str">
        <f t="shared" si="126"/>
        <v>Environmental Policy</v>
      </c>
      <c r="C1188" t="str">
        <f t="shared" si="127"/>
        <v>Yes</v>
      </c>
      <c r="D1188" t="str">
        <f t="shared" si="128"/>
        <v>Yes</v>
      </c>
      <c r="E1188" s="1">
        <v>45673</v>
      </c>
      <c r="F1188" s="1">
        <v>46008</v>
      </c>
      <c r="G1188">
        <f t="shared" ca="1" si="129"/>
        <v>-75</v>
      </c>
      <c r="H1188" t="str">
        <f t="shared" ca="1" si="130"/>
        <v>Expired</v>
      </c>
      <c r="I1188">
        <f t="shared" ca="1" si="131"/>
        <v>1</v>
      </c>
      <c r="J1188" t="str">
        <f t="shared" si="132"/>
        <v>Environmental</v>
      </c>
    </row>
    <row r="1189" spans="1:10">
      <c r="A1189" t="str" cm="1">
        <f t="array" ref="A1189">INDEX(Vendor_Master!$A$2:$A$401, ROUNDUP((ROW()-1)/4, 0))</f>
        <v>VND-297</v>
      </c>
      <c r="B1189" t="str">
        <f t="shared" si="126"/>
        <v>Sustainability Disclosure</v>
      </c>
      <c r="C1189" t="str">
        <f t="shared" si="127"/>
        <v>Yes</v>
      </c>
      <c r="D1189" t="str">
        <f t="shared" si="128"/>
        <v>Yes</v>
      </c>
      <c r="E1189" s="1">
        <v>45432</v>
      </c>
      <c r="F1189" s="1">
        <v>46050</v>
      </c>
      <c r="G1189">
        <f t="shared" ca="1" si="129"/>
        <v>-33</v>
      </c>
      <c r="H1189" t="str">
        <f t="shared" ca="1" si="130"/>
        <v>Expired</v>
      </c>
      <c r="I1189">
        <f t="shared" ca="1" si="131"/>
        <v>1</v>
      </c>
      <c r="J1189" t="str">
        <f t="shared" si="132"/>
        <v>Environmental</v>
      </c>
    </row>
    <row r="1190" spans="1:10">
      <c r="A1190" t="str" cm="1">
        <f t="array" ref="A1190">INDEX(Vendor_Master!$A$2:$A$401, ROUNDUP((ROW()-1)/4, 0))</f>
        <v>VND-298</v>
      </c>
      <c r="B1190" t="str">
        <f t="shared" si="126"/>
        <v>ISO 14001</v>
      </c>
      <c r="C1190" t="str">
        <f t="shared" si="127"/>
        <v>Yes</v>
      </c>
      <c r="D1190" t="str">
        <f t="shared" si="128"/>
        <v>Yes</v>
      </c>
      <c r="E1190" s="1">
        <v>45626</v>
      </c>
      <c r="F1190" s="1">
        <v>46079</v>
      </c>
      <c r="G1190">
        <f t="shared" ca="1" si="129"/>
        <v>-4</v>
      </c>
      <c r="H1190" t="str">
        <f t="shared" ca="1" si="130"/>
        <v>Expired</v>
      </c>
      <c r="I1190">
        <f t="shared" ca="1" si="131"/>
        <v>1</v>
      </c>
      <c r="J1190" t="str">
        <f t="shared" si="132"/>
        <v>Environmental</v>
      </c>
    </row>
    <row r="1191" spans="1:10">
      <c r="A1191" t="str" cm="1">
        <f t="array" ref="A1191">INDEX(Vendor_Master!$A$2:$A$401, ROUNDUP((ROW()-1)/4, 0))</f>
        <v>VND-298</v>
      </c>
      <c r="B1191" t="str">
        <f t="shared" si="126"/>
        <v>Safety Certificate</v>
      </c>
      <c r="C1191" t="str">
        <f t="shared" si="127"/>
        <v>Yes</v>
      </c>
      <c r="D1191" t="str">
        <f t="shared" si="128"/>
        <v>Yes</v>
      </c>
      <c r="E1191" s="1">
        <v>45623</v>
      </c>
      <c r="F1191" s="1">
        <v>45934</v>
      </c>
      <c r="G1191">
        <f t="shared" ca="1" si="129"/>
        <v>-149</v>
      </c>
      <c r="H1191" t="str">
        <f t="shared" ca="1" si="130"/>
        <v>Expired</v>
      </c>
      <c r="I1191">
        <f t="shared" ca="1" si="131"/>
        <v>1</v>
      </c>
      <c r="J1191" t="str">
        <f t="shared" si="132"/>
        <v>Safety</v>
      </c>
    </row>
    <row r="1192" spans="1:10">
      <c r="A1192" t="str" cm="1">
        <f t="array" ref="A1192">INDEX(Vendor_Master!$A$2:$A$401, ROUNDUP((ROW()-1)/4, 0))</f>
        <v>VND-298</v>
      </c>
      <c r="B1192" t="str">
        <f t="shared" si="126"/>
        <v>Environmental Policy</v>
      </c>
      <c r="C1192" t="str">
        <f t="shared" si="127"/>
        <v>Yes</v>
      </c>
      <c r="D1192" t="str">
        <f t="shared" si="128"/>
        <v>Yes</v>
      </c>
      <c r="E1192" s="1">
        <v>45779</v>
      </c>
      <c r="F1192" s="1">
        <v>45902</v>
      </c>
      <c r="G1192">
        <f t="shared" ca="1" si="129"/>
        <v>-181</v>
      </c>
      <c r="H1192" t="str">
        <f t="shared" ca="1" si="130"/>
        <v>Expired</v>
      </c>
      <c r="I1192">
        <f t="shared" ca="1" si="131"/>
        <v>1</v>
      </c>
      <c r="J1192" t="str">
        <f t="shared" si="132"/>
        <v>Environmental</v>
      </c>
    </row>
    <row r="1193" spans="1:10">
      <c r="A1193" t="str" cm="1">
        <f t="array" ref="A1193">INDEX(Vendor_Master!$A$2:$A$401, ROUNDUP((ROW()-1)/4, 0))</f>
        <v>VND-298</v>
      </c>
      <c r="B1193" t="str">
        <f t="shared" si="126"/>
        <v>Sustainability Disclosure</v>
      </c>
      <c r="C1193" t="str">
        <f t="shared" si="127"/>
        <v>Yes</v>
      </c>
      <c r="D1193" t="str">
        <f t="shared" si="128"/>
        <v>Yes</v>
      </c>
      <c r="E1193" s="1">
        <v>45416</v>
      </c>
      <c r="F1193" s="1">
        <v>45984</v>
      </c>
      <c r="G1193">
        <f t="shared" ca="1" si="129"/>
        <v>-99</v>
      </c>
      <c r="H1193" t="str">
        <f t="shared" ca="1" si="130"/>
        <v>Expired</v>
      </c>
      <c r="I1193">
        <f t="shared" ca="1" si="131"/>
        <v>1</v>
      </c>
      <c r="J1193" t="str">
        <f t="shared" si="132"/>
        <v>Environmental</v>
      </c>
    </row>
    <row r="1194" spans="1:10">
      <c r="A1194" t="str" cm="1">
        <f t="array" ref="A1194">INDEX(Vendor_Master!$A$2:$A$401, ROUNDUP((ROW()-1)/4, 0))</f>
        <v>VND-299</v>
      </c>
      <c r="B1194" t="str">
        <f t="shared" si="126"/>
        <v>ISO 14001</v>
      </c>
      <c r="C1194" t="str">
        <f t="shared" si="127"/>
        <v>Yes</v>
      </c>
      <c r="D1194" t="str">
        <f t="shared" si="128"/>
        <v>Yes</v>
      </c>
      <c r="E1194" s="1">
        <v>45920</v>
      </c>
      <c r="F1194" s="1">
        <v>46015</v>
      </c>
      <c r="G1194">
        <f t="shared" ca="1" si="129"/>
        <v>-68</v>
      </c>
      <c r="H1194" t="str">
        <f t="shared" ca="1" si="130"/>
        <v>Expired</v>
      </c>
      <c r="I1194">
        <f t="shared" ca="1" si="131"/>
        <v>1</v>
      </c>
      <c r="J1194" t="str">
        <f t="shared" si="132"/>
        <v>Environmental</v>
      </c>
    </row>
    <row r="1195" spans="1:10">
      <c r="A1195" t="str" cm="1">
        <f t="array" ref="A1195">INDEX(Vendor_Master!$A$2:$A$401, ROUNDUP((ROW()-1)/4, 0))</f>
        <v>VND-299</v>
      </c>
      <c r="B1195" t="str">
        <f t="shared" si="126"/>
        <v>Safety Certificate</v>
      </c>
      <c r="C1195" t="str">
        <f t="shared" si="127"/>
        <v>Yes</v>
      </c>
      <c r="D1195" t="str">
        <f t="shared" si="128"/>
        <v>Yes</v>
      </c>
      <c r="E1195" s="1">
        <v>45811</v>
      </c>
      <c r="F1195" s="1">
        <v>45933</v>
      </c>
      <c r="G1195">
        <f t="shared" ca="1" si="129"/>
        <v>-150</v>
      </c>
      <c r="H1195" t="str">
        <f t="shared" ca="1" si="130"/>
        <v>Expired</v>
      </c>
      <c r="I1195">
        <f t="shared" ca="1" si="131"/>
        <v>1</v>
      </c>
      <c r="J1195" t="str">
        <f t="shared" si="132"/>
        <v>Safety</v>
      </c>
    </row>
    <row r="1196" spans="1:10">
      <c r="A1196" t="str" cm="1">
        <f t="array" ref="A1196">INDEX(Vendor_Master!$A$2:$A$401, ROUNDUP((ROW()-1)/4, 0))</f>
        <v>VND-299</v>
      </c>
      <c r="B1196" t="str">
        <f t="shared" si="126"/>
        <v>Environmental Policy</v>
      </c>
      <c r="C1196" t="str">
        <f t="shared" si="127"/>
        <v>Yes</v>
      </c>
      <c r="D1196" t="str">
        <f t="shared" si="128"/>
        <v>Yes</v>
      </c>
      <c r="E1196" s="1">
        <v>45972</v>
      </c>
      <c r="F1196" s="1">
        <v>45977</v>
      </c>
      <c r="G1196">
        <f t="shared" ca="1" si="129"/>
        <v>-106</v>
      </c>
      <c r="H1196" t="str">
        <f t="shared" ca="1" si="130"/>
        <v>Expired</v>
      </c>
      <c r="I1196">
        <f t="shared" ca="1" si="131"/>
        <v>1</v>
      </c>
      <c r="J1196" t="str">
        <f t="shared" si="132"/>
        <v>Environmental</v>
      </c>
    </row>
    <row r="1197" spans="1:10">
      <c r="A1197" t="str" cm="1">
        <f t="array" ref="A1197">INDEX(Vendor_Master!$A$2:$A$401, ROUNDUP((ROW()-1)/4, 0))</f>
        <v>VND-299</v>
      </c>
      <c r="B1197" t="str">
        <f t="shared" si="126"/>
        <v>Sustainability Disclosure</v>
      </c>
      <c r="C1197" t="str">
        <f t="shared" si="127"/>
        <v>Yes</v>
      </c>
      <c r="D1197" t="str">
        <f t="shared" si="128"/>
        <v>Yes</v>
      </c>
      <c r="E1197" s="1">
        <v>45955</v>
      </c>
      <c r="F1197" s="1">
        <v>45903</v>
      </c>
      <c r="G1197">
        <f t="shared" ca="1" si="129"/>
        <v>-180</v>
      </c>
      <c r="H1197" t="str">
        <f t="shared" ca="1" si="130"/>
        <v>Expired</v>
      </c>
      <c r="I1197">
        <f t="shared" ca="1" si="131"/>
        <v>1</v>
      </c>
      <c r="J1197" t="str">
        <f t="shared" si="132"/>
        <v>Environmental</v>
      </c>
    </row>
    <row r="1198" spans="1:10">
      <c r="A1198" t="str" cm="1">
        <f t="array" ref="A1198">INDEX(Vendor_Master!$A$2:$A$401, ROUNDUP((ROW()-1)/4, 0))</f>
        <v>VND-300</v>
      </c>
      <c r="B1198" t="str">
        <f t="shared" si="126"/>
        <v>ISO 14001</v>
      </c>
      <c r="C1198" t="str">
        <f t="shared" si="127"/>
        <v>Yes</v>
      </c>
      <c r="D1198" t="str">
        <f t="shared" si="128"/>
        <v>Yes</v>
      </c>
      <c r="E1198" s="1">
        <v>45494</v>
      </c>
      <c r="F1198" s="1">
        <v>45933</v>
      </c>
      <c r="G1198">
        <f t="shared" ca="1" si="129"/>
        <v>-150</v>
      </c>
      <c r="H1198" t="str">
        <f t="shared" ca="1" si="130"/>
        <v>Expired</v>
      </c>
      <c r="I1198">
        <f t="shared" ca="1" si="131"/>
        <v>1</v>
      </c>
      <c r="J1198" t="str">
        <f t="shared" si="132"/>
        <v>Environmental</v>
      </c>
    </row>
    <row r="1199" spans="1:10">
      <c r="A1199" t="str" cm="1">
        <f t="array" ref="A1199">INDEX(Vendor_Master!$A$2:$A$401, ROUNDUP((ROW()-1)/4, 0))</f>
        <v>VND-300</v>
      </c>
      <c r="B1199" t="str">
        <f t="shared" si="126"/>
        <v>Safety Certificate</v>
      </c>
      <c r="C1199" t="str">
        <f t="shared" si="127"/>
        <v>Yes</v>
      </c>
      <c r="D1199" t="str">
        <f t="shared" si="128"/>
        <v>Yes</v>
      </c>
      <c r="E1199" s="1">
        <v>45935</v>
      </c>
      <c r="F1199" s="1">
        <v>46041</v>
      </c>
      <c r="G1199">
        <f t="shared" ca="1" si="129"/>
        <v>-42</v>
      </c>
      <c r="H1199" t="str">
        <f t="shared" ca="1" si="130"/>
        <v>Expired</v>
      </c>
      <c r="I1199">
        <f t="shared" ca="1" si="131"/>
        <v>1</v>
      </c>
      <c r="J1199" t="str">
        <f t="shared" si="132"/>
        <v>Safety</v>
      </c>
    </row>
    <row r="1200" spans="1:10">
      <c r="A1200" t="str" cm="1">
        <f t="array" ref="A1200">INDEX(Vendor_Master!$A$2:$A$401, ROUNDUP((ROW()-1)/4, 0))</f>
        <v>VND-300</v>
      </c>
      <c r="B1200" t="str">
        <f t="shared" si="126"/>
        <v>Environmental Policy</v>
      </c>
      <c r="C1200" t="str">
        <f t="shared" si="127"/>
        <v>Yes</v>
      </c>
      <c r="D1200" t="str">
        <f t="shared" si="128"/>
        <v>Yes</v>
      </c>
      <c r="E1200" s="1">
        <v>45754</v>
      </c>
      <c r="F1200" s="1">
        <v>46022</v>
      </c>
      <c r="G1200">
        <f t="shared" ca="1" si="129"/>
        <v>-61</v>
      </c>
      <c r="H1200" t="str">
        <f t="shared" ca="1" si="130"/>
        <v>Expired</v>
      </c>
      <c r="I1200">
        <f t="shared" ca="1" si="131"/>
        <v>1</v>
      </c>
      <c r="J1200" t="str">
        <f t="shared" si="132"/>
        <v>Environmental</v>
      </c>
    </row>
    <row r="1201" spans="1:10">
      <c r="A1201" t="str" cm="1">
        <f t="array" ref="A1201">INDEX(Vendor_Master!$A$2:$A$401, ROUNDUP((ROW()-1)/4, 0))</f>
        <v>VND-300</v>
      </c>
      <c r="B1201" t="str">
        <f t="shared" si="126"/>
        <v>Sustainability Disclosure</v>
      </c>
      <c r="C1201" t="str">
        <f t="shared" si="127"/>
        <v>Yes</v>
      </c>
      <c r="D1201" t="str">
        <f t="shared" si="128"/>
        <v>Yes</v>
      </c>
      <c r="E1201" s="1">
        <v>45734</v>
      </c>
      <c r="F1201" s="1">
        <v>45948</v>
      </c>
      <c r="G1201">
        <f t="shared" ca="1" si="129"/>
        <v>-135</v>
      </c>
      <c r="H1201" t="str">
        <f t="shared" ca="1" si="130"/>
        <v>Expired</v>
      </c>
      <c r="I1201">
        <f t="shared" ca="1" si="131"/>
        <v>1</v>
      </c>
      <c r="J1201" t="str">
        <f t="shared" si="132"/>
        <v>Environmental</v>
      </c>
    </row>
    <row r="1202" spans="1:10">
      <c r="A1202" t="str" cm="1">
        <f t="array" ref="A1202">INDEX(Vendor_Master!$A$2:$A$401, ROUNDUP((ROW()-1)/4, 0))</f>
        <v>VND-301</v>
      </c>
      <c r="B1202" t="str">
        <f t="shared" si="126"/>
        <v>ISO 14001</v>
      </c>
      <c r="C1202" t="str">
        <f t="shared" si="127"/>
        <v>Yes</v>
      </c>
      <c r="D1202" t="str">
        <f t="shared" si="128"/>
        <v>Yes</v>
      </c>
      <c r="E1202" s="1">
        <v>45708</v>
      </c>
      <c r="F1202" s="1">
        <v>46077</v>
      </c>
      <c r="G1202">
        <f t="shared" ca="1" si="129"/>
        <v>-6</v>
      </c>
      <c r="H1202" t="str">
        <f t="shared" ca="1" si="130"/>
        <v>Expired</v>
      </c>
      <c r="I1202">
        <f t="shared" ca="1" si="131"/>
        <v>1</v>
      </c>
      <c r="J1202" t="str">
        <f t="shared" si="132"/>
        <v>Environmental</v>
      </c>
    </row>
    <row r="1203" spans="1:10">
      <c r="A1203" t="str" cm="1">
        <f t="array" ref="A1203">INDEX(Vendor_Master!$A$2:$A$401, ROUNDUP((ROW()-1)/4, 0))</f>
        <v>VND-301</v>
      </c>
      <c r="B1203" t="str">
        <f t="shared" si="126"/>
        <v>Safety Certificate</v>
      </c>
      <c r="C1203" t="str">
        <f t="shared" si="127"/>
        <v>Yes</v>
      </c>
      <c r="D1203" t="str">
        <f t="shared" si="128"/>
        <v>Yes</v>
      </c>
      <c r="E1203" s="1">
        <v>45936</v>
      </c>
      <c r="F1203" s="1">
        <v>45906</v>
      </c>
      <c r="G1203">
        <f t="shared" ca="1" si="129"/>
        <v>-177</v>
      </c>
      <c r="H1203" t="str">
        <f t="shared" ca="1" si="130"/>
        <v>Expired</v>
      </c>
      <c r="I1203">
        <f t="shared" ca="1" si="131"/>
        <v>1</v>
      </c>
      <c r="J1203" t="str">
        <f t="shared" si="132"/>
        <v>Safety</v>
      </c>
    </row>
    <row r="1204" spans="1:10">
      <c r="A1204" t="str" cm="1">
        <f t="array" ref="A1204">INDEX(Vendor_Master!$A$2:$A$401, ROUNDUP((ROW()-1)/4, 0))</f>
        <v>VND-301</v>
      </c>
      <c r="B1204" t="str">
        <f t="shared" si="126"/>
        <v>Environmental Policy</v>
      </c>
      <c r="C1204" t="str">
        <f t="shared" si="127"/>
        <v>Yes</v>
      </c>
      <c r="D1204" t="str">
        <f t="shared" si="128"/>
        <v>Yes</v>
      </c>
      <c r="E1204" s="1">
        <v>45458</v>
      </c>
      <c r="F1204" s="1">
        <v>45946</v>
      </c>
      <c r="G1204">
        <f t="shared" ca="1" si="129"/>
        <v>-137</v>
      </c>
      <c r="H1204" t="str">
        <f t="shared" ca="1" si="130"/>
        <v>Expired</v>
      </c>
      <c r="I1204">
        <f t="shared" ca="1" si="131"/>
        <v>1</v>
      </c>
      <c r="J1204" t="str">
        <f t="shared" si="132"/>
        <v>Environmental</v>
      </c>
    </row>
    <row r="1205" spans="1:10">
      <c r="A1205" t="str" cm="1">
        <f t="array" ref="A1205">INDEX(Vendor_Master!$A$2:$A$401, ROUNDUP((ROW()-1)/4, 0))</f>
        <v>VND-301</v>
      </c>
      <c r="B1205" t="str">
        <f t="shared" si="126"/>
        <v>Sustainability Disclosure</v>
      </c>
      <c r="C1205" t="str">
        <f t="shared" si="127"/>
        <v>Yes</v>
      </c>
      <c r="D1205" t="str">
        <f t="shared" si="128"/>
        <v>Yes</v>
      </c>
      <c r="E1205" s="1">
        <v>45799</v>
      </c>
      <c r="F1205" s="1">
        <v>45973</v>
      </c>
      <c r="G1205">
        <f t="shared" ca="1" si="129"/>
        <v>-110</v>
      </c>
      <c r="H1205" t="str">
        <f t="shared" ca="1" si="130"/>
        <v>Expired</v>
      </c>
      <c r="I1205">
        <f t="shared" ca="1" si="131"/>
        <v>1</v>
      </c>
      <c r="J1205" t="str">
        <f t="shared" si="132"/>
        <v>Environmental</v>
      </c>
    </row>
    <row r="1206" spans="1:10">
      <c r="A1206" t="str" cm="1">
        <f t="array" ref="A1206">INDEX(Vendor_Master!$A$2:$A$401, ROUNDUP((ROW()-1)/4, 0))</f>
        <v>VND-302</v>
      </c>
      <c r="B1206" t="str">
        <f t="shared" si="126"/>
        <v>ISO 14001</v>
      </c>
      <c r="C1206" t="str">
        <f t="shared" si="127"/>
        <v>Yes</v>
      </c>
      <c r="D1206" t="str">
        <f t="shared" si="128"/>
        <v>Yes</v>
      </c>
      <c r="E1206" s="1">
        <v>45599</v>
      </c>
      <c r="F1206" s="1">
        <v>46010</v>
      </c>
      <c r="G1206">
        <f t="shared" ca="1" si="129"/>
        <v>-73</v>
      </c>
      <c r="H1206" t="str">
        <f t="shared" ca="1" si="130"/>
        <v>Expired</v>
      </c>
      <c r="I1206">
        <f t="shared" ca="1" si="131"/>
        <v>1</v>
      </c>
      <c r="J1206" t="str">
        <f t="shared" si="132"/>
        <v>Environmental</v>
      </c>
    </row>
    <row r="1207" spans="1:10">
      <c r="A1207" t="str" cm="1">
        <f t="array" ref="A1207">INDEX(Vendor_Master!$A$2:$A$401, ROUNDUP((ROW()-1)/4, 0))</f>
        <v>VND-302</v>
      </c>
      <c r="B1207" t="str">
        <f t="shared" si="126"/>
        <v>Safety Certificate</v>
      </c>
      <c r="C1207" t="str">
        <f t="shared" si="127"/>
        <v>Yes</v>
      </c>
      <c r="D1207" t="str">
        <f t="shared" si="128"/>
        <v>Yes</v>
      </c>
      <c r="E1207" s="1">
        <v>45591</v>
      </c>
      <c r="F1207" s="1">
        <v>46039</v>
      </c>
      <c r="G1207">
        <f t="shared" ca="1" si="129"/>
        <v>-44</v>
      </c>
      <c r="H1207" t="str">
        <f t="shared" ca="1" si="130"/>
        <v>Expired</v>
      </c>
      <c r="I1207">
        <f t="shared" ca="1" si="131"/>
        <v>1</v>
      </c>
      <c r="J1207" t="str">
        <f t="shared" si="132"/>
        <v>Safety</v>
      </c>
    </row>
    <row r="1208" spans="1:10">
      <c r="A1208" t="str" cm="1">
        <f t="array" ref="A1208">INDEX(Vendor_Master!$A$2:$A$401, ROUNDUP((ROW()-1)/4, 0))</f>
        <v>VND-302</v>
      </c>
      <c r="B1208" t="str">
        <f t="shared" si="126"/>
        <v>Environmental Policy</v>
      </c>
      <c r="C1208" t="str">
        <f t="shared" si="127"/>
        <v>Yes</v>
      </c>
      <c r="D1208" t="str">
        <f t="shared" si="128"/>
        <v>Yes</v>
      </c>
      <c r="E1208" s="1">
        <v>45858</v>
      </c>
      <c r="F1208" s="1">
        <v>45947</v>
      </c>
      <c r="G1208">
        <f t="shared" ca="1" si="129"/>
        <v>-136</v>
      </c>
      <c r="H1208" t="str">
        <f t="shared" ca="1" si="130"/>
        <v>Expired</v>
      </c>
      <c r="I1208">
        <f t="shared" ca="1" si="131"/>
        <v>1</v>
      </c>
      <c r="J1208" t="str">
        <f t="shared" si="132"/>
        <v>Environmental</v>
      </c>
    </row>
    <row r="1209" spans="1:10">
      <c r="A1209" t="str" cm="1">
        <f t="array" ref="A1209">INDEX(Vendor_Master!$A$2:$A$401, ROUNDUP((ROW()-1)/4, 0))</f>
        <v>VND-302</v>
      </c>
      <c r="B1209" t="str">
        <f t="shared" si="126"/>
        <v>Sustainability Disclosure</v>
      </c>
      <c r="C1209" t="str">
        <f t="shared" si="127"/>
        <v>Yes</v>
      </c>
      <c r="D1209" t="str">
        <f t="shared" si="128"/>
        <v>Yes</v>
      </c>
      <c r="E1209" s="1">
        <v>45566</v>
      </c>
      <c r="F1209" s="1">
        <v>46009</v>
      </c>
      <c r="G1209">
        <f t="shared" ca="1" si="129"/>
        <v>-74</v>
      </c>
      <c r="H1209" t="str">
        <f t="shared" ca="1" si="130"/>
        <v>Expired</v>
      </c>
      <c r="I1209">
        <f t="shared" ca="1" si="131"/>
        <v>1</v>
      </c>
      <c r="J1209" t="str">
        <f t="shared" si="132"/>
        <v>Environmental</v>
      </c>
    </row>
    <row r="1210" spans="1:10">
      <c r="A1210" t="str" cm="1">
        <f t="array" ref="A1210">INDEX(Vendor_Master!$A$2:$A$401, ROUNDUP((ROW()-1)/4, 0))</f>
        <v>VND-303</v>
      </c>
      <c r="B1210" t="str">
        <f t="shared" si="126"/>
        <v>ISO 14001</v>
      </c>
      <c r="C1210" t="str">
        <f t="shared" si="127"/>
        <v>Yes</v>
      </c>
      <c r="D1210" t="str">
        <f t="shared" si="128"/>
        <v>Yes</v>
      </c>
      <c r="E1210" s="1">
        <v>45862</v>
      </c>
      <c r="F1210" s="1">
        <v>46018</v>
      </c>
      <c r="G1210">
        <f t="shared" ca="1" si="129"/>
        <v>-65</v>
      </c>
      <c r="H1210" t="str">
        <f t="shared" ca="1" si="130"/>
        <v>Expired</v>
      </c>
      <c r="I1210">
        <f t="shared" ca="1" si="131"/>
        <v>1</v>
      </c>
      <c r="J1210" t="str">
        <f t="shared" si="132"/>
        <v>Environmental</v>
      </c>
    </row>
    <row r="1211" spans="1:10">
      <c r="A1211" t="str" cm="1">
        <f t="array" ref="A1211">INDEX(Vendor_Master!$A$2:$A$401, ROUNDUP((ROW()-1)/4, 0))</f>
        <v>VND-303</v>
      </c>
      <c r="B1211" t="str">
        <f t="shared" si="126"/>
        <v>Safety Certificate</v>
      </c>
      <c r="C1211" t="str">
        <f t="shared" si="127"/>
        <v>Yes</v>
      </c>
      <c r="D1211" t="str">
        <f t="shared" si="128"/>
        <v>Yes</v>
      </c>
      <c r="E1211" s="1">
        <v>45551</v>
      </c>
      <c r="F1211" s="1">
        <v>46067</v>
      </c>
      <c r="G1211">
        <f t="shared" ca="1" si="129"/>
        <v>-16</v>
      </c>
      <c r="H1211" t="str">
        <f t="shared" ca="1" si="130"/>
        <v>Expired</v>
      </c>
      <c r="I1211">
        <f t="shared" ca="1" si="131"/>
        <v>1</v>
      </c>
      <c r="J1211" t="str">
        <f t="shared" si="132"/>
        <v>Safety</v>
      </c>
    </row>
    <row r="1212" spans="1:10">
      <c r="A1212" t="str" cm="1">
        <f t="array" ref="A1212">INDEX(Vendor_Master!$A$2:$A$401, ROUNDUP((ROW()-1)/4, 0))</f>
        <v>VND-303</v>
      </c>
      <c r="B1212" t="str">
        <f t="shared" si="126"/>
        <v>Environmental Policy</v>
      </c>
      <c r="C1212" t="str">
        <f t="shared" si="127"/>
        <v>Yes</v>
      </c>
      <c r="D1212" t="str">
        <f t="shared" si="128"/>
        <v>Yes</v>
      </c>
      <c r="E1212" s="1">
        <v>45508</v>
      </c>
      <c r="F1212" s="1">
        <v>45936</v>
      </c>
      <c r="G1212">
        <f t="shared" ca="1" si="129"/>
        <v>-147</v>
      </c>
      <c r="H1212" t="str">
        <f t="shared" ca="1" si="130"/>
        <v>Expired</v>
      </c>
      <c r="I1212">
        <f t="shared" ca="1" si="131"/>
        <v>1</v>
      </c>
      <c r="J1212" t="str">
        <f t="shared" si="132"/>
        <v>Environmental</v>
      </c>
    </row>
    <row r="1213" spans="1:10">
      <c r="A1213" t="str" cm="1">
        <f t="array" ref="A1213">INDEX(Vendor_Master!$A$2:$A$401, ROUNDUP((ROW()-1)/4, 0))</f>
        <v>VND-303</v>
      </c>
      <c r="B1213" t="str">
        <f t="shared" si="126"/>
        <v>Sustainability Disclosure</v>
      </c>
      <c r="C1213" t="str">
        <f t="shared" si="127"/>
        <v>Yes</v>
      </c>
      <c r="D1213" t="str">
        <f t="shared" si="128"/>
        <v>Yes</v>
      </c>
      <c r="E1213" s="1">
        <v>45780</v>
      </c>
      <c r="F1213" s="1">
        <v>46057</v>
      </c>
      <c r="G1213">
        <f t="shared" ca="1" si="129"/>
        <v>-26</v>
      </c>
      <c r="H1213" t="str">
        <f t="shared" ca="1" si="130"/>
        <v>Expired</v>
      </c>
      <c r="I1213">
        <f t="shared" ca="1" si="131"/>
        <v>1</v>
      </c>
      <c r="J1213" t="str">
        <f t="shared" si="132"/>
        <v>Environmental</v>
      </c>
    </row>
    <row r="1214" spans="1:10">
      <c r="A1214" t="str" cm="1">
        <f t="array" ref="A1214">INDEX(Vendor_Master!$A$2:$A$401, ROUNDUP((ROW()-1)/4, 0))</f>
        <v>VND-304</v>
      </c>
      <c r="B1214" t="str">
        <f t="shared" si="126"/>
        <v>ISO 14001</v>
      </c>
      <c r="C1214" t="str">
        <f t="shared" si="127"/>
        <v>Yes</v>
      </c>
      <c r="D1214" t="str">
        <f t="shared" si="128"/>
        <v>Yes</v>
      </c>
      <c r="E1214" s="1">
        <v>45750</v>
      </c>
      <c r="F1214" s="1">
        <v>46005</v>
      </c>
      <c r="G1214">
        <f t="shared" ca="1" si="129"/>
        <v>-78</v>
      </c>
      <c r="H1214" t="str">
        <f t="shared" ca="1" si="130"/>
        <v>Expired</v>
      </c>
      <c r="I1214">
        <f t="shared" ca="1" si="131"/>
        <v>1</v>
      </c>
      <c r="J1214" t="str">
        <f t="shared" si="132"/>
        <v>Environmental</v>
      </c>
    </row>
    <row r="1215" spans="1:10">
      <c r="A1215" t="str" cm="1">
        <f t="array" ref="A1215">INDEX(Vendor_Master!$A$2:$A$401, ROUNDUP((ROW()-1)/4, 0))</f>
        <v>VND-304</v>
      </c>
      <c r="B1215" t="str">
        <f t="shared" si="126"/>
        <v>Safety Certificate</v>
      </c>
      <c r="C1215" t="str">
        <f t="shared" si="127"/>
        <v>Yes</v>
      </c>
      <c r="D1215" t="str">
        <f t="shared" si="128"/>
        <v>Yes</v>
      </c>
      <c r="E1215" s="1">
        <v>45895</v>
      </c>
      <c r="F1215" s="1">
        <v>45947</v>
      </c>
      <c r="G1215">
        <f t="shared" ca="1" si="129"/>
        <v>-136</v>
      </c>
      <c r="H1215" t="str">
        <f t="shared" ca="1" si="130"/>
        <v>Expired</v>
      </c>
      <c r="I1215">
        <f t="shared" ca="1" si="131"/>
        <v>1</v>
      </c>
      <c r="J1215" t="str">
        <f t="shared" si="132"/>
        <v>Safety</v>
      </c>
    </row>
    <row r="1216" spans="1:10">
      <c r="A1216" t="str" cm="1">
        <f t="array" ref="A1216">INDEX(Vendor_Master!$A$2:$A$401, ROUNDUP((ROW()-1)/4, 0))</f>
        <v>VND-304</v>
      </c>
      <c r="B1216" t="str">
        <f t="shared" si="126"/>
        <v>Environmental Policy</v>
      </c>
      <c r="C1216" t="str">
        <f t="shared" si="127"/>
        <v>Yes</v>
      </c>
      <c r="D1216" t="str">
        <f t="shared" si="128"/>
        <v>Yes</v>
      </c>
      <c r="E1216" s="1">
        <v>45647</v>
      </c>
      <c r="F1216" s="1">
        <v>46062</v>
      </c>
      <c r="G1216">
        <f t="shared" ca="1" si="129"/>
        <v>-21</v>
      </c>
      <c r="H1216" t="str">
        <f t="shared" ca="1" si="130"/>
        <v>Expired</v>
      </c>
      <c r="I1216">
        <f t="shared" ca="1" si="131"/>
        <v>1</v>
      </c>
      <c r="J1216" t="str">
        <f t="shared" si="132"/>
        <v>Environmental</v>
      </c>
    </row>
    <row r="1217" spans="1:10">
      <c r="A1217" t="str" cm="1">
        <f t="array" ref="A1217">INDEX(Vendor_Master!$A$2:$A$401, ROUNDUP((ROW()-1)/4, 0))</f>
        <v>VND-304</v>
      </c>
      <c r="B1217" t="str">
        <f t="shared" si="126"/>
        <v>Sustainability Disclosure</v>
      </c>
      <c r="C1217" t="str">
        <f t="shared" si="127"/>
        <v>Yes</v>
      </c>
      <c r="D1217" t="str">
        <f t="shared" si="128"/>
        <v>Yes</v>
      </c>
      <c r="E1217" s="1">
        <v>45654</v>
      </c>
      <c r="F1217" s="1">
        <v>45921</v>
      </c>
      <c r="G1217">
        <f t="shared" ca="1" si="129"/>
        <v>-162</v>
      </c>
      <c r="H1217" t="str">
        <f t="shared" ca="1" si="130"/>
        <v>Expired</v>
      </c>
      <c r="I1217">
        <f t="shared" ca="1" si="131"/>
        <v>1</v>
      </c>
      <c r="J1217" t="str">
        <f t="shared" si="132"/>
        <v>Environmental</v>
      </c>
    </row>
    <row r="1218" spans="1:10">
      <c r="A1218" t="str" cm="1">
        <f t="array" ref="A1218">INDEX(Vendor_Master!$A$2:$A$401, ROUNDUP((ROW()-1)/4, 0))</f>
        <v>VND-305</v>
      </c>
      <c r="B1218" t="str">
        <f t="shared" ref="B1218:B1281" si="133">CHOOSE(MOD(ROW()-2,4)+1,"ISO 14001","Safety Certificate","Environmental Policy","Sustainability Disclosure")</f>
        <v>ISO 14001</v>
      </c>
      <c r="C1218" t="str">
        <f t="shared" ref="C1218:C1281" si="134">"Yes"</f>
        <v>Yes</v>
      </c>
      <c r="D1218" t="str">
        <f t="shared" ref="D1218:D1281" si="135">IF(ROW()-1&lt;=1280,"Yes","No")</f>
        <v>Yes</v>
      </c>
      <c r="E1218" s="1">
        <v>45801</v>
      </c>
      <c r="F1218" s="1">
        <v>45910</v>
      </c>
      <c r="G1218">
        <f t="shared" ref="G1218:G1281" ca="1" si="136">IF($F1218="","",$F1218-TODAY())</f>
        <v>-173</v>
      </c>
      <c r="H1218" t="str">
        <f t="shared" ref="H1218:H1281" ca="1" si="137">IF($C1218="No","Not Required",
IF($D1218="No","Missing",
IF($F1218&lt;TODAY(),"Expired",
IF($F1218&lt;=TODAY()+30,"Expiring Soon","Active"))))</f>
        <v>Expired</v>
      </c>
      <c r="I1218">
        <f t="shared" ref="I1218:I1281" ca="1" si="138">IF(OR($H1218="Missing",$H1218="Expired",$H1218="Expiring Soon"),1,0)</f>
        <v>1</v>
      </c>
      <c r="J1218" t="str">
        <f t="shared" si="132"/>
        <v>Environmental</v>
      </c>
    </row>
    <row r="1219" spans="1:10">
      <c r="A1219" t="str" cm="1">
        <f t="array" ref="A1219">INDEX(Vendor_Master!$A$2:$A$401, ROUNDUP((ROW()-1)/4, 0))</f>
        <v>VND-305</v>
      </c>
      <c r="B1219" t="str">
        <f t="shared" si="133"/>
        <v>Safety Certificate</v>
      </c>
      <c r="C1219" t="str">
        <f t="shared" si="134"/>
        <v>Yes</v>
      </c>
      <c r="D1219" t="str">
        <f t="shared" si="135"/>
        <v>Yes</v>
      </c>
      <c r="E1219" s="1">
        <v>45507</v>
      </c>
      <c r="F1219" s="1">
        <v>46058</v>
      </c>
      <c r="G1219">
        <f t="shared" ca="1" si="136"/>
        <v>-25</v>
      </c>
      <c r="H1219" t="str">
        <f t="shared" ca="1" si="137"/>
        <v>Expired</v>
      </c>
      <c r="I1219">
        <f t="shared" ca="1" si="138"/>
        <v>1</v>
      </c>
      <c r="J1219" t="str">
        <f t="shared" ref="J1219:J1282" si="139">IF(B1219="ISO 14001","Environmental",
 IF(B1219="Environmental Policy","Environmental",
 IF(B1219="Sustainability Disclosure","Environmental",
 IF(B1219="Safety Certificate","Safety","Regulatory"))))</f>
        <v>Safety</v>
      </c>
    </row>
    <row r="1220" spans="1:10">
      <c r="A1220" t="str" cm="1">
        <f t="array" ref="A1220">INDEX(Vendor_Master!$A$2:$A$401, ROUNDUP((ROW()-1)/4, 0))</f>
        <v>VND-305</v>
      </c>
      <c r="B1220" t="str">
        <f t="shared" si="133"/>
        <v>Environmental Policy</v>
      </c>
      <c r="C1220" t="str">
        <f t="shared" si="134"/>
        <v>Yes</v>
      </c>
      <c r="D1220" t="str">
        <f t="shared" si="135"/>
        <v>Yes</v>
      </c>
      <c r="E1220" s="1">
        <v>45459</v>
      </c>
      <c r="F1220" s="1">
        <v>45986</v>
      </c>
      <c r="G1220">
        <f t="shared" ca="1" si="136"/>
        <v>-97</v>
      </c>
      <c r="H1220" t="str">
        <f t="shared" ca="1" si="137"/>
        <v>Expired</v>
      </c>
      <c r="I1220">
        <f t="shared" ca="1" si="138"/>
        <v>1</v>
      </c>
      <c r="J1220" t="str">
        <f t="shared" si="139"/>
        <v>Environmental</v>
      </c>
    </row>
    <row r="1221" spans="1:10">
      <c r="A1221" t="str" cm="1">
        <f t="array" ref="A1221">INDEX(Vendor_Master!$A$2:$A$401, ROUNDUP((ROW()-1)/4, 0))</f>
        <v>VND-305</v>
      </c>
      <c r="B1221" t="str">
        <f t="shared" si="133"/>
        <v>Sustainability Disclosure</v>
      </c>
      <c r="C1221" t="str">
        <f t="shared" si="134"/>
        <v>Yes</v>
      </c>
      <c r="D1221" t="str">
        <f t="shared" si="135"/>
        <v>Yes</v>
      </c>
      <c r="E1221" s="1">
        <v>45487</v>
      </c>
      <c r="F1221" s="1">
        <v>46039</v>
      </c>
      <c r="G1221">
        <f t="shared" ca="1" si="136"/>
        <v>-44</v>
      </c>
      <c r="H1221" t="str">
        <f t="shared" ca="1" si="137"/>
        <v>Expired</v>
      </c>
      <c r="I1221">
        <f t="shared" ca="1" si="138"/>
        <v>1</v>
      </c>
      <c r="J1221" t="str">
        <f t="shared" si="139"/>
        <v>Environmental</v>
      </c>
    </row>
    <row r="1222" spans="1:10">
      <c r="A1222" t="str" cm="1">
        <f t="array" ref="A1222">INDEX(Vendor_Master!$A$2:$A$401, ROUNDUP((ROW()-1)/4, 0))</f>
        <v>VND-306</v>
      </c>
      <c r="B1222" t="str">
        <f t="shared" si="133"/>
        <v>ISO 14001</v>
      </c>
      <c r="C1222" t="str">
        <f t="shared" si="134"/>
        <v>Yes</v>
      </c>
      <c r="D1222" t="str">
        <f t="shared" si="135"/>
        <v>Yes</v>
      </c>
      <c r="E1222" s="1">
        <v>45531</v>
      </c>
      <c r="F1222" s="1">
        <v>46018</v>
      </c>
      <c r="G1222">
        <f t="shared" ca="1" si="136"/>
        <v>-65</v>
      </c>
      <c r="H1222" t="str">
        <f t="shared" ca="1" si="137"/>
        <v>Expired</v>
      </c>
      <c r="I1222">
        <f t="shared" ca="1" si="138"/>
        <v>1</v>
      </c>
      <c r="J1222" t="str">
        <f t="shared" si="139"/>
        <v>Environmental</v>
      </c>
    </row>
    <row r="1223" spans="1:10">
      <c r="A1223" t="str" cm="1">
        <f t="array" ref="A1223">INDEX(Vendor_Master!$A$2:$A$401, ROUNDUP((ROW()-1)/4, 0))</f>
        <v>VND-306</v>
      </c>
      <c r="B1223" t="str">
        <f t="shared" si="133"/>
        <v>Safety Certificate</v>
      </c>
      <c r="C1223" t="str">
        <f t="shared" si="134"/>
        <v>Yes</v>
      </c>
      <c r="D1223" t="str">
        <f t="shared" si="135"/>
        <v>Yes</v>
      </c>
      <c r="E1223" s="1">
        <v>45425</v>
      </c>
      <c r="F1223" s="1">
        <v>46031</v>
      </c>
      <c r="G1223">
        <f t="shared" ca="1" si="136"/>
        <v>-52</v>
      </c>
      <c r="H1223" t="str">
        <f t="shared" ca="1" si="137"/>
        <v>Expired</v>
      </c>
      <c r="I1223">
        <f t="shared" ca="1" si="138"/>
        <v>1</v>
      </c>
      <c r="J1223" t="str">
        <f t="shared" si="139"/>
        <v>Safety</v>
      </c>
    </row>
    <row r="1224" spans="1:10">
      <c r="A1224" t="str" cm="1">
        <f t="array" ref="A1224">INDEX(Vendor_Master!$A$2:$A$401, ROUNDUP((ROW()-1)/4, 0))</f>
        <v>VND-306</v>
      </c>
      <c r="B1224" t="str">
        <f t="shared" si="133"/>
        <v>Environmental Policy</v>
      </c>
      <c r="C1224" t="str">
        <f t="shared" si="134"/>
        <v>Yes</v>
      </c>
      <c r="D1224" t="str">
        <f t="shared" si="135"/>
        <v>Yes</v>
      </c>
      <c r="E1224" s="1">
        <v>45793</v>
      </c>
      <c r="F1224" s="1">
        <v>45937</v>
      </c>
      <c r="G1224">
        <f t="shared" ca="1" si="136"/>
        <v>-146</v>
      </c>
      <c r="H1224" t="str">
        <f t="shared" ca="1" si="137"/>
        <v>Expired</v>
      </c>
      <c r="I1224">
        <f t="shared" ca="1" si="138"/>
        <v>1</v>
      </c>
      <c r="J1224" t="str">
        <f t="shared" si="139"/>
        <v>Environmental</v>
      </c>
    </row>
    <row r="1225" spans="1:10">
      <c r="A1225" t="str" cm="1">
        <f t="array" ref="A1225">INDEX(Vendor_Master!$A$2:$A$401, ROUNDUP((ROW()-1)/4, 0))</f>
        <v>VND-306</v>
      </c>
      <c r="B1225" t="str">
        <f t="shared" si="133"/>
        <v>Sustainability Disclosure</v>
      </c>
      <c r="C1225" t="str">
        <f t="shared" si="134"/>
        <v>Yes</v>
      </c>
      <c r="D1225" t="str">
        <f t="shared" si="135"/>
        <v>Yes</v>
      </c>
      <c r="E1225" s="1">
        <v>45414</v>
      </c>
      <c r="F1225" s="1">
        <v>46074</v>
      </c>
      <c r="G1225">
        <f t="shared" ca="1" si="136"/>
        <v>-9</v>
      </c>
      <c r="H1225" t="str">
        <f t="shared" ca="1" si="137"/>
        <v>Expired</v>
      </c>
      <c r="I1225">
        <f t="shared" ca="1" si="138"/>
        <v>1</v>
      </c>
      <c r="J1225" t="str">
        <f t="shared" si="139"/>
        <v>Environmental</v>
      </c>
    </row>
    <row r="1226" spans="1:10">
      <c r="A1226" t="str" cm="1">
        <f t="array" ref="A1226">INDEX(Vendor_Master!$A$2:$A$401, ROUNDUP((ROW()-1)/4, 0))</f>
        <v>VND-307</v>
      </c>
      <c r="B1226" t="str">
        <f t="shared" si="133"/>
        <v>ISO 14001</v>
      </c>
      <c r="C1226" t="str">
        <f t="shared" si="134"/>
        <v>Yes</v>
      </c>
      <c r="D1226" t="str">
        <f t="shared" si="135"/>
        <v>Yes</v>
      </c>
      <c r="E1226" s="1">
        <v>45978</v>
      </c>
      <c r="F1226" s="1">
        <v>45984</v>
      </c>
      <c r="G1226">
        <f t="shared" ca="1" si="136"/>
        <v>-99</v>
      </c>
      <c r="H1226" t="str">
        <f t="shared" ca="1" si="137"/>
        <v>Expired</v>
      </c>
      <c r="I1226">
        <f t="shared" ca="1" si="138"/>
        <v>1</v>
      </c>
      <c r="J1226" t="str">
        <f t="shared" si="139"/>
        <v>Environmental</v>
      </c>
    </row>
    <row r="1227" spans="1:10">
      <c r="A1227" t="str" cm="1">
        <f t="array" ref="A1227">INDEX(Vendor_Master!$A$2:$A$401, ROUNDUP((ROW()-1)/4, 0))</f>
        <v>VND-307</v>
      </c>
      <c r="B1227" t="str">
        <f t="shared" si="133"/>
        <v>Safety Certificate</v>
      </c>
      <c r="C1227" t="str">
        <f t="shared" si="134"/>
        <v>Yes</v>
      </c>
      <c r="D1227" t="str">
        <f t="shared" si="135"/>
        <v>Yes</v>
      </c>
      <c r="E1227" s="1">
        <v>45849</v>
      </c>
      <c r="F1227" s="1">
        <v>46041</v>
      </c>
      <c r="G1227">
        <f t="shared" ca="1" si="136"/>
        <v>-42</v>
      </c>
      <c r="H1227" t="str">
        <f t="shared" ca="1" si="137"/>
        <v>Expired</v>
      </c>
      <c r="I1227">
        <f t="shared" ca="1" si="138"/>
        <v>1</v>
      </c>
      <c r="J1227" t="str">
        <f t="shared" si="139"/>
        <v>Safety</v>
      </c>
    </row>
    <row r="1228" spans="1:10">
      <c r="A1228" t="str" cm="1">
        <f t="array" ref="A1228">INDEX(Vendor_Master!$A$2:$A$401, ROUNDUP((ROW()-1)/4, 0))</f>
        <v>VND-307</v>
      </c>
      <c r="B1228" t="str">
        <f t="shared" si="133"/>
        <v>Environmental Policy</v>
      </c>
      <c r="C1228" t="str">
        <f t="shared" si="134"/>
        <v>Yes</v>
      </c>
      <c r="D1228" t="str">
        <f t="shared" si="135"/>
        <v>Yes</v>
      </c>
      <c r="E1228" s="1">
        <v>45838</v>
      </c>
      <c r="F1228" s="1">
        <v>45942</v>
      </c>
      <c r="G1228">
        <f t="shared" ca="1" si="136"/>
        <v>-141</v>
      </c>
      <c r="H1228" t="str">
        <f t="shared" ca="1" si="137"/>
        <v>Expired</v>
      </c>
      <c r="I1228">
        <f t="shared" ca="1" si="138"/>
        <v>1</v>
      </c>
      <c r="J1228" t="str">
        <f t="shared" si="139"/>
        <v>Environmental</v>
      </c>
    </row>
    <row r="1229" spans="1:10">
      <c r="A1229" t="str" cm="1">
        <f t="array" ref="A1229">INDEX(Vendor_Master!$A$2:$A$401, ROUNDUP((ROW()-1)/4, 0))</f>
        <v>VND-307</v>
      </c>
      <c r="B1229" t="str">
        <f t="shared" si="133"/>
        <v>Sustainability Disclosure</v>
      </c>
      <c r="C1229" t="str">
        <f t="shared" si="134"/>
        <v>Yes</v>
      </c>
      <c r="D1229" t="str">
        <f t="shared" si="135"/>
        <v>Yes</v>
      </c>
      <c r="E1229" s="1">
        <v>45856</v>
      </c>
      <c r="F1229" s="1">
        <v>45975</v>
      </c>
      <c r="G1229">
        <f t="shared" ca="1" si="136"/>
        <v>-108</v>
      </c>
      <c r="H1229" t="str">
        <f t="shared" ca="1" si="137"/>
        <v>Expired</v>
      </c>
      <c r="I1229">
        <f t="shared" ca="1" si="138"/>
        <v>1</v>
      </c>
      <c r="J1229" t="str">
        <f t="shared" si="139"/>
        <v>Environmental</v>
      </c>
    </row>
    <row r="1230" spans="1:10">
      <c r="A1230" t="str" cm="1">
        <f t="array" ref="A1230">INDEX(Vendor_Master!$A$2:$A$401, ROUNDUP((ROW()-1)/4, 0))</f>
        <v>VND-308</v>
      </c>
      <c r="B1230" t="str">
        <f t="shared" si="133"/>
        <v>ISO 14001</v>
      </c>
      <c r="C1230" t="str">
        <f t="shared" si="134"/>
        <v>Yes</v>
      </c>
      <c r="D1230" t="str">
        <f t="shared" si="135"/>
        <v>Yes</v>
      </c>
      <c r="E1230" s="1">
        <v>45706</v>
      </c>
      <c r="F1230" s="1">
        <v>45991</v>
      </c>
      <c r="G1230">
        <f t="shared" ca="1" si="136"/>
        <v>-92</v>
      </c>
      <c r="H1230" t="str">
        <f t="shared" ca="1" si="137"/>
        <v>Expired</v>
      </c>
      <c r="I1230">
        <f t="shared" ca="1" si="138"/>
        <v>1</v>
      </c>
      <c r="J1230" t="str">
        <f t="shared" si="139"/>
        <v>Environmental</v>
      </c>
    </row>
    <row r="1231" spans="1:10">
      <c r="A1231" t="str" cm="1">
        <f t="array" ref="A1231">INDEX(Vendor_Master!$A$2:$A$401, ROUNDUP((ROW()-1)/4, 0))</f>
        <v>VND-308</v>
      </c>
      <c r="B1231" t="str">
        <f t="shared" si="133"/>
        <v>Safety Certificate</v>
      </c>
      <c r="C1231" t="str">
        <f t="shared" si="134"/>
        <v>Yes</v>
      </c>
      <c r="D1231" t="str">
        <f t="shared" si="135"/>
        <v>Yes</v>
      </c>
      <c r="E1231" s="1">
        <v>45673</v>
      </c>
      <c r="F1231" s="1">
        <v>45951</v>
      </c>
      <c r="G1231">
        <f t="shared" ca="1" si="136"/>
        <v>-132</v>
      </c>
      <c r="H1231" t="str">
        <f t="shared" ca="1" si="137"/>
        <v>Expired</v>
      </c>
      <c r="I1231">
        <f t="shared" ca="1" si="138"/>
        <v>1</v>
      </c>
      <c r="J1231" t="str">
        <f t="shared" si="139"/>
        <v>Safety</v>
      </c>
    </row>
    <row r="1232" spans="1:10">
      <c r="A1232" t="str" cm="1">
        <f t="array" ref="A1232">INDEX(Vendor_Master!$A$2:$A$401, ROUNDUP((ROW()-1)/4, 0))</f>
        <v>VND-308</v>
      </c>
      <c r="B1232" t="str">
        <f t="shared" si="133"/>
        <v>Environmental Policy</v>
      </c>
      <c r="C1232" t="str">
        <f t="shared" si="134"/>
        <v>Yes</v>
      </c>
      <c r="D1232" t="str">
        <f t="shared" si="135"/>
        <v>Yes</v>
      </c>
      <c r="E1232" s="1">
        <v>45517</v>
      </c>
      <c r="F1232" s="1">
        <v>46053</v>
      </c>
      <c r="G1232">
        <f t="shared" ca="1" si="136"/>
        <v>-30</v>
      </c>
      <c r="H1232" t="str">
        <f t="shared" ca="1" si="137"/>
        <v>Expired</v>
      </c>
      <c r="I1232">
        <f t="shared" ca="1" si="138"/>
        <v>1</v>
      </c>
      <c r="J1232" t="str">
        <f t="shared" si="139"/>
        <v>Environmental</v>
      </c>
    </row>
    <row r="1233" spans="1:10">
      <c r="A1233" t="str" cm="1">
        <f t="array" ref="A1233">INDEX(Vendor_Master!$A$2:$A$401, ROUNDUP((ROW()-1)/4, 0))</f>
        <v>VND-308</v>
      </c>
      <c r="B1233" t="str">
        <f t="shared" si="133"/>
        <v>Sustainability Disclosure</v>
      </c>
      <c r="C1233" t="str">
        <f t="shared" si="134"/>
        <v>Yes</v>
      </c>
      <c r="D1233" t="str">
        <f t="shared" si="135"/>
        <v>Yes</v>
      </c>
      <c r="E1233" s="1">
        <v>46006</v>
      </c>
      <c r="F1233" s="1">
        <v>46032</v>
      </c>
      <c r="G1233">
        <f t="shared" ca="1" si="136"/>
        <v>-51</v>
      </c>
      <c r="H1233" t="str">
        <f t="shared" ca="1" si="137"/>
        <v>Expired</v>
      </c>
      <c r="I1233">
        <f t="shared" ca="1" si="138"/>
        <v>1</v>
      </c>
      <c r="J1233" t="str">
        <f t="shared" si="139"/>
        <v>Environmental</v>
      </c>
    </row>
    <row r="1234" spans="1:10">
      <c r="A1234" t="str" cm="1">
        <f t="array" ref="A1234">INDEX(Vendor_Master!$A$2:$A$401, ROUNDUP((ROW()-1)/4, 0))</f>
        <v>VND-309</v>
      </c>
      <c r="B1234" t="str">
        <f t="shared" si="133"/>
        <v>ISO 14001</v>
      </c>
      <c r="C1234" t="str">
        <f t="shared" si="134"/>
        <v>Yes</v>
      </c>
      <c r="D1234" t="str">
        <f t="shared" si="135"/>
        <v>Yes</v>
      </c>
      <c r="E1234" s="1">
        <v>45963</v>
      </c>
      <c r="F1234" s="1">
        <v>46022</v>
      </c>
      <c r="G1234">
        <f t="shared" ca="1" si="136"/>
        <v>-61</v>
      </c>
      <c r="H1234" t="str">
        <f t="shared" ca="1" si="137"/>
        <v>Expired</v>
      </c>
      <c r="I1234">
        <f t="shared" ca="1" si="138"/>
        <v>1</v>
      </c>
      <c r="J1234" t="str">
        <f t="shared" si="139"/>
        <v>Environmental</v>
      </c>
    </row>
    <row r="1235" spans="1:10">
      <c r="A1235" t="str" cm="1">
        <f t="array" ref="A1235">INDEX(Vendor_Master!$A$2:$A$401, ROUNDUP((ROW()-1)/4, 0))</f>
        <v>VND-309</v>
      </c>
      <c r="B1235" t="str">
        <f t="shared" si="133"/>
        <v>Safety Certificate</v>
      </c>
      <c r="C1235" t="str">
        <f t="shared" si="134"/>
        <v>Yes</v>
      </c>
      <c r="D1235" t="str">
        <f t="shared" si="135"/>
        <v>Yes</v>
      </c>
      <c r="E1235" s="1">
        <v>45494</v>
      </c>
      <c r="F1235" s="1">
        <v>45960</v>
      </c>
      <c r="G1235">
        <f t="shared" ca="1" si="136"/>
        <v>-123</v>
      </c>
      <c r="H1235" t="str">
        <f t="shared" ca="1" si="137"/>
        <v>Expired</v>
      </c>
      <c r="I1235">
        <f t="shared" ca="1" si="138"/>
        <v>1</v>
      </c>
      <c r="J1235" t="str">
        <f t="shared" si="139"/>
        <v>Safety</v>
      </c>
    </row>
    <row r="1236" spans="1:10">
      <c r="A1236" t="str" cm="1">
        <f t="array" ref="A1236">INDEX(Vendor_Master!$A$2:$A$401, ROUNDUP((ROW()-1)/4, 0))</f>
        <v>VND-309</v>
      </c>
      <c r="B1236" t="str">
        <f t="shared" si="133"/>
        <v>Environmental Policy</v>
      </c>
      <c r="C1236" t="str">
        <f t="shared" si="134"/>
        <v>Yes</v>
      </c>
      <c r="D1236" t="str">
        <f t="shared" si="135"/>
        <v>Yes</v>
      </c>
      <c r="E1236" s="1">
        <v>45667</v>
      </c>
      <c r="F1236" s="1">
        <v>45960</v>
      </c>
      <c r="G1236">
        <f t="shared" ca="1" si="136"/>
        <v>-123</v>
      </c>
      <c r="H1236" t="str">
        <f t="shared" ca="1" si="137"/>
        <v>Expired</v>
      </c>
      <c r="I1236">
        <f t="shared" ca="1" si="138"/>
        <v>1</v>
      </c>
      <c r="J1236" t="str">
        <f t="shared" si="139"/>
        <v>Environmental</v>
      </c>
    </row>
    <row r="1237" spans="1:10">
      <c r="A1237" t="str" cm="1">
        <f t="array" ref="A1237">INDEX(Vendor_Master!$A$2:$A$401, ROUNDUP((ROW()-1)/4, 0))</f>
        <v>VND-309</v>
      </c>
      <c r="B1237" t="str">
        <f t="shared" si="133"/>
        <v>Sustainability Disclosure</v>
      </c>
      <c r="C1237" t="str">
        <f t="shared" si="134"/>
        <v>Yes</v>
      </c>
      <c r="D1237" t="str">
        <f t="shared" si="135"/>
        <v>Yes</v>
      </c>
      <c r="E1237" s="1">
        <v>45540</v>
      </c>
      <c r="F1237" s="1">
        <v>45946</v>
      </c>
      <c r="G1237">
        <f t="shared" ca="1" si="136"/>
        <v>-137</v>
      </c>
      <c r="H1237" t="str">
        <f t="shared" ca="1" si="137"/>
        <v>Expired</v>
      </c>
      <c r="I1237">
        <f t="shared" ca="1" si="138"/>
        <v>1</v>
      </c>
      <c r="J1237" t="str">
        <f t="shared" si="139"/>
        <v>Environmental</v>
      </c>
    </row>
    <row r="1238" spans="1:10">
      <c r="A1238" t="str" cm="1">
        <f t="array" ref="A1238">INDEX(Vendor_Master!$A$2:$A$401, ROUNDUP((ROW()-1)/4, 0))</f>
        <v>VND-310</v>
      </c>
      <c r="B1238" t="str">
        <f t="shared" si="133"/>
        <v>ISO 14001</v>
      </c>
      <c r="C1238" t="str">
        <f t="shared" si="134"/>
        <v>Yes</v>
      </c>
      <c r="D1238" t="str">
        <f t="shared" si="135"/>
        <v>Yes</v>
      </c>
      <c r="E1238" s="1">
        <v>45579</v>
      </c>
      <c r="F1238" s="1">
        <v>45936</v>
      </c>
      <c r="G1238">
        <f t="shared" ca="1" si="136"/>
        <v>-147</v>
      </c>
      <c r="H1238" t="str">
        <f t="shared" ca="1" si="137"/>
        <v>Expired</v>
      </c>
      <c r="I1238">
        <f t="shared" ca="1" si="138"/>
        <v>1</v>
      </c>
      <c r="J1238" t="str">
        <f t="shared" si="139"/>
        <v>Environmental</v>
      </c>
    </row>
    <row r="1239" spans="1:10">
      <c r="A1239" t="str" cm="1">
        <f t="array" ref="A1239">INDEX(Vendor_Master!$A$2:$A$401, ROUNDUP((ROW()-1)/4, 0))</f>
        <v>VND-310</v>
      </c>
      <c r="B1239" t="str">
        <f t="shared" si="133"/>
        <v>Safety Certificate</v>
      </c>
      <c r="C1239" t="str">
        <f t="shared" si="134"/>
        <v>Yes</v>
      </c>
      <c r="D1239" t="str">
        <f t="shared" si="135"/>
        <v>Yes</v>
      </c>
      <c r="E1239" s="1">
        <v>45476</v>
      </c>
      <c r="F1239" s="1">
        <v>45998</v>
      </c>
      <c r="G1239">
        <f t="shared" ca="1" si="136"/>
        <v>-85</v>
      </c>
      <c r="H1239" t="str">
        <f t="shared" ca="1" si="137"/>
        <v>Expired</v>
      </c>
      <c r="I1239">
        <f t="shared" ca="1" si="138"/>
        <v>1</v>
      </c>
      <c r="J1239" t="str">
        <f t="shared" si="139"/>
        <v>Safety</v>
      </c>
    </row>
    <row r="1240" spans="1:10">
      <c r="A1240" t="str" cm="1">
        <f t="array" ref="A1240">INDEX(Vendor_Master!$A$2:$A$401, ROUNDUP((ROW()-1)/4, 0))</f>
        <v>VND-310</v>
      </c>
      <c r="B1240" t="str">
        <f t="shared" si="133"/>
        <v>Environmental Policy</v>
      </c>
      <c r="C1240" t="str">
        <f t="shared" si="134"/>
        <v>Yes</v>
      </c>
      <c r="D1240" t="str">
        <f t="shared" si="135"/>
        <v>Yes</v>
      </c>
      <c r="E1240" s="1">
        <v>45429</v>
      </c>
      <c r="F1240" s="1">
        <v>45925</v>
      </c>
      <c r="G1240">
        <f t="shared" ca="1" si="136"/>
        <v>-158</v>
      </c>
      <c r="H1240" t="str">
        <f t="shared" ca="1" si="137"/>
        <v>Expired</v>
      </c>
      <c r="I1240">
        <f t="shared" ca="1" si="138"/>
        <v>1</v>
      </c>
      <c r="J1240" t="str">
        <f t="shared" si="139"/>
        <v>Environmental</v>
      </c>
    </row>
    <row r="1241" spans="1:10">
      <c r="A1241" t="str" cm="1">
        <f t="array" ref="A1241">INDEX(Vendor_Master!$A$2:$A$401, ROUNDUP((ROW()-1)/4, 0))</f>
        <v>VND-310</v>
      </c>
      <c r="B1241" t="str">
        <f t="shared" si="133"/>
        <v>Sustainability Disclosure</v>
      </c>
      <c r="C1241" t="str">
        <f t="shared" si="134"/>
        <v>Yes</v>
      </c>
      <c r="D1241" t="str">
        <f t="shared" si="135"/>
        <v>Yes</v>
      </c>
      <c r="E1241" s="1">
        <v>45714</v>
      </c>
      <c r="F1241" s="1">
        <v>46063</v>
      </c>
      <c r="G1241">
        <f t="shared" ca="1" si="136"/>
        <v>-20</v>
      </c>
      <c r="H1241" t="str">
        <f t="shared" ca="1" si="137"/>
        <v>Expired</v>
      </c>
      <c r="I1241">
        <f t="shared" ca="1" si="138"/>
        <v>1</v>
      </c>
      <c r="J1241" t="str">
        <f t="shared" si="139"/>
        <v>Environmental</v>
      </c>
    </row>
    <row r="1242" spans="1:10">
      <c r="A1242" t="str" cm="1">
        <f t="array" ref="A1242">INDEX(Vendor_Master!$A$2:$A$401, ROUNDUP((ROW()-1)/4, 0))</f>
        <v>VND-311</v>
      </c>
      <c r="B1242" t="str">
        <f t="shared" si="133"/>
        <v>ISO 14001</v>
      </c>
      <c r="C1242" t="str">
        <f t="shared" si="134"/>
        <v>Yes</v>
      </c>
      <c r="D1242" t="str">
        <f t="shared" si="135"/>
        <v>Yes</v>
      </c>
      <c r="E1242" s="1">
        <v>45792</v>
      </c>
      <c r="F1242" s="1">
        <v>45932</v>
      </c>
      <c r="G1242">
        <f t="shared" ca="1" si="136"/>
        <v>-151</v>
      </c>
      <c r="H1242" t="str">
        <f t="shared" ca="1" si="137"/>
        <v>Expired</v>
      </c>
      <c r="I1242">
        <f t="shared" ca="1" si="138"/>
        <v>1</v>
      </c>
      <c r="J1242" t="str">
        <f t="shared" si="139"/>
        <v>Environmental</v>
      </c>
    </row>
    <row r="1243" spans="1:10">
      <c r="A1243" t="str" cm="1">
        <f t="array" ref="A1243">INDEX(Vendor_Master!$A$2:$A$401, ROUNDUP((ROW()-1)/4, 0))</f>
        <v>VND-311</v>
      </c>
      <c r="B1243" t="str">
        <f t="shared" si="133"/>
        <v>Safety Certificate</v>
      </c>
      <c r="C1243" t="str">
        <f t="shared" si="134"/>
        <v>Yes</v>
      </c>
      <c r="D1243" t="str">
        <f t="shared" si="135"/>
        <v>Yes</v>
      </c>
      <c r="E1243" s="1">
        <v>45850</v>
      </c>
      <c r="F1243" s="1">
        <v>46080</v>
      </c>
      <c r="G1243">
        <f t="shared" ca="1" si="136"/>
        <v>-3</v>
      </c>
      <c r="H1243" t="str">
        <f t="shared" ca="1" si="137"/>
        <v>Expired</v>
      </c>
      <c r="I1243">
        <f t="shared" ca="1" si="138"/>
        <v>1</v>
      </c>
      <c r="J1243" t="str">
        <f t="shared" si="139"/>
        <v>Safety</v>
      </c>
    </row>
    <row r="1244" spans="1:10">
      <c r="A1244" t="str" cm="1">
        <f t="array" ref="A1244">INDEX(Vendor_Master!$A$2:$A$401, ROUNDUP((ROW()-1)/4, 0))</f>
        <v>VND-311</v>
      </c>
      <c r="B1244" t="str">
        <f t="shared" si="133"/>
        <v>Environmental Policy</v>
      </c>
      <c r="C1244" t="str">
        <f t="shared" si="134"/>
        <v>Yes</v>
      </c>
      <c r="D1244" t="str">
        <f t="shared" si="135"/>
        <v>Yes</v>
      </c>
      <c r="E1244" s="1">
        <v>45622</v>
      </c>
      <c r="F1244" s="1">
        <v>45972</v>
      </c>
      <c r="G1244">
        <f t="shared" ca="1" si="136"/>
        <v>-111</v>
      </c>
      <c r="H1244" t="str">
        <f t="shared" ca="1" si="137"/>
        <v>Expired</v>
      </c>
      <c r="I1244">
        <f t="shared" ca="1" si="138"/>
        <v>1</v>
      </c>
      <c r="J1244" t="str">
        <f t="shared" si="139"/>
        <v>Environmental</v>
      </c>
    </row>
    <row r="1245" spans="1:10">
      <c r="A1245" t="str" cm="1">
        <f t="array" ref="A1245">INDEX(Vendor_Master!$A$2:$A$401, ROUNDUP((ROW()-1)/4, 0))</f>
        <v>VND-311</v>
      </c>
      <c r="B1245" t="str">
        <f t="shared" si="133"/>
        <v>Sustainability Disclosure</v>
      </c>
      <c r="C1245" t="str">
        <f t="shared" si="134"/>
        <v>Yes</v>
      </c>
      <c r="D1245" t="str">
        <f t="shared" si="135"/>
        <v>Yes</v>
      </c>
      <c r="E1245" s="1">
        <v>46027</v>
      </c>
      <c r="F1245" s="1">
        <v>45984</v>
      </c>
      <c r="G1245">
        <f t="shared" ca="1" si="136"/>
        <v>-99</v>
      </c>
      <c r="H1245" t="str">
        <f t="shared" ca="1" si="137"/>
        <v>Expired</v>
      </c>
      <c r="I1245">
        <f t="shared" ca="1" si="138"/>
        <v>1</v>
      </c>
      <c r="J1245" t="str">
        <f t="shared" si="139"/>
        <v>Environmental</v>
      </c>
    </row>
    <row r="1246" spans="1:10">
      <c r="A1246" t="str" cm="1">
        <f t="array" ref="A1246">INDEX(Vendor_Master!$A$2:$A$401, ROUNDUP((ROW()-1)/4, 0))</f>
        <v>VND-312</v>
      </c>
      <c r="B1246" t="str">
        <f t="shared" si="133"/>
        <v>ISO 14001</v>
      </c>
      <c r="C1246" t="str">
        <f t="shared" si="134"/>
        <v>Yes</v>
      </c>
      <c r="D1246" t="str">
        <f t="shared" si="135"/>
        <v>Yes</v>
      </c>
      <c r="E1246" s="1">
        <v>45693</v>
      </c>
      <c r="F1246" s="1">
        <v>46037</v>
      </c>
      <c r="G1246">
        <f t="shared" ca="1" si="136"/>
        <v>-46</v>
      </c>
      <c r="H1246" t="str">
        <f t="shared" ca="1" si="137"/>
        <v>Expired</v>
      </c>
      <c r="I1246">
        <f t="shared" ca="1" si="138"/>
        <v>1</v>
      </c>
      <c r="J1246" t="str">
        <f t="shared" si="139"/>
        <v>Environmental</v>
      </c>
    </row>
    <row r="1247" spans="1:10">
      <c r="A1247" t="str" cm="1">
        <f t="array" ref="A1247">INDEX(Vendor_Master!$A$2:$A$401, ROUNDUP((ROW()-1)/4, 0))</f>
        <v>VND-312</v>
      </c>
      <c r="B1247" t="str">
        <f t="shared" si="133"/>
        <v>Safety Certificate</v>
      </c>
      <c r="C1247" t="str">
        <f t="shared" si="134"/>
        <v>Yes</v>
      </c>
      <c r="D1247" t="str">
        <f t="shared" si="135"/>
        <v>Yes</v>
      </c>
      <c r="E1247" s="1">
        <v>45534</v>
      </c>
      <c r="F1247" s="1">
        <v>46005</v>
      </c>
      <c r="G1247">
        <f t="shared" ca="1" si="136"/>
        <v>-78</v>
      </c>
      <c r="H1247" t="str">
        <f t="shared" ca="1" si="137"/>
        <v>Expired</v>
      </c>
      <c r="I1247">
        <f t="shared" ca="1" si="138"/>
        <v>1</v>
      </c>
      <c r="J1247" t="str">
        <f t="shared" si="139"/>
        <v>Safety</v>
      </c>
    </row>
    <row r="1248" spans="1:10">
      <c r="A1248" t="str" cm="1">
        <f t="array" ref="A1248">INDEX(Vendor_Master!$A$2:$A$401, ROUNDUP((ROW()-1)/4, 0))</f>
        <v>VND-312</v>
      </c>
      <c r="B1248" t="str">
        <f t="shared" si="133"/>
        <v>Environmental Policy</v>
      </c>
      <c r="C1248" t="str">
        <f t="shared" si="134"/>
        <v>Yes</v>
      </c>
      <c r="D1248" t="str">
        <f t="shared" si="135"/>
        <v>Yes</v>
      </c>
      <c r="E1248" s="1">
        <v>45695</v>
      </c>
      <c r="F1248" s="1">
        <v>46035</v>
      </c>
      <c r="G1248">
        <f t="shared" ca="1" si="136"/>
        <v>-48</v>
      </c>
      <c r="H1248" t="str">
        <f t="shared" ca="1" si="137"/>
        <v>Expired</v>
      </c>
      <c r="I1248">
        <f t="shared" ca="1" si="138"/>
        <v>1</v>
      </c>
      <c r="J1248" t="str">
        <f t="shared" si="139"/>
        <v>Environmental</v>
      </c>
    </row>
    <row r="1249" spans="1:10">
      <c r="A1249" t="str" cm="1">
        <f t="array" ref="A1249">INDEX(Vendor_Master!$A$2:$A$401, ROUNDUP((ROW()-1)/4, 0))</f>
        <v>VND-312</v>
      </c>
      <c r="B1249" t="str">
        <f t="shared" si="133"/>
        <v>Sustainability Disclosure</v>
      </c>
      <c r="C1249" t="str">
        <f t="shared" si="134"/>
        <v>Yes</v>
      </c>
      <c r="D1249" t="str">
        <f t="shared" si="135"/>
        <v>Yes</v>
      </c>
      <c r="E1249" s="1">
        <v>46044</v>
      </c>
      <c r="F1249" s="1">
        <v>46044</v>
      </c>
      <c r="G1249">
        <f t="shared" ca="1" si="136"/>
        <v>-39</v>
      </c>
      <c r="H1249" t="str">
        <f t="shared" ca="1" si="137"/>
        <v>Expired</v>
      </c>
      <c r="I1249">
        <f t="shared" ca="1" si="138"/>
        <v>1</v>
      </c>
      <c r="J1249" t="str">
        <f t="shared" si="139"/>
        <v>Environmental</v>
      </c>
    </row>
    <row r="1250" spans="1:10">
      <c r="A1250" t="str" cm="1">
        <f t="array" ref="A1250">INDEX(Vendor_Master!$A$2:$A$401, ROUNDUP((ROW()-1)/4, 0))</f>
        <v>VND-313</v>
      </c>
      <c r="B1250" t="str">
        <f t="shared" si="133"/>
        <v>ISO 14001</v>
      </c>
      <c r="C1250" t="str">
        <f t="shared" si="134"/>
        <v>Yes</v>
      </c>
      <c r="D1250" t="str">
        <f t="shared" si="135"/>
        <v>Yes</v>
      </c>
      <c r="E1250" s="1">
        <v>45777</v>
      </c>
      <c r="F1250" s="1">
        <v>45959</v>
      </c>
      <c r="G1250">
        <f t="shared" ca="1" si="136"/>
        <v>-124</v>
      </c>
      <c r="H1250" t="str">
        <f t="shared" ca="1" si="137"/>
        <v>Expired</v>
      </c>
      <c r="I1250">
        <f t="shared" ca="1" si="138"/>
        <v>1</v>
      </c>
      <c r="J1250" t="str">
        <f t="shared" si="139"/>
        <v>Environmental</v>
      </c>
    </row>
    <row r="1251" spans="1:10">
      <c r="A1251" t="str" cm="1">
        <f t="array" ref="A1251">INDEX(Vendor_Master!$A$2:$A$401, ROUNDUP((ROW()-1)/4, 0))</f>
        <v>VND-313</v>
      </c>
      <c r="B1251" t="str">
        <f t="shared" si="133"/>
        <v>Safety Certificate</v>
      </c>
      <c r="C1251" t="str">
        <f t="shared" si="134"/>
        <v>Yes</v>
      </c>
      <c r="D1251" t="str">
        <f t="shared" si="135"/>
        <v>Yes</v>
      </c>
      <c r="E1251" s="1">
        <v>45449</v>
      </c>
      <c r="F1251" s="1">
        <v>46007</v>
      </c>
      <c r="G1251">
        <f t="shared" ca="1" si="136"/>
        <v>-76</v>
      </c>
      <c r="H1251" t="str">
        <f t="shared" ca="1" si="137"/>
        <v>Expired</v>
      </c>
      <c r="I1251">
        <f t="shared" ca="1" si="138"/>
        <v>1</v>
      </c>
      <c r="J1251" t="str">
        <f t="shared" si="139"/>
        <v>Safety</v>
      </c>
    </row>
    <row r="1252" spans="1:10">
      <c r="A1252" t="str" cm="1">
        <f t="array" ref="A1252">INDEX(Vendor_Master!$A$2:$A$401, ROUNDUP((ROW()-1)/4, 0))</f>
        <v>VND-313</v>
      </c>
      <c r="B1252" t="str">
        <f t="shared" si="133"/>
        <v>Environmental Policy</v>
      </c>
      <c r="C1252" t="str">
        <f t="shared" si="134"/>
        <v>Yes</v>
      </c>
      <c r="D1252" t="str">
        <f t="shared" si="135"/>
        <v>Yes</v>
      </c>
      <c r="E1252" s="1">
        <v>45944</v>
      </c>
      <c r="F1252" s="1">
        <v>46020</v>
      </c>
      <c r="G1252">
        <f t="shared" ca="1" si="136"/>
        <v>-63</v>
      </c>
      <c r="H1252" t="str">
        <f t="shared" ca="1" si="137"/>
        <v>Expired</v>
      </c>
      <c r="I1252">
        <f t="shared" ca="1" si="138"/>
        <v>1</v>
      </c>
      <c r="J1252" t="str">
        <f t="shared" si="139"/>
        <v>Environmental</v>
      </c>
    </row>
    <row r="1253" spans="1:10">
      <c r="A1253" t="str" cm="1">
        <f t="array" ref="A1253">INDEX(Vendor_Master!$A$2:$A$401, ROUNDUP((ROW()-1)/4, 0))</f>
        <v>VND-313</v>
      </c>
      <c r="B1253" t="str">
        <f t="shared" si="133"/>
        <v>Sustainability Disclosure</v>
      </c>
      <c r="C1253" t="str">
        <f t="shared" si="134"/>
        <v>Yes</v>
      </c>
      <c r="D1253" t="str">
        <f t="shared" si="135"/>
        <v>Yes</v>
      </c>
      <c r="E1253" s="1">
        <v>45590</v>
      </c>
      <c r="F1253" s="1">
        <v>45901</v>
      </c>
      <c r="G1253">
        <f t="shared" ca="1" si="136"/>
        <v>-182</v>
      </c>
      <c r="H1253" t="str">
        <f t="shared" ca="1" si="137"/>
        <v>Expired</v>
      </c>
      <c r="I1253">
        <f t="shared" ca="1" si="138"/>
        <v>1</v>
      </c>
      <c r="J1253" t="str">
        <f t="shared" si="139"/>
        <v>Environmental</v>
      </c>
    </row>
    <row r="1254" spans="1:10">
      <c r="A1254" t="str" cm="1">
        <f t="array" ref="A1254">INDEX(Vendor_Master!$A$2:$A$401, ROUNDUP((ROW()-1)/4, 0))</f>
        <v>VND-314</v>
      </c>
      <c r="B1254" t="str">
        <f t="shared" si="133"/>
        <v>ISO 14001</v>
      </c>
      <c r="C1254" t="str">
        <f t="shared" si="134"/>
        <v>Yes</v>
      </c>
      <c r="D1254" t="str">
        <f t="shared" si="135"/>
        <v>Yes</v>
      </c>
      <c r="E1254" s="1">
        <v>45862</v>
      </c>
      <c r="F1254" s="1">
        <v>46066</v>
      </c>
      <c r="G1254">
        <f t="shared" ca="1" si="136"/>
        <v>-17</v>
      </c>
      <c r="H1254" t="str">
        <f t="shared" ca="1" si="137"/>
        <v>Expired</v>
      </c>
      <c r="I1254">
        <f t="shared" ca="1" si="138"/>
        <v>1</v>
      </c>
      <c r="J1254" t="str">
        <f t="shared" si="139"/>
        <v>Environmental</v>
      </c>
    </row>
    <row r="1255" spans="1:10">
      <c r="A1255" t="str" cm="1">
        <f t="array" ref="A1255">INDEX(Vendor_Master!$A$2:$A$401, ROUNDUP((ROW()-1)/4, 0))</f>
        <v>VND-314</v>
      </c>
      <c r="B1255" t="str">
        <f t="shared" si="133"/>
        <v>Safety Certificate</v>
      </c>
      <c r="C1255" t="str">
        <f t="shared" si="134"/>
        <v>Yes</v>
      </c>
      <c r="D1255" t="str">
        <f t="shared" si="135"/>
        <v>Yes</v>
      </c>
      <c r="E1255" s="1">
        <v>45989</v>
      </c>
      <c r="F1255" s="1">
        <v>46021</v>
      </c>
      <c r="G1255">
        <f t="shared" ca="1" si="136"/>
        <v>-62</v>
      </c>
      <c r="H1255" t="str">
        <f t="shared" ca="1" si="137"/>
        <v>Expired</v>
      </c>
      <c r="I1255">
        <f t="shared" ca="1" si="138"/>
        <v>1</v>
      </c>
      <c r="J1255" t="str">
        <f t="shared" si="139"/>
        <v>Safety</v>
      </c>
    </row>
    <row r="1256" spans="1:10">
      <c r="A1256" t="str" cm="1">
        <f t="array" ref="A1256">INDEX(Vendor_Master!$A$2:$A$401, ROUNDUP((ROW()-1)/4, 0))</f>
        <v>VND-314</v>
      </c>
      <c r="B1256" t="str">
        <f t="shared" si="133"/>
        <v>Environmental Policy</v>
      </c>
      <c r="C1256" t="str">
        <f t="shared" si="134"/>
        <v>Yes</v>
      </c>
      <c r="D1256" t="str">
        <f t="shared" si="135"/>
        <v>Yes</v>
      </c>
      <c r="E1256" s="1">
        <v>45945</v>
      </c>
      <c r="F1256" s="1">
        <v>45976</v>
      </c>
      <c r="G1256">
        <f t="shared" ca="1" si="136"/>
        <v>-107</v>
      </c>
      <c r="H1256" t="str">
        <f t="shared" ca="1" si="137"/>
        <v>Expired</v>
      </c>
      <c r="I1256">
        <f t="shared" ca="1" si="138"/>
        <v>1</v>
      </c>
      <c r="J1256" t="str">
        <f t="shared" si="139"/>
        <v>Environmental</v>
      </c>
    </row>
    <row r="1257" spans="1:10">
      <c r="A1257" t="str" cm="1">
        <f t="array" ref="A1257">INDEX(Vendor_Master!$A$2:$A$401, ROUNDUP((ROW()-1)/4, 0))</f>
        <v>VND-314</v>
      </c>
      <c r="B1257" t="str">
        <f t="shared" si="133"/>
        <v>Sustainability Disclosure</v>
      </c>
      <c r="C1257" t="str">
        <f t="shared" si="134"/>
        <v>Yes</v>
      </c>
      <c r="D1257" t="str">
        <f t="shared" si="135"/>
        <v>Yes</v>
      </c>
      <c r="E1257" s="1">
        <v>45607</v>
      </c>
      <c r="F1257" s="1">
        <v>46013</v>
      </c>
      <c r="G1257">
        <f t="shared" ca="1" si="136"/>
        <v>-70</v>
      </c>
      <c r="H1257" t="str">
        <f t="shared" ca="1" si="137"/>
        <v>Expired</v>
      </c>
      <c r="I1257">
        <f t="shared" ca="1" si="138"/>
        <v>1</v>
      </c>
      <c r="J1257" t="str">
        <f t="shared" si="139"/>
        <v>Environmental</v>
      </c>
    </row>
    <row r="1258" spans="1:10">
      <c r="A1258" t="str" cm="1">
        <f t="array" ref="A1258">INDEX(Vendor_Master!$A$2:$A$401, ROUNDUP((ROW()-1)/4, 0))</f>
        <v>VND-315</v>
      </c>
      <c r="B1258" t="str">
        <f t="shared" si="133"/>
        <v>ISO 14001</v>
      </c>
      <c r="C1258" t="str">
        <f t="shared" si="134"/>
        <v>Yes</v>
      </c>
      <c r="D1258" t="str">
        <f t="shared" si="135"/>
        <v>Yes</v>
      </c>
      <c r="E1258" s="1">
        <v>46004</v>
      </c>
      <c r="F1258" s="1">
        <v>46065</v>
      </c>
      <c r="G1258">
        <f t="shared" ca="1" si="136"/>
        <v>-18</v>
      </c>
      <c r="H1258" t="str">
        <f t="shared" ca="1" si="137"/>
        <v>Expired</v>
      </c>
      <c r="I1258">
        <f t="shared" ca="1" si="138"/>
        <v>1</v>
      </c>
      <c r="J1258" t="str">
        <f t="shared" si="139"/>
        <v>Environmental</v>
      </c>
    </row>
    <row r="1259" spans="1:10">
      <c r="A1259" t="str" cm="1">
        <f t="array" ref="A1259">INDEX(Vendor_Master!$A$2:$A$401, ROUNDUP((ROW()-1)/4, 0))</f>
        <v>VND-315</v>
      </c>
      <c r="B1259" t="str">
        <f t="shared" si="133"/>
        <v>Safety Certificate</v>
      </c>
      <c r="C1259" t="str">
        <f t="shared" si="134"/>
        <v>Yes</v>
      </c>
      <c r="D1259" t="str">
        <f t="shared" si="135"/>
        <v>Yes</v>
      </c>
      <c r="E1259" s="1">
        <v>45863</v>
      </c>
      <c r="F1259" s="1">
        <v>46011</v>
      </c>
      <c r="G1259">
        <f t="shared" ca="1" si="136"/>
        <v>-72</v>
      </c>
      <c r="H1259" t="str">
        <f t="shared" ca="1" si="137"/>
        <v>Expired</v>
      </c>
      <c r="I1259">
        <f t="shared" ca="1" si="138"/>
        <v>1</v>
      </c>
      <c r="J1259" t="str">
        <f t="shared" si="139"/>
        <v>Safety</v>
      </c>
    </row>
    <row r="1260" spans="1:10">
      <c r="A1260" t="str" cm="1">
        <f t="array" ref="A1260">INDEX(Vendor_Master!$A$2:$A$401, ROUNDUP((ROW()-1)/4, 0))</f>
        <v>VND-315</v>
      </c>
      <c r="B1260" t="str">
        <f t="shared" si="133"/>
        <v>Environmental Policy</v>
      </c>
      <c r="C1260" t="str">
        <f t="shared" si="134"/>
        <v>Yes</v>
      </c>
      <c r="D1260" t="str">
        <f t="shared" si="135"/>
        <v>Yes</v>
      </c>
      <c r="E1260" s="1">
        <v>45606</v>
      </c>
      <c r="F1260" s="1">
        <v>46061</v>
      </c>
      <c r="G1260">
        <f t="shared" ca="1" si="136"/>
        <v>-22</v>
      </c>
      <c r="H1260" t="str">
        <f t="shared" ca="1" si="137"/>
        <v>Expired</v>
      </c>
      <c r="I1260">
        <f t="shared" ca="1" si="138"/>
        <v>1</v>
      </c>
      <c r="J1260" t="str">
        <f t="shared" si="139"/>
        <v>Environmental</v>
      </c>
    </row>
    <row r="1261" spans="1:10">
      <c r="A1261" t="str" cm="1">
        <f t="array" ref="A1261">INDEX(Vendor_Master!$A$2:$A$401, ROUNDUP((ROW()-1)/4, 0))</f>
        <v>VND-315</v>
      </c>
      <c r="B1261" t="str">
        <f t="shared" si="133"/>
        <v>Sustainability Disclosure</v>
      </c>
      <c r="C1261" t="str">
        <f t="shared" si="134"/>
        <v>Yes</v>
      </c>
      <c r="D1261" t="str">
        <f t="shared" si="135"/>
        <v>Yes</v>
      </c>
      <c r="E1261" s="1">
        <v>45929</v>
      </c>
      <c r="F1261" s="1">
        <v>45977</v>
      </c>
      <c r="G1261">
        <f t="shared" ca="1" si="136"/>
        <v>-106</v>
      </c>
      <c r="H1261" t="str">
        <f t="shared" ca="1" si="137"/>
        <v>Expired</v>
      </c>
      <c r="I1261">
        <f t="shared" ca="1" si="138"/>
        <v>1</v>
      </c>
      <c r="J1261" t="str">
        <f t="shared" si="139"/>
        <v>Environmental</v>
      </c>
    </row>
    <row r="1262" spans="1:10">
      <c r="A1262" t="str" cm="1">
        <f t="array" ref="A1262">INDEX(Vendor_Master!$A$2:$A$401, ROUNDUP((ROW()-1)/4, 0))</f>
        <v>VND-316</v>
      </c>
      <c r="B1262" t="str">
        <f t="shared" si="133"/>
        <v>ISO 14001</v>
      </c>
      <c r="C1262" t="str">
        <f t="shared" si="134"/>
        <v>Yes</v>
      </c>
      <c r="D1262" t="str">
        <f t="shared" si="135"/>
        <v>Yes</v>
      </c>
      <c r="E1262" s="1">
        <v>45873</v>
      </c>
      <c r="F1262" s="1">
        <v>45991</v>
      </c>
      <c r="G1262">
        <f t="shared" ca="1" si="136"/>
        <v>-92</v>
      </c>
      <c r="H1262" t="str">
        <f t="shared" ca="1" si="137"/>
        <v>Expired</v>
      </c>
      <c r="I1262">
        <f t="shared" ca="1" si="138"/>
        <v>1</v>
      </c>
      <c r="J1262" t="str">
        <f t="shared" si="139"/>
        <v>Environmental</v>
      </c>
    </row>
    <row r="1263" spans="1:10">
      <c r="A1263" t="str" cm="1">
        <f t="array" ref="A1263">INDEX(Vendor_Master!$A$2:$A$401, ROUNDUP((ROW()-1)/4, 0))</f>
        <v>VND-316</v>
      </c>
      <c r="B1263" t="str">
        <f t="shared" si="133"/>
        <v>Safety Certificate</v>
      </c>
      <c r="C1263" t="str">
        <f t="shared" si="134"/>
        <v>Yes</v>
      </c>
      <c r="D1263" t="str">
        <f t="shared" si="135"/>
        <v>Yes</v>
      </c>
      <c r="E1263" s="1">
        <v>45984</v>
      </c>
      <c r="F1263" s="1">
        <v>45959</v>
      </c>
      <c r="G1263">
        <f t="shared" ca="1" si="136"/>
        <v>-124</v>
      </c>
      <c r="H1263" t="str">
        <f t="shared" ca="1" si="137"/>
        <v>Expired</v>
      </c>
      <c r="I1263">
        <f t="shared" ca="1" si="138"/>
        <v>1</v>
      </c>
      <c r="J1263" t="str">
        <f t="shared" si="139"/>
        <v>Safety</v>
      </c>
    </row>
    <row r="1264" spans="1:10">
      <c r="A1264" t="str" cm="1">
        <f t="array" ref="A1264">INDEX(Vendor_Master!$A$2:$A$401, ROUNDUP((ROW()-1)/4, 0))</f>
        <v>VND-316</v>
      </c>
      <c r="B1264" t="str">
        <f t="shared" si="133"/>
        <v>Environmental Policy</v>
      </c>
      <c r="C1264" t="str">
        <f t="shared" si="134"/>
        <v>Yes</v>
      </c>
      <c r="D1264" t="str">
        <f t="shared" si="135"/>
        <v>Yes</v>
      </c>
      <c r="E1264" s="1">
        <v>46037</v>
      </c>
      <c r="F1264" s="1">
        <v>45938</v>
      </c>
      <c r="G1264">
        <f t="shared" ca="1" si="136"/>
        <v>-145</v>
      </c>
      <c r="H1264" t="str">
        <f t="shared" ca="1" si="137"/>
        <v>Expired</v>
      </c>
      <c r="I1264">
        <f t="shared" ca="1" si="138"/>
        <v>1</v>
      </c>
      <c r="J1264" t="str">
        <f t="shared" si="139"/>
        <v>Environmental</v>
      </c>
    </row>
    <row r="1265" spans="1:10">
      <c r="A1265" t="str" cm="1">
        <f t="array" ref="A1265">INDEX(Vendor_Master!$A$2:$A$401, ROUNDUP((ROW()-1)/4, 0))</f>
        <v>VND-316</v>
      </c>
      <c r="B1265" t="str">
        <f t="shared" si="133"/>
        <v>Sustainability Disclosure</v>
      </c>
      <c r="C1265" t="str">
        <f t="shared" si="134"/>
        <v>Yes</v>
      </c>
      <c r="D1265" t="str">
        <f t="shared" si="135"/>
        <v>Yes</v>
      </c>
      <c r="E1265" s="1">
        <v>45827</v>
      </c>
      <c r="F1265" s="1">
        <v>46023</v>
      </c>
      <c r="G1265">
        <f t="shared" ca="1" si="136"/>
        <v>-60</v>
      </c>
      <c r="H1265" t="str">
        <f t="shared" ca="1" si="137"/>
        <v>Expired</v>
      </c>
      <c r="I1265">
        <f t="shared" ca="1" si="138"/>
        <v>1</v>
      </c>
      <c r="J1265" t="str">
        <f t="shared" si="139"/>
        <v>Environmental</v>
      </c>
    </row>
    <row r="1266" spans="1:10">
      <c r="A1266" t="str" cm="1">
        <f t="array" ref="A1266">INDEX(Vendor_Master!$A$2:$A$401, ROUNDUP((ROW()-1)/4, 0))</f>
        <v>VND-317</v>
      </c>
      <c r="B1266" t="str">
        <f t="shared" si="133"/>
        <v>ISO 14001</v>
      </c>
      <c r="C1266" t="str">
        <f t="shared" si="134"/>
        <v>Yes</v>
      </c>
      <c r="D1266" t="str">
        <f t="shared" si="135"/>
        <v>Yes</v>
      </c>
      <c r="E1266" s="1">
        <v>45385</v>
      </c>
      <c r="F1266" s="1">
        <v>46047</v>
      </c>
      <c r="G1266">
        <f t="shared" ca="1" si="136"/>
        <v>-36</v>
      </c>
      <c r="H1266" t="str">
        <f t="shared" ca="1" si="137"/>
        <v>Expired</v>
      </c>
      <c r="I1266">
        <f t="shared" ca="1" si="138"/>
        <v>1</v>
      </c>
      <c r="J1266" t="str">
        <f t="shared" si="139"/>
        <v>Environmental</v>
      </c>
    </row>
    <row r="1267" spans="1:10">
      <c r="A1267" t="str" cm="1">
        <f t="array" ref="A1267">INDEX(Vendor_Master!$A$2:$A$401, ROUNDUP((ROW()-1)/4, 0))</f>
        <v>VND-317</v>
      </c>
      <c r="B1267" t="str">
        <f t="shared" si="133"/>
        <v>Safety Certificate</v>
      </c>
      <c r="C1267" t="str">
        <f t="shared" si="134"/>
        <v>Yes</v>
      </c>
      <c r="D1267" t="str">
        <f t="shared" si="135"/>
        <v>Yes</v>
      </c>
      <c r="E1267" s="1">
        <v>45690</v>
      </c>
      <c r="F1267" s="1">
        <v>45985</v>
      </c>
      <c r="G1267">
        <f t="shared" ca="1" si="136"/>
        <v>-98</v>
      </c>
      <c r="H1267" t="str">
        <f t="shared" ca="1" si="137"/>
        <v>Expired</v>
      </c>
      <c r="I1267">
        <f t="shared" ca="1" si="138"/>
        <v>1</v>
      </c>
      <c r="J1267" t="str">
        <f t="shared" si="139"/>
        <v>Safety</v>
      </c>
    </row>
    <row r="1268" spans="1:10">
      <c r="A1268" t="str" cm="1">
        <f t="array" ref="A1268">INDEX(Vendor_Master!$A$2:$A$401, ROUNDUP((ROW()-1)/4, 0))</f>
        <v>VND-317</v>
      </c>
      <c r="B1268" t="str">
        <f t="shared" si="133"/>
        <v>Environmental Policy</v>
      </c>
      <c r="C1268" t="str">
        <f t="shared" si="134"/>
        <v>Yes</v>
      </c>
      <c r="D1268" t="str">
        <f t="shared" si="135"/>
        <v>Yes</v>
      </c>
      <c r="E1268" s="1">
        <v>45663</v>
      </c>
      <c r="F1268" s="1">
        <v>46044</v>
      </c>
      <c r="G1268">
        <f t="shared" ca="1" si="136"/>
        <v>-39</v>
      </c>
      <c r="H1268" t="str">
        <f t="shared" ca="1" si="137"/>
        <v>Expired</v>
      </c>
      <c r="I1268">
        <f t="shared" ca="1" si="138"/>
        <v>1</v>
      </c>
      <c r="J1268" t="str">
        <f t="shared" si="139"/>
        <v>Environmental</v>
      </c>
    </row>
    <row r="1269" spans="1:10">
      <c r="A1269" t="str" cm="1">
        <f t="array" ref="A1269">INDEX(Vendor_Master!$A$2:$A$401, ROUNDUP((ROW()-1)/4, 0))</f>
        <v>VND-317</v>
      </c>
      <c r="B1269" t="str">
        <f t="shared" si="133"/>
        <v>Sustainability Disclosure</v>
      </c>
      <c r="C1269" t="str">
        <f t="shared" si="134"/>
        <v>Yes</v>
      </c>
      <c r="D1269" t="str">
        <f t="shared" si="135"/>
        <v>Yes</v>
      </c>
      <c r="E1269" s="1">
        <v>45792</v>
      </c>
      <c r="F1269" s="1">
        <v>46048</v>
      </c>
      <c r="G1269">
        <f t="shared" ca="1" si="136"/>
        <v>-35</v>
      </c>
      <c r="H1269" t="str">
        <f t="shared" ca="1" si="137"/>
        <v>Expired</v>
      </c>
      <c r="I1269">
        <f t="shared" ca="1" si="138"/>
        <v>1</v>
      </c>
      <c r="J1269" t="str">
        <f t="shared" si="139"/>
        <v>Environmental</v>
      </c>
    </row>
    <row r="1270" spans="1:10">
      <c r="A1270" t="str" cm="1">
        <f t="array" ref="A1270">INDEX(Vendor_Master!$A$2:$A$401, ROUNDUP((ROW()-1)/4, 0))</f>
        <v>VND-318</v>
      </c>
      <c r="B1270" t="str">
        <f t="shared" si="133"/>
        <v>ISO 14001</v>
      </c>
      <c r="C1270" t="str">
        <f t="shared" si="134"/>
        <v>Yes</v>
      </c>
      <c r="D1270" t="str">
        <f t="shared" si="135"/>
        <v>Yes</v>
      </c>
      <c r="E1270" s="1">
        <v>45867</v>
      </c>
      <c r="F1270" s="1">
        <v>45985</v>
      </c>
      <c r="G1270">
        <f t="shared" ca="1" si="136"/>
        <v>-98</v>
      </c>
      <c r="H1270" t="str">
        <f t="shared" ca="1" si="137"/>
        <v>Expired</v>
      </c>
      <c r="I1270">
        <f t="shared" ca="1" si="138"/>
        <v>1</v>
      </c>
      <c r="J1270" t="str">
        <f t="shared" si="139"/>
        <v>Environmental</v>
      </c>
    </row>
    <row r="1271" spans="1:10">
      <c r="A1271" t="str" cm="1">
        <f t="array" ref="A1271">INDEX(Vendor_Master!$A$2:$A$401, ROUNDUP((ROW()-1)/4, 0))</f>
        <v>VND-318</v>
      </c>
      <c r="B1271" t="str">
        <f t="shared" si="133"/>
        <v>Safety Certificate</v>
      </c>
      <c r="C1271" t="str">
        <f t="shared" si="134"/>
        <v>Yes</v>
      </c>
      <c r="D1271" t="str">
        <f t="shared" si="135"/>
        <v>Yes</v>
      </c>
      <c r="E1271" s="1">
        <v>45633</v>
      </c>
      <c r="F1271" s="1">
        <v>46074</v>
      </c>
      <c r="G1271">
        <f t="shared" ca="1" si="136"/>
        <v>-9</v>
      </c>
      <c r="H1271" t="str">
        <f t="shared" ca="1" si="137"/>
        <v>Expired</v>
      </c>
      <c r="I1271">
        <f t="shared" ca="1" si="138"/>
        <v>1</v>
      </c>
      <c r="J1271" t="str">
        <f t="shared" si="139"/>
        <v>Safety</v>
      </c>
    </row>
    <row r="1272" spans="1:10">
      <c r="A1272" t="str" cm="1">
        <f t="array" ref="A1272">INDEX(Vendor_Master!$A$2:$A$401, ROUNDUP((ROW()-1)/4, 0))</f>
        <v>VND-318</v>
      </c>
      <c r="B1272" t="str">
        <f t="shared" si="133"/>
        <v>Environmental Policy</v>
      </c>
      <c r="C1272" t="str">
        <f t="shared" si="134"/>
        <v>Yes</v>
      </c>
      <c r="D1272" t="str">
        <f t="shared" si="135"/>
        <v>Yes</v>
      </c>
      <c r="E1272" s="1">
        <v>45950</v>
      </c>
      <c r="F1272" s="1">
        <v>46009</v>
      </c>
      <c r="G1272">
        <f t="shared" ca="1" si="136"/>
        <v>-74</v>
      </c>
      <c r="H1272" t="str">
        <f t="shared" ca="1" si="137"/>
        <v>Expired</v>
      </c>
      <c r="I1272">
        <f t="shared" ca="1" si="138"/>
        <v>1</v>
      </c>
      <c r="J1272" t="str">
        <f t="shared" si="139"/>
        <v>Environmental</v>
      </c>
    </row>
    <row r="1273" spans="1:10">
      <c r="A1273" t="str" cm="1">
        <f t="array" ref="A1273">INDEX(Vendor_Master!$A$2:$A$401, ROUNDUP((ROW()-1)/4, 0))</f>
        <v>VND-318</v>
      </c>
      <c r="B1273" t="str">
        <f t="shared" si="133"/>
        <v>Sustainability Disclosure</v>
      </c>
      <c r="C1273" t="str">
        <f t="shared" si="134"/>
        <v>Yes</v>
      </c>
      <c r="D1273" t="str">
        <f t="shared" si="135"/>
        <v>Yes</v>
      </c>
      <c r="E1273" s="1">
        <v>45574</v>
      </c>
      <c r="F1273" s="1">
        <v>45922</v>
      </c>
      <c r="G1273">
        <f t="shared" ca="1" si="136"/>
        <v>-161</v>
      </c>
      <c r="H1273" t="str">
        <f t="shared" ca="1" si="137"/>
        <v>Expired</v>
      </c>
      <c r="I1273">
        <f t="shared" ca="1" si="138"/>
        <v>1</v>
      </c>
      <c r="J1273" t="str">
        <f t="shared" si="139"/>
        <v>Environmental</v>
      </c>
    </row>
    <row r="1274" spans="1:10">
      <c r="A1274" t="str" cm="1">
        <f t="array" ref="A1274">INDEX(Vendor_Master!$A$2:$A$401, ROUNDUP((ROW()-1)/4, 0))</f>
        <v>VND-319</v>
      </c>
      <c r="B1274" t="str">
        <f t="shared" si="133"/>
        <v>ISO 14001</v>
      </c>
      <c r="C1274" t="str">
        <f t="shared" si="134"/>
        <v>Yes</v>
      </c>
      <c r="D1274" t="str">
        <f t="shared" si="135"/>
        <v>Yes</v>
      </c>
      <c r="E1274" s="1">
        <v>45381</v>
      </c>
      <c r="F1274" s="1">
        <v>45974</v>
      </c>
      <c r="G1274">
        <f t="shared" ca="1" si="136"/>
        <v>-109</v>
      </c>
      <c r="H1274" t="str">
        <f t="shared" ca="1" si="137"/>
        <v>Expired</v>
      </c>
      <c r="I1274">
        <f t="shared" ca="1" si="138"/>
        <v>1</v>
      </c>
      <c r="J1274" t="str">
        <f t="shared" si="139"/>
        <v>Environmental</v>
      </c>
    </row>
    <row r="1275" spans="1:10">
      <c r="A1275" t="str" cm="1">
        <f t="array" ref="A1275">INDEX(Vendor_Master!$A$2:$A$401, ROUNDUP((ROW()-1)/4, 0))</f>
        <v>VND-319</v>
      </c>
      <c r="B1275" t="str">
        <f t="shared" si="133"/>
        <v>Safety Certificate</v>
      </c>
      <c r="C1275" t="str">
        <f t="shared" si="134"/>
        <v>Yes</v>
      </c>
      <c r="D1275" t="str">
        <f t="shared" si="135"/>
        <v>Yes</v>
      </c>
      <c r="E1275" s="1">
        <v>45524</v>
      </c>
      <c r="F1275" s="1">
        <v>45966</v>
      </c>
      <c r="G1275">
        <f t="shared" ca="1" si="136"/>
        <v>-117</v>
      </c>
      <c r="H1275" t="str">
        <f t="shared" ca="1" si="137"/>
        <v>Expired</v>
      </c>
      <c r="I1275">
        <f t="shared" ca="1" si="138"/>
        <v>1</v>
      </c>
      <c r="J1275" t="str">
        <f t="shared" si="139"/>
        <v>Safety</v>
      </c>
    </row>
    <row r="1276" spans="1:10">
      <c r="A1276" t="str" cm="1">
        <f t="array" ref="A1276">INDEX(Vendor_Master!$A$2:$A$401, ROUNDUP((ROW()-1)/4, 0))</f>
        <v>VND-319</v>
      </c>
      <c r="B1276" t="str">
        <f t="shared" si="133"/>
        <v>Environmental Policy</v>
      </c>
      <c r="C1276" t="str">
        <f t="shared" si="134"/>
        <v>Yes</v>
      </c>
      <c r="D1276" t="str">
        <f t="shared" si="135"/>
        <v>Yes</v>
      </c>
      <c r="E1276" s="1">
        <v>45920</v>
      </c>
      <c r="F1276" s="1">
        <v>45987</v>
      </c>
      <c r="G1276">
        <f t="shared" ca="1" si="136"/>
        <v>-96</v>
      </c>
      <c r="H1276" t="str">
        <f t="shared" ca="1" si="137"/>
        <v>Expired</v>
      </c>
      <c r="I1276">
        <f t="shared" ca="1" si="138"/>
        <v>1</v>
      </c>
      <c r="J1276" t="str">
        <f t="shared" si="139"/>
        <v>Environmental</v>
      </c>
    </row>
    <row r="1277" spans="1:10">
      <c r="A1277" t="str" cm="1">
        <f t="array" ref="A1277">INDEX(Vendor_Master!$A$2:$A$401, ROUNDUP((ROW()-1)/4, 0))</f>
        <v>VND-319</v>
      </c>
      <c r="B1277" t="str">
        <f t="shared" si="133"/>
        <v>Sustainability Disclosure</v>
      </c>
      <c r="C1277" t="str">
        <f t="shared" si="134"/>
        <v>Yes</v>
      </c>
      <c r="D1277" t="str">
        <f t="shared" si="135"/>
        <v>Yes</v>
      </c>
      <c r="E1277" s="1">
        <v>45640</v>
      </c>
      <c r="F1277" s="1">
        <v>46064</v>
      </c>
      <c r="G1277">
        <f t="shared" ca="1" si="136"/>
        <v>-19</v>
      </c>
      <c r="H1277" t="str">
        <f t="shared" ca="1" si="137"/>
        <v>Expired</v>
      </c>
      <c r="I1277">
        <f t="shared" ca="1" si="138"/>
        <v>1</v>
      </c>
      <c r="J1277" t="str">
        <f t="shared" si="139"/>
        <v>Environmental</v>
      </c>
    </row>
    <row r="1278" spans="1:10">
      <c r="A1278" t="str" cm="1">
        <f t="array" ref="A1278">INDEX(Vendor_Master!$A$2:$A$401, ROUNDUP((ROW()-1)/4, 0))</f>
        <v>VND-320</v>
      </c>
      <c r="B1278" t="str">
        <f t="shared" si="133"/>
        <v>ISO 14001</v>
      </c>
      <c r="C1278" t="str">
        <f t="shared" si="134"/>
        <v>Yes</v>
      </c>
      <c r="D1278" t="str">
        <f t="shared" si="135"/>
        <v>Yes</v>
      </c>
      <c r="E1278" s="1">
        <v>45471</v>
      </c>
      <c r="F1278" s="1">
        <v>45921</v>
      </c>
      <c r="G1278">
        <f t="shared" ca="1" si="136"/>
        <v>-162</v>
      </c>
      <c r="H1278" t="str">
        <f t="shared" ca="1" si="137"/>
        <v>Expired</v>
      </c>
      <c r="I1278">
        <f t="shared" ca="1" si="138"/>
        <v>1</v>
      </c>
      <c r="J1278" t="str">
        <f t="shared" si="139"/>
        <v>Environmental</v>
      </c>
    </row>
    <row r="1279" spans="1:10">
      <c r="A1279" t="str" cm="1">
        <f t="array" ref="A1279">INDEX(Vendor_Master!$A$2:$A$401, ROUNDUP((ROW()-1)/4, 0))</f>
        <v>VND-320</v>
      </c>
      <c r="B1279" t="str">
        <f t="shared" si="133"/>
        <v>Safety Certificate</v>
      </c>
      <c r="C1279" t="str">
        <f t="shared" si="134"/>
        <v>Yes</v>
      </c>
      <c r="D1279" t="str">
        <f t="shared" si="135"/>
        <v>Yes</v>
      </c>
      <c r="E1279" s="1">
        <v>45903</v>
      </c>
      <c r="F1279" s="1">
        <v>45985</v>
      </c>
      <c r="G1279">
        <f t="shared" ca="1" si="136"/>
        <v>-98</v>
      </c>
      <c r="H1279" t="str">
        <f t="shared" ca="1" si="137"/>
        <v>Expired</v>
      </c>
      <c r="I1279">
        <f t="shared" ca="1" si="138"/>
        <v>1</v>
      </c>
      <c r="J1279" t="str">
        <f t="shared" si="139"/>
        <v>Safety</v>
      </c>
    </row>
    <row r="1280" spans="1:10">
      <c r="A1280" t="str" cm="1">
        <f t="array" ref="A1280">INDEX(Vendor_Master!$A$2:$A$401, ROUNDUP((ROW()-1)/4, 0))</f>
        <v>VND-320</v>
      </c>
      <c r="B1280" t="str">
        <f t="shared" si="133"/>
        <v>Environmental Policy</v>
      </c>
      <c r="C1280" t="str">
        <f t="shared" si="134"/>
        <v>Yes</v>
      </c>
      <c r="D1280" t="str">
        <f t="shared" si="135"/>
        <v>Yes</v>
      </c>
      <c r="E1280" s="1">
        <v>45664</v>
      </c>
      <c r="F1280" s="1">
        <v>46027</v>
      </c>
      <c r="G1280">
        <f t="shared" ca="1" si="136"/>
        <v>-56</v>
      </c>
      <c r="H1280" t="str">
        <f t="shared" ca="1" si="137"/>
        <v>Expired</v>
      </c>
      <c r="I1280">
        <f t="shared" ca="1" si="138"/>
        <v>1</v>
      </c>
      <c r="J1280" t="str">
        <f t="shared" si="139"/>
        <v>Environmental</v>
      </c>
    </row>
    <row r="1281" spans="1:10">
      <c r="A1281" t="str" cm="1">
        <f t="array" ref="A1281">INDEX(Vendor_Master!$A$2:$A$401, ROUNDUP((ROW()-1)/4, 0))</f>
        <v>VND-320</v>
      </c>
      <c r="B1281" t="str">
        <f t="shared" si="133"/>
        <v>Sustainability Disclosure</v>
      </c>
      <c r="C1281" t="str">
        <f t="shared" si="134"/>
        <v>Yes</v>
      </c>
      <c r="D1281" t="str">
        <f t="shared" si="135"/>
        <v>Yes</v>
      </c>
      <c r="E1281" s="1">
        <v>45937</v>
      </c>
      <c r="F1281" s="1">
        <v>46069</v>
      </c>
      <c r="G1281">
        <f t="shared" ca="1" si="136"/>
        <v>-14</v>
      </c>
      <c r="H1281" t="str">
        <f t="shared" ca="1" si="137"/>
        <v>Expired</v>
      </c>
      <c r="I1281">
        <f t="shared" ca="1" si="138"/>
        <v>1</v>
      </c>
      <c r="J1281" t="str">
        <f t="shared" si="139"/>
        <v>Environmental</v>
      </c>
    </row>
    <row r="1282" spans="1:10">
      <c r="A1282" t="str" cm="1">
        <f t="array" ref="A1282">INDEX(Vendor_Master!$A$2:$A$401, ROUNDUP((ROW()-1)/4, 0))</f>
        <v>VND-321</v>
      </c>
      <c r="B1282" t="str">
        <f t="shared" ref="B1282:B1345" si="140">CHOOSE(MOD(ROW()-2,4)+1,"ISO 14001","Safety Certificate","Environmental Policy","Sustainability Disclosure")</f>
        <v>ISO 14001</v>
      </c>
      <c r="C1282" t="str">
        <f t="shared" ref="C1282:C1345" si="141">"Yes"</f>
        <v>Yes</v>
      </c>
      <c r="D1282" t="str">
        <f t="shared" ref="D1282:D1345" si="142">IF(ROW()-1&lt;=1280,"Yes","No")</f>
        <v>No</v>
      </c>
      <c r="E1282" s="1">
        <v>45880</v>
      </c>
      <c r="F1282" s="1">
        <v>46027</v>
      </c>
      <c r="G1282">
        <f t="shared" ref="G1282:G1345" ca="1" si="143">IF($F1282="","",$F1282-TODAY())</f>
        <v>-56</v>
      </c>
      <c r="H1282" t="str">
        <f t="shared" ref="H1282:H1345" ca="1" si="144">IF($C1282="No","Not Required",
IF($D1282="No","Missing",
IF($F1282&lt;TODAY(),"Expired",
IF($F1282&lt;=TODAY()+30,"Expiring Soon","Active"))))</f>
        <v>Missing</v>
      </c>
      <c r="I1282">
        <f t="shared" ref="I1282:I1345" ca="1" si="145">IF(OR($H1282="Missing",$H1282="Expired",$H1282="Expiring Soon"),1,0)</f>
        <v>1</v>
      </c>
      <c r="J1282" t="str">
        <f t="shared" si="139"/>
        <v>Environmental</v>
      </c>
    </row>
    <row r="1283" spans="1:10">
      <c r="A1283" t="str" cm="1">
        <f t="array" ref="A1283">INDEX(Vendor_Master!$A$2:$A$401, ROUNDUP((ROW()-1)/4, 0))</f>
        <v>VND-321</v>
      </c>
      <c r="B1283" t="str">
        <f t="shared" si="140"/>
        <v>Safety Certificate</v>
      </c>
      <c r="C1283" t="str">
        <f t="shared" si="141"/>
        <v>Yes</v>
      </c>
      <c r="D1283" t="str">
        <f t="shared" si="142"/>
        <v>No</v>
      </c>
      <c r="E1283" s="1">
        <v>45498</v>
      </c>
      <c r="F1283" s="1">
        <v>45950</v>
      </c>
      <c r="G1283">
        <f t="shared" ca="1" si="143"/>
        <v>-133</v>
      </c>
      <c r="H1283" t="str">
        <f t="shared" ca="1" si="144"/>
        <v>Missing</v>
      </c>
      <c r="I1283">
        <f t="shared" ca="1" si="145"/>
        <v>1</v>
      </c>
      <c r="J1283" t="str">
        <f t="shared" ref="J1283:J1346" si="146">IF(B1283="ISO 14001","Environmental",
 IF(B1283="Environmental Policy","Environmental",
 IF(B1283="Sustainability Disclosure","Environmental",
 IF(B1283="Safety Certificate","Safety","Regulatory"))))</f>
        <v>Safety</v>
      </c>
    </row>
    <row r="1284" spans="1:10">
      <c r="A1284" t="str" cm="1">
        <f t="array" ref="A1284">INDEX(Vendor_Master!$A$2:$A$401, ROUNDUP((ROW()-1)/4, 0))</f>
        <v>VND-321</v>
      </c>
      <c r="B1284" t="str">
        <f t="shared" si="140"/>
        <v>Environmental Policy</v>
      </c>
      <c r="C1284" t="str">
        <f t="shared" si="141"/>
        <v>Yes</v>
      </c>
      <c r="D1284" t="str">
        <f t="shared" si="142"/>
        <v>No</v>
      </c>
      <c r="E1284" s="1">
        <v>45909</v>
      </c>
      <c r="F1284" s="1">
        <v>46056</v>
      </c>
      <c r="G1284">
        <f t="shared" ca="1" si="143"/>
        <v>-27</v>
      </c>
      <c r="H1284" t="str">
        <f t="shared" ca="1" si="144"/>
        <v>Missing</v>
      </c>
      <c r="I1284">
        <f t="shared" ca="1" si="145"/>
        <v>1</v>
      </c>
      <c r="J1284" t="str">
        <f t="shared" si="146"/>
        <v>Environmental</v>
      </c>
    </row>
    <row r="1285" spans="1:10">
      <c r="A1285" t="str" cm="1">
        <f t="array" ref="A1285">INDEX(Vendor_Master!$A$2:$A$401, ROUNDUP((ROW()-1)/4, 0))</f>
        <v>VND-321</v>
      </c>
      <c r="B1285" t="str">
        <f t="shared" si="140"/>
        <v>Sustainability Disclosure</v>
      </c>
      <c r="C1285" t="str">
        <f t="shared" si="141"/>
        <v>Yes</v>
      </c>
      <c r="D1285" t="str">
        <f t="shared" si="142"/>
        <v>No</v>
      </c>
      <c r="E1285" s="1">
        <v>45969</v>
      </c>
      <c r="F1285" s="1">
        <v>46062</v>
      </c>
      <c r="G1285">
        <f t="shared" ca="1" si="143"/>
        <v>-21</v>
      </c>
      <c r="H1285" t="str">
        <f t="shared" ca="1" si="144"/>
        <v>Missing</v>
      </c>
      <c r="I1285">
        <f t="shared" ca="1" si="145"/>
        <v>1</v>
      </c>
      <c r="J1285" t="str">
        <f t="shared" si="146"/>
        <v>Environmental</v>
      </c>
    </row>
    <row r="1286" spans="1:10">
      <c r="A1286" t="str" cm="1">
        <f t="array" ref="A1286">INDEX(Vendor_Master!$A$2:$A$401, ROUNDUP((ROW()-1)/4, 0))</f>
        <v>VND-322</v>
      </c>
      <c r="B1286" t="str">
        <f t="shared" si="140"/>
        <v>ISO 14001</v>
      </c>
      <c r="C1286" t="str">
        <f t="shared" si="141"/>
        <v>Yes</v>
      </c>
      <c r="D1286" t="str">
        <f t="shared" si="142"/>
        <v>No</v>
      </c>
      <c r="E1286" s="1">
        <v>45439</v>
      </c>
      <c r="F1286" s="1">
        <v>45930</v>
      </c>
      <c r="G1286">
        <f t="shared" ca="1" si="143"/>
        <v>-153</v>
      </c>
      <c r="H1286" t="str">
        <f t="shared" ca="1" si="144"/>
        <v>Missing</v>
      </c>
      <c r="I1286">
        <f t="shared" ca="1" si="145"/>
        <v>1</v>
      </c>
      <c r="J1286" t="str">
        <f t="shared" si="146"/>
        <v>Environmental</v>
      </c>
    </row>
    <row r="1287" spans="1:10">
      <c r="A1287" t="str" cm="1">
        <f t="array" ref="A1287">INDEX(Vendor_Master!$A$2:$A$401, ROUNDUP((ROW()-1)/4, 0))</f>
        <v>VND-322</v>
      </c>
      <c r="B1287" t="str">
        <f t="shared" si="140"/>
        <v>Safety Certificate</v>
      </c>
      <c r="C1287" t="str">
        <f t="shared" si="141"/>
        <v>Yes</v>
      </c>
      <c r="D1287" t="str">
        <f t="shared" si="142"/>
        <v>No</v>
      </c>
      <c r="E1287" s="1">
        <v>45443</v>
      </c>
      <c r="F1287" s="1">
        <v>46032</v>
      </c>
      <c r="G1287">
        <f t="shared" ca="1" si="143"/>
        <v>-51</v>
      </c>
      <c r="H1287" t="str">
        <f t="shared" ca="1" si="144"/>
        <v>Missing</v>
      </c>
      <c r="I1287">
        <f t="shared" ca="1" si="145"/>
        <v>1</v>
      </c>
      <c r="J1287" t="str">
        <f t="shared" si="146"/>
        <v>Safety</v>
      </c>
    </row>
    <row r="1288" spans="1:10">
      <c r="A1288" t="str" cm="1">
        <f t="array" ref="A1288">INDEX(Vendor_Master!$A$2:$A$401, ROUNDUP((ROW()-1)/4, 0))</f>
        <v>VND-322</v>
      </c>
      <c r="B1288" t="str">
        <f t="shared" si="140"/>
        <v>Environmental Policy</v>
      </c>
      <c r="C1288" t="str">
        <f t="shared" si="141"/>
        <v>Yes</v>
      </c>
      <c r="D1288" t="str">
        <f t="shared" si="142"/>
        <v>No</v>
      </c>
      <c r="E1288" s="1">
        <v>45929</v>
      </c>
      <c r="F1288" s="1">
        <v>45932</v>
      </c>
      <c r="G1288">
        <f t="shared" ca="1" si="143"/>
        <v>-151</v>
      </c>
      <c r="H1288" t="str">
        <f t="shared" ca="1" si="144"/>
        <v>Missing</v>
      </c>
      <c r="I1288">
        <f t="shared" ca="1" si="145"/>
        <v>1</v>
      </c>
      <c r="J1288" t="str">
        <f t="shared" si="146"/>
        <v>Environmental</v>
      </c>
    </row>
    <row r="1289" spans="1:10">
      <c r="A1289" t="str" cm="1">
        <f t="array" ref="A1289">INDEX(Vendor_Master!$A$2:$A$401, ROUNDUP((ROW()-1)/4, 0))</f>
        <v>VND-322</v>
      </c>
      <c r="B1289" t="str">
        <f t="shared" si="140"/>
        <v>Sustainability Disclosure</v>
      </c>
      <c r="C1289" t="str">
        <f t="shared" si="141"/>
        <v>Yes</v>
      </c>
      <c r="D1289" t="str">
        <f t="shared" si="142"/>
        <v>No</v>
      </c>
      <c r="E1289" s="1">
        <v>45758</v>
      </c>
      <c r="F1289" s="1">
        <v>46077</v>
      </c>
      <c r="G1289">
        <f t="shared" ca="1" si="143"/>
        <v>-6</v>
      </c>
      <c r="H1289" t="str">
        <f t="shared" ca="1" si="144"/>
        <v>Missing</v>
      </c>
      <c r="I1289">
        <f t="shared" ca="1" si="145"/>
        <v>1</v>
      </c>
      <c r="J1289" t="str">
        <f t="shared" si="146"/>
        <v>Environmental</v>
      </c>
    </row>
    <row r="1290" spans="1:10">
      <c r="A1290" t="str" cm="1">
        <f t="array" ref="A1290">INDEX(Vendor_Master!$A$2:$A$401, ROUNDUP((ROW()-1)/4, 0))</f>
        <v>VND-323</v>
      </c>
      <c r="B1290" t="str">
        <f t="shared" si="140"/>
        <v>ISO 14001</v>
      </c>
      <c r="C1290" t="str">
        <f t="shared" si="141"/>
        <v>Yes</v>
      </c>
      <c r="D1290" t="str">
        <f t="shared" si="142"/>
        <v>No</v>
      </c>
      <c r="E1290" s="1">
        <v>45644</v>
      </c>
      <c r="F1290" s="1">
        <v>46024</v>
      </c>
      <c r="G1290">
        <f t="shared" ca="1" si="143"/>
        <v>-59</v>
      </c>
      <c r="H1290" t="str">
        <f t="shared" ca="1" si="144"/>
        <v>Missing</v>
      </c>
      <c r="I1290">
        <f t="shared" ca="1" si="145"/>
        <v>1</v>
      </c>
      <c r="J1290" t="str">
        <f t="shared" si="146"/>
        <v>Environmental</v>
      </c>
    </row>
    <row r="1291" spans="1:10">
      <c r="A1291" t="str" cm="1">
        <f t="array" ref="A1291">INDEX(Vendor_Master!$A$2:$A$401, ROUNDUP((ROW()-1)/4, 0))</f>
        <v>VND-323</v>
      </c>
      <c r="B1291" t="str">
        <f t="shared" si="140"/>
        <v>Safety Certificate</v>
      </c>
      <c r="C1291" t="str">
        <f t="shared" si="141"/>
        <v>Yes</v>
      </c>
      <c r="D1291" t="str">
        <f t="shared" si="142"/>
        <v>No</v>
      </c>
      <c r="E1291" s="1">
        <v>45437</v>
      </c>
      <c r="F1291" s="1">
        <v>45923</v>
      </c>
      <c r="G1291">
        <f t="shared" ca="1" si="143"/>
        <v>-160</v>
      </c>
      <c r="H1291" t="str">
        <f t="shared" ca="1" si="144"/>
        <v>Missing</v>
      </c>
      <c r="I1291">
        <f t="shared" ca="1" si="145"/>
        <v>1</v>
      </c>
      <c r="J1291" t="str">
        <f t="shared" si="146"/>
        <v>Safety</v>
      </c>
    </row>
    <row r="1292" spans="1:10">
      <c r="A1292" t="str" cm="1">
        <f t="array" ref="A1292">INDEX(Vendor_Master!$A$2:$A$401, ROUNDUP((ROW()-1)/4, 0))</f>
        <v>VND-323</v>
      </c>
      <c r="B1292" t="str">
        <f t="shared" si="140"/>
        <v>Environmental Policy</v>
      </c>
      <c r="C1292" t="str">
        <f t="shared" si="141"/>
        <v>Yes</v>
      </c>
      <c r="D1292" t="str">
        <f t="shared" si="142"/>
        <v>No</v>
      </c>
      <c r="E1292" s="1">
        <v>45627</v>
      </c>
      <c r="F1292" s="1">
        <v>45969</v>
      </c>
      <c r="G1292">
        <f t="shared" ca="1" si="143"/>
        <v>-114</v>
      </c>
      <c r="H1292" t="str">
        <f t="shared" ca="1" si="144"/>
        <v>Missing</v>
      </c>
      <c r="I1292">
        <f t="shared" ca="1" si="145"/>
        <v>1</v>
      </c>
      <c r="J1292" t="str">
        <f t="shared" si="146"/>
        <v>Environmental</v>
      </c>
    </row>
    <row r="1293" spans="1:10">
      <c r="A1293" t="str" cm="1">
        <f t="array" ref="A1293">INDEX(Vendor_Master!$A$2:$A$401, ROUNDUP((ROW()-1)/4, 0))</f>
        <v>VND-323</v>
      </c>
      <c r="B1293" t="str">
        <f t="shared" si="140"/>
        <v>Sustainability Disclosure</v>
      </c>
      <c r="C1293" t="str">
        <f t="shared" si="141"/>
        <v>Yes</v>
      </c>
      <c r="D1293" t="str">
        <f t="shared" si="142"/>
        <v>No</v>
      </c>
      <c r="E1293" s="1">
        <v>45405</v>
      </c>
      <c r="F1293" s="1">
        <v>45909</v>
      </c>
      <c r="G1293">
        <f t="shared" ca="1" si="143"/>
        <v>-174</v>
      </c>
      <c r="H1293" t="str">
        <f t="shared" ca="1" si="144"/>
        <v>Missing</v>
      </c>
      <c r="I1293">
        <f t="shared" ca="1" si="145"/>
        <v>1</v>
      </c>
      <c r="J1293" t="str">
        <f t="shared" si="146"/>
        <v>Environmental</v>
      </c>
    </row>
    <row r="1294" spans="1:10">
      <c r="A1294" t="str" cm="1">
        <f t="array" ref="A1294">INDEX(Vendor_Master!$A$2:$A$401, ROUNDUP((ROW()-1)/4, 0))</f>
        <v>VND-324</v>
      </c>
      <c r="B1294" t="str">
        <f t="shared" si="140"/>
        <v>ISO 14001</v>
      </c>
      <c r="C1294" t="str">
        <f t="shared" si="141"/>
        <v>Yes</v>
      </c>
      <c r="D1294" t="str">
        <f t="shared" si="142"/>
        <v>No</v>
      </c>
      <c r="E1294" s="1">
        <v>45512</v>
      </c>
      <c r="F1294" s="1">
        <v>45985</v>
      </c>
      <c r="G1294">
        <f t="shared" ca="1" si="143"/>
        <v>-98</v>
      </c>
      <c r="H1294" t="str">
        <f t="shared" ca="1" si="144"/>
        <v>Missing</v>
      </c>
      <c r="I1294">
        <f t="shared" ca="1" si="145"/>
        <v>1</v>
      </c>
      <c r="J1294" t="str">
        <f t="shared" si="146"/>
        <v>Environmental</v>
      </c>
    </row>
    <row r="1295" spans="1:10">
      <c r="A1295" t="str" cm="1">
        <f t="array" ref="A1295">INDEX(Vendor_Master!$A$2:$A$401, ROUNDUP((ROW()-1)/4, 0))</f>
        <v>VND-324</v>
      </c>
      <c r="B1295" t="str">
        <f t="shared" si="140"/>
        <v>Safety Certificate</v>
      </c>
      <c r="C1295" t="str">
        <f t="shared" si="141"/>
        <v>Yes</v>
      </c>
      <c r="D1295" t="str">
        <f t="shared" si="142"/>
        <v>No</v>
      </c>
      <c r="E1295" s="1">
        <v>45424</v>
      </c>
      <c r="F1295" s="1">
        <v>45944</v>
      </c>
      <c r="G1295">
        <f t="shared" ca="1" si="143"/>
        <v>-139</v>
      </c>
      <c r="H1295" t="str">
        <f t="shared" ca="1" si="144"/>
        <v>Missing</v>
      </c>
      <c r="I1295">
        <f t="shared" ca="1" si="145"/>
        <v>1</v>
      </c>
      <c r="J1295" t="str">
        <f t="shared" si="146"/>
        <v>Safety</v>
      </c>
    </row>
    <row r="1296" spans="1:10">
      <c r="A1296" t="str" cm="1">
        <f t="array" ref="A1296">INDEX(Vendor_Master!$A$2:$A$401, ROUNDUP((ROW()-1)/4, 0))</f>
        <v>VND-324</v>
      </c>
      <c r="B1296" t="str">
        <f t="shared" si="140"/>
        <v>Environmental Policy</v>
      </c>
      <c r="C1296" t="str">
        <f t="shared" si="141"/>
        <v>Yes</v>
      </c>
      <c r="D1296" t="str">
        <f t="shared" si="142"/>
        <v>No</v>
      </c>
      <c r="E1296" s="1">
        <v>45672</v>
      </c>
      <c r="F1296" s="1">
        <v>46062</v>
      </c>
      <c r="G1296">
        <f t="shared" ca="1" si="143"/>
        <v>-21</v>
      </c>
      <c r="H1296" t="str">
        <f t="shared" ca="1" si="144"/>
        <v>Missing</v>
      </c>
      <c r="I1296">
        <f t="shared" ca="1" si="145"/>
        <v>1</v>
      </c>
      <c r="J1296" t="str">
        <f t="shared" si="146"/>
        <v>Environmental</v>
      </c>
    </row>
    <row r="1297" spans="1:10">
      <c r="A1297" t="str" cm="1">
        <f t="array" ref="A1297">INDEX(Vendor_Master!$A$2:$A$401, ROUNDUP((ROW()-1)/4, 0))</f>
        <v>VND-324</v>
      </c>
      <c r="B1297" t="str">
        <f t="shared" si="140"/>
        <v>Sustainability Disclosure</v>
      </c>
      <c r="C1297" t="str">
        <f t="shared" si="141"/>
        <v>Yes</v>
      </c>
      <c r="D1297" t="str">
        <f t="shared" si="142"/>
        <v>No</v>
      </c>
      <c r="E1297" s="1">
        <v>45971</v>
      </c>
      <c r="F1297" s="1">
        <v>45920</v>
      </c>
      <c r="G1297">
        <f t="shared" ca="1" si="143"/>
        <v>-163</v>
      </c>
      <c r="H1297" t="str">
        <f t="shared" ca="1" si="144"/>
        <v>Missing</v>
      </c>
      <c r="I1297">
        <f t="shared" ca="1" si="145"/>
        <v>1</v>
      </c>
      <c r="J1297" t="str">
        <f t="shared" si="146"/>
        <v>Environmental</v>
      </c>
    </row>
    <row r="1298" spans="1:10">
      <c r="A1298" t="str" cm="1">
        <f t="array" ref="A1298">INDEX(Vendor_Master!$A$2:$A$401, ROUNDUP((ROW()-1)/4, 0))</f>
        <v>VND-325</v>
      </c>
      <c r="B1298" t="str">
        <f t="shared" si="140"/>
        <v>ISO 14001</v>
      </c>
      <c r="C1298" t="str">
        <f t="shared" si="141"/>
        <v>Yes</v>
      </c>
      <c r="D1298" t="str">
        <f t="shared" si="142"/>
        <v>No</v>
      </c>
      <c r="E1298" s="1">
        <v>45894</v>
      </c>
      <c r="F1298" s="1">
        <v>46049</v>
      </c>
      <c r="G1298">
        <f t="shared" ca="1" si="143"/>
        <v>-34</v>
      </c>
      <c r="H1298" t="str">
        <f t="shared" ca="1" si="144"/>
        <v>Missing</v>
      </c>
      <c r="I1298">
        <f t="shared" ca="1" si="145"/>
        <v>1</v>
      </c>
      <c r="J1298" t="str">
        <f t="shared" si="146"/>
        <v>Environmental</v>
      </c>
    </row>
    <row r="1299" spans="1:10">
      <c r="A1299" t="str" cm="1">
        <f t="array" ref="A1299">INDEX(Vendor_Master!$A$2:$A$401, ROUNDUP((ROW()-1)/4, 0))</f>
        <v>VND-325</v>
      </c>
      <c r="B1299" t="str">
        <f t="shared" si="140"/>
        <v>Safety Certificate</v>
      </c>
      <c r="C1299" t="str">
        <f t="shared" si="141"/>
        <v>Yes</v>
      </c>
      <c r="D1299" t="str">
        <f t="shared" si="142"/>
        <v>No</v>
      </c>
      <c r="E1299" s="1">
        <v>45441</v>
      </c>
      <c r="F1299" s="1">
        <v>45954</v>
      </c>
      <c r="G1299">
        <f t="shared" ca="1" si="143"/>
        <v>-129</v>
      </c>
      <c r="H1299" t="str">
        <f t="shared" ca="1" si="144"/>
        <v>Missing</v>
      </c>
      <c r="I1299">
        <f t="shared" ca="1" si="145"/>
        <v>1</v>
      </c>
      <c r="J1299" t="str">
        <f t="shared" si="146"/>
        <v>Safety</v>
      </c>
    </row>
    <row r="1300" spans="1:10">
      <c r="A1300" t="str" cm="1">
        <f t="array" ref="A1300">INDEX(Vendor_Master!$A$2:$A$401, ROUNDUP((ROW()-1)/4, 0))</f>
        <v>VND-325</v>
      </c>
      <c r="B1300" t="str">
        <f t="shared" si="140"/>
        <v>Environmental Policy</v>
      </c>
      <c r="C1300" t="str">
        <f t="shared" si="141"/>
        <v>Yes</v>
      </c>
      <c r="D1300" t="str">
        <f t="shared" si="142"/>
        <v>No</v>
      </c>
      <c r="E1300" s="1">
        <v>45735</v>
      </c>
      <c r="F1300" s="1">
        <v>45977</v>
      </c>
      <c r="G1300">
        <f t="shared" ca="1" si="143"/>
        <v>-106</v>
      </c>
      <c r="H1300" t="str">
        <f t="shared" ca="1" si="144"/>
        <v>Missing</v>
      </c>
      <c r="I1300">
        <f t="shared" ca="1" si="145"/>
        <v>1</v>
      </c>
      <c r="J1300" t="str">
        <f t="shared" si="146"/>
        <v>Environmental</v>
      </c>
    </row>
    <row r="1301" spans="1:10">
      <c r="A1301" t="str" cm="1">
        <f t="array" ref="A1301">INDEX(Vendor_Master!$A$2:$A$401, ROUNDUP((ROW()-1)/4, 0))</f>
        <v>VND-325</v>
      </c>
      <c r="B1301" t="str">
        <f t="shared" si="140"/>
        <v>Sustainability Disclosure</v>
      </c>
      <c r="C1301" t="str">
        <f t="shared" si="141"/>
        <v>Yes</v>
      </c>
      <c r="D1301" t="str">
        <f t="shared" si="142"/>
        <v>No</v>
      </c>
      <c r="E1301" s="1">
        <v>45821</v>
      </c>
      <c r="F1301" s="1">
        <v>45922</v>
      </c>
      <c r="G1301">
        <f t="shared" ca="1" si="143"/>
        <v>-161</v>
      </c>
      <c r="H1301" t="str">
        <f t="shared" ca="1" si="144"/>
        <v>Missing</v>
      </c>
      <c r="I1301">
        <f t="shared" ca="1" si="145"/>
        <v>1</v>
      </c>
      <c r="J1301" t="str">
        <f t="shared" si="146"/>
        <v>Environmental</v>
      </c>
    </row>
    <row r="1302" spans="1:10">
      <c r="A1302" t="str" cm="1">
        <f t="array" ref="A1302">INDEX(Vendor_Master!$A$2:$A$401, ROUNDUP((ROW()-1)/4, 0))</f>
        <v>VND-326</v>
      </c>
      <c r="B1302" t="str">
        <f t="shared" si="140"/>
        <v>ISO 14001</v>
      </c>
      <c r="C1302" t="str">
        <f t="shared" si="141"/>
        <v>Yes</v>
      </c>
      <c r="D1302" t="str">
        <f t="shared" si="142"/>
        <v>No</v>
      </c>
      <c r="E1302" s="1">
        <v>45815</v>
      </c>
      <c r="F1302" s="1">
        <v>46026</v>
      </c>
      <c r="G1302">
        <f t="shared" ca="1" si="143"/>
        <v>-57</v>
      </c>
      <c r="H1302" t="str">
        <f t="shared" ca="1" si="144"/>
        <v>Missing</v>
      </c>
      <c r="I1302">
        <f t="shared" ca="1" si="145"/>
        <v>1</v>
      </c>
      <c r="J1302" t="str">
        <f t="shared" si="146"/>
        <v>Environmental</v>
      </c>
    </row>
    <row r="1303" spans="1:10">
      <c r="A1303" t="str" cm="1">
        <f t="array" ref="A1303">INDEX(Vendor_Master!$A$2:$A$401, ROUNDUP((ROW()-1)/4, 0))</f>
        <v>VND-326</v>
      </c>
      <c r="B1303" t="str">
        <f t="shared" si="140"/>
        <v>Safety Certificate</v>
      </c>
      <c r="C1303" t="str">
        <f t="shared" si="141"/>
        <v>Yes</v>
      </c>
      <c r="D1303" t="str">
        <f t="shared" si="142"/>
        <v>No</v>
      </c>
      <c r="E1303" s="1">
        <v>45886</v>
      </c>
      <c r="F1303" s="1">
        <v>45994</v>
      </c>
      <c r="G1303">
        <f t="shared" ca="1" si="143"/>
        <v>-89</v>
      </c>
      <c r="H1303" t="str">
        <f t="shared" ca="1" si="144"/>
        <v>Missing</v>
      </c>
      <c r="I1303">
        <f t="shared" ca="1" si="145"/>
        <v>1</v>
      </c>
      <c r="J1303" t="str">
        <f t="shared" si="146"/>
        <v>Safety</v>
      </c>
    </row>
    <row r="1304" spans="1:10">
      <c r="A1304" t="str" cm="1">
        <f t="array" ref="A1304">INDEX(Vendor_Master!$A$2:$A$401, ROUNDUP((ROW()-1)/4, 0))</f>
        <v>VND-326</v>
      </c>
      <c r="B1304" t="str">
        <f t="shared" si="140"/>
        <v>Environmental Policy</v>
      </c>
      <c r="C1304" t="str">
        <f t="shared" si="141"/>
        <v>Yes</v>
      </c>
      <c r="D1304" t="str">
        <f t="shared" si="142"/>
        <v>No</v>
      </c>
      <c r="E1304" s="1">
        <v>45837</v>
      </c>
      <c r="F1304" s="1">
        <v>45936</v>
      </c>
      <c r="G1304">
        <f t="shared" ca="1" si="143"/>
        <v>-147</v>
      </c>
      <c r="H1304" t="str">
        <f t="shared" ca="1" si="144"/>
        <v>Missing</v>
      </c>
      <c r="I1304">
        <f t="shared" ca="1" si="145"/>
        <v>1</v>
      </c>
      <c r="J1304" t="str">
        <f t="shared" si="146"/>
        <v>Environmental</v>
      </c>
    </row>
    <row r="1305" spans="1:10">
      <c r="A1305" t="str" cm="1">
        <f t="array" ref="A1305">INDEX(Vendor_Master!$A$2:$A$401, ROUNDUP((ROW()-1)/4, 0))</f>
        <v>VND-326</v>
      </c>
      <c r="B1305" t="str">
        <f t="shared" si="140"/>
        <v>Sustainability Disclosure</v>
      </c>
      <c r="C1305" t="str">
        <f t="shared" si="141"/>
        <v>Yes</v>
      </c>
      <c r="D1305" t="str">
        <f t="shared" si="142"/>
        <v>No</v>
      </c>
      <c r="E1305" s="1">
        <v>45409</v>
      </c>
      <c r="F1305" s="1">
        <v>45959</v>
      </c>
      <c r="G1305">
        <f t="shared" ca="1" si="143"/>
        <v>-124</v>
      </c>
      <c r="H1305" t="str">
        <f t="shared" ca="1" si="144"/>
        <v>Missing</v>
      </c>
      <c r="I1305">
        <f t="shared" ca="1" si="145"/>
        <v>1</v>
      </c>
      <c r="J1305" t="str">
        <f t="shared" si="146"/>
        <v>Environmental</v>
      </c>
    </row>
    <row r="1306" spans="1:10">
      <c r="A1306" t="str" cm="1">
        <f t="array" ref="A1306">INDEX(Vendor_Master!$A$2:$A$401, ROUNDUP((ROW()-1)/4, 0))</f>
        <v>VND-327</v>
      </c>
      <c r="B1306" t="str">
        <f t="shared" si="140"/>
        <v>ISO 14001</v>
      </c>
      <c r="C1306" t="str">
        <f t="shared" si="141"/>
        <v>Yes</v>
      </c>
      <c r="D1306" t="str">
        <f t="shared" si="142"/>
        <v>No</v>
      </c>
      <c r="E1306" s="1">
        <v>45730</v>
      </c>
      <c r="F1306" s="1">
        <v>46038</v>
      </c>
      <c r="G1306">
        <f t="shared" ca="1" si="143"/>
        <v>-45</v>
      </c>
      <c r="H1306" t="str">
        <f t="shared" ca="1" si="144"/>
        <v>Missing</v>
      </c>
      <c r="I1306">
        <f t="shared" ca="1" si="145"/>
        <v>1</v>
      </c>
      <c r="J1306" t="str">
        <f t="shared" si="146"/>
        <v>Environmental</v>
      </c>
    </row>
    <row r="1307" spans="1:10">
      <c r="A1307" t="str" cm="1">
        <f t="array" ref="A1307">INDEX(Vendor_Master!$A$2:$A$401, ROUNDUP((ROW()-1)/4, 0))</f>
        <v>VND-327</v>
      </c>
      <c r="B1307" t="str">
        <f t="shared" si="140"/>
        <v>Safety Certificate</v>
      </c>
      <c r="C1307" t="str">
        <f t="shared" si="141"/>
        <v>Yes</v>
      </c>
      <c r="D1307" t="str">
        <f t="shared" si="142"/>
        <v>No</v>
      </c>
      <c r="E1307" s="1">
        <v>45951</v>
      </c>
      <c r="F1307" s="1">
        <v>46040</v>
      </c>
      <c r="G1307">
        <f t="shared" ca="1" si="143"/>
        <v>-43</v>
      </c>
      <c r="H1307" t="str">
        <f t="shared" ca="1" si="144"/>
        <v>Missing</v>
      </c>
      <c r="I1307">
        <f t="shared" ca="1" si="145"/>
        <v>1</v>
      </c>
      <c r="J1307" t="str">
        <f t="shared" si="146"/>
        <v>Safety</v>
      </c>
    </row>
    <row r="1308" spans="1:10">
      <c r="A1308" t="str" cm="1">
        <f t="array" ref="A1308">INDEX(Vendor_Master!$A$2:$A$401, ROUNDUP((ROW()-1)/4, 0))</f>
        <v>VND-327</v>
      </c>
      <c r="B1308" t="str">
        <f t="shared" si="140"/>
        <v>Environmental Policy</v>
      </c>
      <c r="C1308" t="str">
        <f t="shared" si="141"/>
        <v>Yes</v>
      </c>
      <c r="D1308" t="str">
        <f t="shared" si="142"/>
        <v>No</v>
      </c>
      <c r="E1308" s="1">
        <v>45832</v>
      </c>
      <c r="F1308" s="1">
        <v>45974</v>
      </c>
      <c r="G1308">
        <f t="shared" ca="1" si="143"/>
        <v>-109</v>
      </c>
      <c r="H1308" t="str">
        <f t="shared" ca="1" si="144"/>
        <v>Missing</v>
      </c>
      <c r="I1308">
        <f t="shared" ca="1" si="145"/>
        <v>1</v>
      </c>
      <c r="J1308" t="str">
        <f t="shared" si="146"/>
        <v>Environmental</v>
      </c>
    </row>
    <row r="1309" spans="1:10">
      <c r="A1309" t="str" cm="1">
        <f t="array" ref="A1309">INDEX(Vendor_Master!$A$2:$A$401, ROUNDUP((ROW()-1)/4, 0))</f>
        <v>VND-327</v>
      </c>
      <c r="B1309" t="str">
        <f t="shared" si="140"/>
        <v>Sustainability Disclosure</v>
      </c>
      <c r="C1309" t="str">
        <f t="shared" si="141"/>
        <v>Yes</v>
      </c>
      <c r="D1309" t="str">
        <f t="shared" si="142"/>
        <v>No</v>
      </c>
      <c r="E1309" s="1">
        <v>45517</v>
      </c>
      <c r="F1309" s="1">
        <v>45939</v>
      </c>
      <c r="G1309">
        <f t="shared" ca="1" si="143"/>
        <v>-144</v>
      </c>
      <c r="H1309" t="str">
        <f t="shared" ca="1" si="144"/>
        <v>Missing</v>
      </c>
      <c r="I1309">
        <f t="shared" ca="1" si="145"/>
        <v>1</v>
      </c>
      <c r="J1309" t="str">
        <f t="shared" si="146"/>
        <v>Environmental</v>
      </c>
    </row>
    <row r="1310" spans="1:10">
      <c r="A1310" t="str" cm="1">
        <f t="array" ref="A1310">INDEX(Vendor_Master!$A$2:$A$401, ROUNDUP((ROW()-1)/4, 0))</f>
        <v>VND-328</v>
      </c>
      <c r="B1310" t="str">
        <f t="shared" si="140"/>
        <v>ISO 14001</v>
      </c>
      <c r="C1310" t="str">
        <f t="shared" si="141"/>
        <v>Yes</v>
      </c>
      <c r="D1310" t="str">
        <f t="shared" si="142"/>
        <v>No</v>
      </c>
      <c r="E1310" s="1">
        <v>45436</v>
      </c>
      <c r="F1310" s="1">
        <v>45914</v>
      </c>
      <c r="G1310">
        <f t="shared" ca="1" si="143"/>
        <v>-169</v>
      </c>
      <c r="H1310" t="str">
        <f t="shared" ca="1" si="144"/>
        <v>Missing</v>
      </c>
      <c r="I1310">
        <f t="shared" ca="1" si="145"/>
        <v>1</v>
      </c>
      <c r="J1310" t="str">
        <f t="shared" si="146"/>
        <v>Environmental</v>
      </c>
    </row>
    <row r="1311" spans="1:10">
      <c r="A1311" t="str" cm="1">
        <f t="array" ref="A1311">INDEX(Vendor_Master!$A$2:$A$401, ROUNDUP((ROW()-1)/4, 0))</f>
        <v>VND-328</v>
      </c>
      <c r="B1311" t="str">
        <f t="shared" si="140"/>
        <v>Safety Certificate</v>
      </c>
      <c r="C1311" t="str">
        <f t="shared" si="141"/>
        <v>Yes</v>
      </c>
      <c r="D1311" t="str">
        <f t="shared" si="142"/>
        <v>No</v>
      </c>
      <c r="E1311" s="1">
        <v>45527</v>
      </c>
      <c r="F1311" s="1">
        <v>46006</v>
      </c>
      <c r="G1311">
        <f t="shared" ca="1" si="143"/>
        <v>-77</v>
      </c>
      <c r="H1311" t="str">
        <f t="shared" ca="1" si="144"/>
        <v>Missing</v>
      </c>
      <c r="I1311">
        <f t="shared" ca="1" si="145"/>
        <v>1</v>
      </c>
      <c r="J1311" t="str">
        <f t="shared" si="146"/>
        <v>Safety</v>
      </c>
    </row>
    <row r="1312" spans="1:10">
      <c r="A1312" t="str" cm="1">
        <f t="array" ref="A1312">INDEX(Vendor_Master!$A$2:$A$401, ROUNDUP((ROW()-1)/4, 0))</f>
        <v>VND-328</v>
      </c>
      <c r="B1312" t="str">
        <f t="shared" si="140"/>
        <v>Environmental Policy</v>
      </c>
      <c r="C1312" t="str">
        <f t="shared" si="141"/>
        <v>Yes</v>
      </c>
      <c r="D1312" t="str">
        <f t="shared" si="142"/>
        <v>No</v>
      </c>
      <c r="E1312" s="1">
        <v>45877</v>
      </c>
      <c r="F1312" s="1">
        <v>45950</v>
      </c>
      <c r="G1312">
        <f t="shared" ca="1" si="143"/>
        <v>-133</v>
      </c>
      <c r="H1312" t="str">
        <f t="shared" ca="1" si="144"/>
        <v>Missing</v>
      </c>
      <c r="I1312">
        <f t="shared" ca="1" si="145"/>
        <v>1</v>
      </c>
      <c r="J1312" t="str">
        <f t="shared" si="146"/>
        <v>Environmental</v>
      </c>
    </row>
    <row r="1313" spans="1:10">
      <c r="A1313" t="str" cm="1">
        <f t="array" ref="A1313">INDEX(Vendor_Master!$A$2:$A$401, ROUNDUP((ROW()-1)/4, 0))</f>
        <v>VND-328</v>
      </c>
      <c r="B1313" t="str">
        <f t="shared" si="140"/>
        <v>Sustainability Disclosure</v>
      </c>
      <c r="C1313" t="str">
        <f t="shared" si="141"/>
        <v>Yes</v>
      </c>
      <c r="D1313" t="str">
        <f t="shared" si="142"/>
        <v>No</v>
      </c>
      <c r="E1313" s="1">
        <v>45539</v>
      </c>
      <c r="F1313" s="1">
        <v>46011</v>
      </c>
      <c r="G1313">
        <f t="shared" ca="1" si="143"/>
        <v>-72</v>
      </c>
      <c r="H1313" t="str">
        <f t="shared" ca="1" si="144"/>
        <v>Missing</v>
      </c>
      <c r="I1313">
        <f t="shared" ca="1" si="145"/>
        <v>1</v>
      </c>
      <c r="J1313" t="str">
        <f t="shared" si="146"/>
        <v>Environmental</v>
      </c>
    </row>
    <row r="1314" spans="1:10">
      <c r="A1314" t="str" cm="1">
        <f t="array" ref="A1314">INDEX(Vendor_Master!$A$2:$A$401, ROUNDUP((ROW()-1)/4, 0))</f>
        <v>VND-329</v>
      </c>
      <c r="B1314" t="str">
        <f t="shared" si="140"/>
        <v>ISO 14001</v>
      </c>
      <c r="C1314" t="str">
        <f t="shared" si="141"/>
        <v>Yes</v>
      </c>
      <c r="D1314" t="str">
        <f t="shared" si="142"/>
        <v>No</v>
      </c>
      <c r="E1314" s="1">
        <v>45542</v>
      </c>
      <c r="F1314" s="1">
        <v>45978</v>
      </c>
      <c r="G1314">
        <f t="shared" ca="1" si="143"/>
        <v>-105</v>
      </c>
      <c r="H1314" t="str">
        <f t="shared" ca="1" si="144"/>
        <v>Missing</v>
      </c>
      <c r="I1314">
        <f t="shared" ca="1" si="145"/>
        <v>1</v>
      </c>
      <c r="J1314" t="str">
        <f t="shared" si="146"/>
        <v>Environmental</v>
      </c>
    </row>
    <row r="1315" spans="1:10">
      <c r="A1315" t="str" cm="1">
        <f t="array" ref="A1315">INDEX(Vendor_Master!$A$2:$A$401, ROUNDUP((ROW()-1)/4, 0))</f>
        <v>VND-329</v>
      </c>
      <c r="B1315" t="str">
        <f t="shared" si="140"/>
        <v>Safety Certificate</v>
      </c>
      <c r="C1315" t="str">
        <f t="shared" si="141"/>
        <v>Yes</v>
      </c>
      <c r="D1315" t="str">
        <f t="shared" si="142"/>
        <v>No</v>
      </c>
      <c r="E1315" s="1">
        <v>45502</v>
      </c>
      <c r="F1315" s="1">
        <v>45908</v>
      </c>
      <c r="G1315">
        <f t="shared" ca="1" si="143"/>
        <v>-175</v>
      </c>
      <c r="H1315" t="str">
        <f t="shared" ca="1" si="144"/>
        <v>Missing</v>
      </c>
      <c r="I1315">
        <f t="shared" ca="1" si="145"/>
        <v>1</v>
      </c>
      <c r="J1315" t="str">
        <f t="shared" si="146"/>
        <v>Safety</v>
      </c>
    </row>
    <row r="1316" spans="1:10">
      <c r="A1316" t="str" cm="1">
        <f t="array" ref="A1316">INDEX(Vendor_Master!$A$2:$A$401, ROUNDUP((ROW()-1)/4, 0))</f>
        <v>VND-329</v>
      </c>
      <c r="B1316" t="str">
        <f t="shared" si="140"/>
        <v>Environmental Policy</v>
      </c>
      <c r="C1316" t="str">
        <f t="shared" si="141"/>
        <v>Yes</v>
      </c>
      <c r="D1316" t="str">
        <f t="shared" si="142"/>
        <v>No</v>
      </c>
      <c r="E1316" s="1">
        <v>45966</v>
      </c>
      <c r="F1316" s="1">
        <v>46076</v>
      </c>
      <c r="G1316">
        <f t="shared" ca="1" si="143"/>
        <v>-7</v>
      </c>
      <c r="H1316" t="str">
        <f t="shared" ca="1" si="144"/>
        <v>Missing</v>
      </c>
      <c r="I1316">
        <f t="shared" ca="1" si="145"/>
        <v>1</v>
      </c>
      <c r="J1316" t="str">
        <f t="shared" si="146"/>
        <v>Environmental</v>
      </c>
    </row>
    <row r="1317" spans="1:10">
      <c r="A1317" t="str" cm="1">
        <f t="array" ref="A1317">INDEX(Vendor_Master!$A$2:$A$401, ROUNDUP((ROW()-1)/4, 0))</f>
        <v>VND-329</v>
      </c>
      <c r="B1317" t="str">
        <f t="shared" si="140"/>
        <v>Sustainability Disclosure</v>
      </c>
      <c r="C1317" t="str">
        <f t="shared" si="141"/>
        <v>Yes</v>
      </c>
      <c r="D1317" t="str">
        <f t="shared" si="142"/>
        <v>No</v>
      </c>
      <c r="E1317" s="1">
        <v>45755</v>
      </c>
      <c r="F1317" s="1">
        <v>46023</v>
      </c>
      <c r="G1317">
        <f t="shared" ca="1" si="143"/>
        <v>-60</v>
      </c>
      <c r="H1317" t="str">
        <f t="shared" ca="1" si="144"/>
        <v>Missing</v>
      </c>
      <c r="I1317">
        <f t="shared" ca="1" si="145"/>
        <v>1</v>
      </c>
      <c r="J1317" t="str">
        <f t="shared" si="146"/>
        <v>Environmental</v>
      </c>
    </row>
    <row r="1318" spans="1:10">
      <c r="A1318" t="str" cm="1">
        <f t="array" ref="A1318">INDEX(Vendor_Master!$A$2:$A$401, ROUNDUP((ROW()-1)/4, 0))</f>
        <v>VND-330</v>
      </c>
      <c r="B1318" t="str">
        <f t="shared" si="140"/>
        <v>ISO 14001</v>
      </c>
      <c r="C1318" t="str">
        <f t="shared" si="141"/>
        <v>Yes</v>
      </c>
      <c r="D1318" t="str">
        <f t="shared" si="142"/>
        <v>No</v>
      </c>
      <c r="E1318" s="1">
        <v>45621</v>
      </c>
      <c r="F1318" s="1">
        <v>45908</v>
      </c>
      <c r="G1318">
        <f t="shared" ca="1" si="143"/>
        <v>-175</v>
      </c>
      <c r="H1318" t="str">
        <f t="shared" ca="1" si="144"/>
        <v>Missing</v>
      </c>
      <c r="I1318">
        <f t="shared" ca="1" si="145"/>
        <v>1</v>
      </c>
      <c r="J1318" t="str">
        <f t="shared" si="146"/>
        <v>Environmental</v>
      </c>
    </row>
    <row r="1319" spans="1:10">
      <c r="A1319" t="str" cm="1">
        <f t="array" ref="A1319">INDEX(Vendor_Master!$A$2:$A$401, ROUNDUP((ROW()-1)/4, 0))</f>
        <v>VND-330</v>
      </c>
      <c r="B1319" t="str">
        <f t="shared" si="140"/>
        <v>Safety Certificate</v>
      </c>
      <c r="C1319" t="str">
        <f t="shared" si="141"/>
        <v>Yes</v>
      </c>
      <c r="D1319" t="str">
        <f t="shared" si="142"/>
        <v>No</v>
      </c>
      <c r="E1319" s="1">
        <v>45843</v>
      </c>
      <c r="F1319" s="1">
        <v>45931</v>
      </c>
      <c r="G1319">
        <f t="shared" ca="1" si="143"/>
        <v>-152</v>
      </c>
      <c r="H1319" t="str">
        <f t="shared" ca="1" si="144"/>
        <v>Missing</v>
      </c>
      <c r="I1319">
        <f t="shared" ca="1" si="145"/>
        <v>1</v>
      </c>
      <c r="J1319" t="str">
        <f t="shared" si="146"/>
        <v>Safety</v>
      </c>
    </row>
    <row r="1320" spans="1:10">
      <c r="A1320" t="str" cm="1">
        <f t="array" ref="A1320">INDEX(Vendor_Master!$A$2:$A$401, ROUNDUP((ROW()-1)/4, 0))</f>
        <v>VND-330</v>
      </c>
      <c r="B1320" t="str">
        <f t="shared" si="140"/>
        <v>Environmental Policy</v>
      </c>
      <c r="C1320" t="str">
        <f t="shared" si="141"/>
        <v>Yes</v>
      </c>
      <c r="D1320" t="str">
        <f t="shared" si="142"/>
        <v>No</v>
      </c>
      <c r="E1320" s="1">
        <v>45462</v>
      </c>
      <c r="F1320" s="1">
        <v>45940</v>
      </c>
      <c r="G1320">
        <f t="shared" ca="1" si="143"/>
        <v>-143</v>
      </c>
      <c r="H1320" t="str">
        <f t="shared" ca="1" si="144"/>
        <v>Missing</v>
      </c>
      <c r="I1320">
        <f t="shared" ca="1" si="145"/>
        <v>1</v>
      </c>
      <c r="J1320" t="str">
        <f t="shared" si="146"/>
        <v>Environmental</v>
      </c>
    </row>
    <row r="1321" spans="1:10">
      <c r="A1321" t="str" cm="1">
        <f t="array" ref="A1321">INDEX(Vendor_Master!$A$2:$A$401, ROUNDUP((ROW()-1)/4, 0))</f>
        <v>VND-330</v>
      </c>
      <c r="B1321" t="str">
        <f t="shared" si="140"/>
        <v>Sustainability Disclosure</v>
      </c>
      <c r="C1321" t="str">
        <f t="shared" si="141"/>
        <v>Yes</v>
      </c>
      <c r="D1321" t="str">
        <f t="shared" si="142"/>
        <v>No</v>
      </c>
      <c r="E1321" s="1">
        <v>45774</v>
      </c>
      <c r="F1321" s="1">
        <v>45948</v>
      </c>
      <c r="G1321">
        <f t="shared" ca="1" si="143"/>
        <v>-135</v>
      </c>
      <c r="H1321" t="str">
        <f t="shared" ca="1" si="144"/>
        <v>Missing</v>
      </c>
      <c r="I1321">
        <f t="shared" ca="1" si="145"/>
        <v>1</v>
      </c>
      <c r="J1321" t="str">
        <f t="shared" si="146"/>
        <v>Environmental</v>
      </c>
    </row>
    <row r="1322" spans="1:10">
      <c r="A1322" t="str" cm="1">
        <f t="array" ref="A1322">INDEX(Vendor_Master!$A$2:$A$401, ROUNDUP((ROW()-1)/4, 0))</f>
        <v>VND-331</v>
      </c>
      <c r="B1322" t="str">
        <f t="shared" si="140"/>
        <v>ISO 14001</v>
      </c>
      <c r="C1322" t="str">
        <f t="shared" si="141"/>
        <v>Yes</v>
      </c>
      <c r="D1322" t="str">
        <f t="shared" si="142"/>
        <v>No</v>
      </c>
      <c r="E1322" s="1">
        <v>45428</v>
      </c>
      <c r="F1322" s="1">
        <v>45986</v>
      </c>
      <c r="G1322">
        <f t="shared" ca="1" si="143"/>
        <v>-97</v>
      </c>
      <c r="H1322" t="str">
        <f t="shared" ca="1" si="144"/>
        <v>Missing</v>
      </c>
      <c r="I1322">
        <f t="shared" ca="1" si="145"/>
        <v>1</v>
      </c>
      <c r="J1322" t="str">
        <f t="shared" si="146"/>
        <v>Environmental</v>
      </c>
    </row>
    <row r="1323" spans="1:10">
      <c r="A1323" t="str" cm="1">
        <f t="array" ref="A1323">INDEX(Vendor_Master!$A$2:$A$401, ROUNDUP((ROW()-1)/4, 0))</f>
        <v>VND-331</v>
      </c>
      <c r="B1323" t="str">
        <f t="shared" si="140"/>
        <v>Safety Certificate</v>
      </c>
      <c r="C1323" t="str">
        <f t="shared" si="141"/>
        <v>Yes</v>
      </c>
      <c r="D1323" t="str">
        <f t="shared" si="142"/>
        <v>No</v>
      </c>
      <c r="E1323" s="1">
        <v>45734</v>
      </c>
      <c r="F1323" s="1">
        <v>45944</v>
      </c>
      <c r="G1323">
        <f t="shared" ca="1" si="143"/>
        <v>-139</v>
      </c>
      <c r="H1323" t="str">
        <f t="shared" ca="1" si="144"/>
        <v>Missing</v>
      </c>
      <c r="I1323">
        <f t="shared" ca="1" si="145"/>
        <v>1</v>
      </c>
      <c r="J1323" t="str">
        <f t="shared" si="146"/>
        <v>Safety</v>
      </c>
    </row>
    <row r="1324" spans="1:10">
      <c r="A1324" t="str" cm="1">
        <f t="array" ref="A1324">INDEX(Vendor_Master!$A$2:$A$401, ROUNDUP((ROW()-1)/4, 0))</f>
        <v>VND-331</v>
      </c>
      <c r="B1324" t="str">
        <f t="shared" si="140"/>
        <v>Environmental Policy</v>
      </c>
      <c r="C1324" t="str">
        <f t="shared" si="141"/>
        <v>Yes</v>
      </c>
      <c r="D1324" t="str">
        <f t="shared" si="142"/>
        <v>No</v>
      </c>
      <c r="E1324" s="1">
        <v>45972</v>
      </c>
      <c r="F1324" s="1">
        <v>46034</v>
      </c>
      <c r="G1324">
        <f t="shared" ca="1" si="143"/>
        <v>-49</v>
      </c>
      <c r="H1324" t="str">
        <f t="shared" ca="1" si="144"/>
        <v>Missing</v>
      </c>
      <c r="I1324">
        <f t="shared" ca="1" si="145"/>
        <v>1</v>
      </c>
      <c r="J1324" t="str">
        <f t="shared" si="146"/>
        <v>Environmental</v>
      </c>
    </row>
    <row r="1325" spans="1:10">
      <c r="A1325" t="str" cm="1">
        <f t="array" ref="A1325">INDEX(Vendor_Master!$A$2:$A$401, ROUNDUP((ROW()-1)/4, 0))</f>
        <v>VND-331</v>
      </c>
      <c r="B1325" t="str">
        <f t="shared" si="140"/>
        <v>Sustainability Disclosure</v>
      </c>
      <c r="C1325" t="str">
        <f t="shared" si="141"/>
        <v>Yes</v>
      </c>
      <c r="D1325" t="str">
        <f t="shared" si="142"/>
        <v>No</v>
      </c>
      <c r="E1325" s="1">
        <v>45861</v>
      </c>
      <c r="F1325" s="1">
        <v>46069</v>
      </c>
      <c r="G1325">
        <f t="shared" ca="1" si="143"/>
        <v>-14</v>
      </c>
      <c r="H1325" t="str">
        <f t="shared" ca="1" si="144"/>
        <v>Missing</v>
      </c>
      <c r="I1325">
        <f t="shared" ca="1" si="145"/>
        <v>1</v>
      </c>
      <c r="J1325" t="str">
        <f t="shared" si="146"/>
        <v>Environmental</v>
      </c>
    </row>
    <row r="1326" spans="1:10">
      <c r="A1326" t="str" cm="1">
        <f t="array" ref="A1326">INDEX(Vendor_Master!$A$2:$A$401, ROUNDUP((ROW()-1)/4, 0))</f>
        <v>VND-332</v>
      </c>
      <c r="B1326" t="str">
        <f t="shared" si="140"/>
        <v>ISO 14001</v>
      </c>
      <c r="C1326" t="str">
        <f t="shared" si="141"/>
        <v>Yes</v>
      </c>
      <c r="D1326" t="str">
        <f t="shared" si="142"/>
        <v>No</v>
      </c>
      <c r="E1326" s="1">
        <v>45629</v>
      </c>
      <c r="F1326" s="1">
        <v>46057</v>
      </c>
      <c r="G1326">
        <f t="shared" ca="1" si="143"/>
        <v>-26</v>
      </c>
      <c r="H1326" t="str">
        <f t="shared" ca="1" si="144"/>
        <v>Missing</v>
      </c>
      <c r="I1326">
        <f t="shared" ca="1" si="145"/>
        <v>1</v>
      </c>
      <c r="J1326" t="str">
        <f t="shared" si="146"/>
        <v>Environmental</v>
      </c>
    </row>
    <row r="1327" spans="1:10">
      <c r="A1327" t="str" cm="1">
        <f t="array" ref="A1327">INDEX(Vendor_Master!$A$2:$A$401, ROUNDUP((ROW()-1)/4, 0))</f>
        <v>VND-332</v>
      </c>
      <c r="B1327" t="str">
        <f t="shared" si="140"/>
        <v>Safety Certificate</v>
      </c>
      <c r="C1327" t="str">
        <f t="shared" si="141"/>
        <v>Yes</v>
      </c>
      <c r="D1327" t="str">
        <f t="shared" si="142"/>
        <v>No</v>
      </c>
      <c r="E1327" s="1">
        <v>45767</v>
      </c>
      <c r="F1327" s="1">
        <v>45944</v>
      </c>
      <c r="G1327">
        <f t="shared" ca="1" si="143"/>
        <v>-139</v>
      </c>
      <c r="H1327" t="str">
        <f t="shared" ca="1" si="144"/>
        <v>Missing</v>
      </c>
      <c r="I1327">
        <f t="shared" ca="1" si="145"/>
        <v>1</v>
      </c>
      <c r="J1327" t="str">
        <f t="shared" si="146"/>
        <v>Safety</v>
      </c>
    </row>
    <row r="1328" spans="1:10">
      <c r="A1328" t="str" cm="1">
        <f t="array" ref="A1328">INDEX(Vendor_Master!$A$2:$A$401, ROUNDUP((ROW()-1)/4, 0))</f>
        <v>VND-332</v>
      </c>
      <c r="B1328" t="str">
        <f t="shared" si="140"/>
        <v>Environmental Policy</v>
      </c>
      <c r="C1328" t="str">
        <f t="shared" si="141"/>
        <v>Yes</v>
      </c>
      <c r="D1328" t="str">
        <f t="shared" si="142"/>
        <v>No</v>
      </c>
      <c r="E1328" s="1">
        <v>45386</v>
      </c>
      <c r="F1328" s="1">
        <v>45931</v>
      </c>
      <c r="G1328">
        <f t="shared" ca="1" si="143"/>
        <v>-152</v>
      </c>
      <c r="H1328" t="str">
        <f t="shared" ca="1" si="144"/>
        <v>Missing</v>
      </c>
      <c r="I1328">
        <f t="shared" ca="1" si="145"/>
        <v>1</v>
      </c>
      <c r="J1328" t="str">
        <f t="shared" si="146"/>
        <v>Environmental</v>
      </c>
    </row>
    <row r="1329" spans="1:10">
      <c r="A1329" t="str" cm="1">
        <f t="array" ref="A1329">INDEX(Vendor_Master!$A$2:$A$401, ROUNDUP((ROW()-1)/4, 0))</f>
        <v>VND-332</v>
      </c>
      <c r="B1329" t="str">
        <f t="shared" si="140"/>
        <v>Sustainability Disclosure</v>
      </c>
      <c r="C1329" t="str">
        <f t="shared" si="141"/>
        <v>Yes</v>
      </c>
      <c r="D1329" t="str">
        <f t="shared" si="142"/>
        <v>No</v>
      </c>
      <c r="E1329" s="1">
        <v>45713</v>
      </c>
      <c r="F1329" s="1">
        <v>45915</v>
      </c>
      <c r="G1329">
        <f t="shared" ca="1" si="143"/>
        <v>-168</v>
      </c>
      <c r="H1329" t="str">
        <f t="shared" ca="1" si="144"/>
        <v>Missing</v>
      </c>
      <c r="I1329">
        <f t="shared" ca="1" si="145"/>
        <v>1</v>
      </c>
      <c r="J1329" t="str">
        <f t="shared" si="146"/>
        <v>Environmental</v>
      </c>
    </row>
    <row r="1330" spans="1:10">
      <c r="A1330" t="str" cm="1">
        <f t="array" ref="A1330">INDEX(Vendor_Master!$A$2:$A$401, ROUNDUP((ROW()-1)/4, 0))</f>
        <v>VND-333</v>
      </c>
      <c r="B1330" t="str">
        <f t="shared" si="140"/>
        <v>ISO 14001</v>
      </c>
      <c r="C1330" t="str">
        <f t="shared" si="141"/>
        <v>Yes</v>
      </c>
      <c r="D1330" t="str">
        <f t="shared" si="142"/>
        <v>No</v>
      </c>
      <c r="E1330" s="1">
        <v>45950</v>
      </c>
      <c r="F1330" s="1">
        <v>46004</v>
      </c>
      <c r="G1330">
        <f t="shared" ca="1" si="143"/>
        <v>-79</v>
      </c>
      <c r="H1330" t="str">
        <f t="shared" ca="1" si="144"/>
        <v>Missing</v>
      </c>
      <c r="I1330">
        <f t="shared" ca="1" si="145"/>
        <v>1</v>
      </c>
      <c r="J1330" t="str">
        <f t="shared" si="146"/>
        <v>Environmental</v>
      </c>
    </row>
    <row r="1331" spans="1:10">
      <c r="A1331" t="str" cm="1">
        <f t="array" ref="A1331">INDEX(Vendor_Master!$A$2:$A$401, ROUNDUP((ROW()-1)/4, 0))</f>
        <v>VND-333</v>
      </c>
      <c r="B1331" t="str">
        <f t="shared" si="140"/>
        <v>Safety Certificate</v>
      </c>
      <c r="C1331" t="str">
        <f t="shared" si="141"/>
        <v>Yes</v>
      </c>
      <c r="D1331" t="str">
        <f t="shared" si="142"/>
        <v>No</v>
      </c>
      <c r="E1331" s="1">
        <v>45955</v>
      </c>
      <c r="F1331" s="1">
        <v>46065</v>
      </c>
      <c r="G1331">
        <f t="shared" ca="1" si="143"/>
        <v>-18</v>
      </c>
      <c r="H1331" t="str">
        <f t="shared" ca="1" si="144"/>
        <v>Missing</v>
      </c>
      <c r="I1331">
        <f t="shared" ca="1" si="145"/>
        <v>1</v>
      </c>
      <c r="J1331" t="str">
        <f t="shared" si="146"/>
        <v>Safety</v>
      </c>
    </row>
    <row r="1332" spans="1:10">
      <c r="A1332" t="str" cm="1">
        <f t="array" ref="A1332">INDEX(Vendor_Master!$A$2:$A$401, ROUNDUP((ROW()-1)/4, 0))</f>
        <v>VND-333</v>
      </c>
      <c r="B1332" t="str">
        <f t="shared" si="140"/>
        <v>Environmental Policy</v>
      </c>
      <c r="C1332" t="str">
        <f t="shared" si="141"/>
        <v>Yes</v>
      </c>
      <c r="D1332" t="str">
        <f t="shared" si="142"/>
        <v>No</v>
      </c>
      <c r="E1332" s="1">
        <v>45651</v>
      </c>
      <c r="F1332" s="1">
        <v>46031</v>
      </c>
      <c r="G1332">
        <f t="shared" ca="1" si="143"/>
        <v>-52</v>
      </c>
      <c r="H1332" t="str">
        <f t="shared" ca="1" si="144"/>
        <v>Missing</v>
      </c>
      <c r="I1332">
        <f t="shared" ca="1" si="145"/>
        <v>1</v>
      </c>
      <c r="J1332" t="str">
        <f t="shared" si="146"/>
        <v>Environmental</v>
      </c>
    </row>
    <row r="1333" spans="1:10">
      <c r="A1333" t="str" cm="1">
        <f t="array" ref="A1333">INDEX(Vendor_Master!$A$2:$A$401, ROUNDUP((ROW()-1)/4, 0))</f>
        <v>VND-333</v>
      </c>
      <c r="B1333" t="str">
        <f t="shared" si="140"/>
        <v>Sustainability Disclosure</v>
      </c>
      <c r="C1333" t="str">
        <f t="shared" si="141"/>
        <v>Yes</v>
      </c>
      <c r="D1333" t="str">
        <f t="shared" si="142"/>
        <v>No</v>
      </c>
      <c r="E1333" s="1">
        <v>46059</v>
      </c>
      <c r="F1333" s="1">
        <v>45923</v>
      </c>
      <c r="G1333">
        <f t="shared" ca="1" si="143"/>
        <v>-160</v>
      </c>
      <c r="H1333" t="str">
        <f t="shared" ca="1" si="144"/>
        <v>Missing</v>
      </c>
      <c r="I1333">
        <f t="shared" ca="1" si="145"/>
        <v>1</v>
      </c>
      <c r="J1333" t="str">
        <f t="shared" si="146"/>
        <v>Environmental</v>
      </c>
    </row>
    <row r="1334" spans="1:10">
      <c r="A1334" t="str" cm="1">
        <f t="array" ref="A1334">INDEX(Vendor_Master!$A$2:$A$401, ROUNDUP((ROW()-1)/4, 0))</f>
        <v>VND-334</v>
      </c>
      <c r="B1334" t="str">
        <f t="shared" si="140"/>
        <v>ISO 14001</v>
      </c>
      <c r="C1334" t="str">
        <f t="shared" si="141"/>
        <v>Yes</v>
      </c>
      <c r="D1334" t="str">
        <f t="shared" si="142"/>
        <v>No</v>
      </c>
      <c r="E1334" s="1">
        <v>45734</v>
      </c>
      <c r="F1334" s="1">
        <v>45923</v>
      </c>
      <c r="G1334">
        <f t="shared" ca="1" si="143"/>
        <v>-160</v>
      </c>
      <c r="H1334" t="str">
        <f t="shared" ca="1" si="144"/>
        <v>Missing</v>
      </c>
      <c r="I1334">
        <f t="shared" ca="1" si="145"/>
        <v>1</v>
      </c>
      <c r="J1334" t="str">
        <f t="shared" si="146"/>
        <v>Environmental</v>
      </c>
    </row>
    <row r="1335" spans="1:10">
      <c r="A1335" t="str" cm="1">
        <f t="array" ref="A1335">INDEX(Vendor_Master!$A$2:$A$401, ROUNDUP((ROW()-1)/4, 0))</f>
        <v>VND-334</v>
      </c>
      <c r="B1335" t="str">
        <f t="shared" si="140"/>
        <v>Safety Certificate</v>
      </c>
      <c r="C1335" t="str">
        <f t="shared" si="141"/>
        <v>Yes</v>
      </c>
      <c r="D1335" t="str">
        <f t="shared" si="142"/>
        <v>No</v>
      </c>
      <c r="E1335" s="1">
        <v>45457</v>
      </c>
      <c r="F1335" s="1">
        <v>46029</v>
      </c>
      <c r="G1335">
        <f t="shared" ca="1" si="143"/>
        <v>-54</v>
      </c>
      <c r="H1335" t="str">
        <f t="shared" ca="1" si="144"/>
        <v>Missing</v>
      </c>
      <c r="I1335">
        <f t="shared" ca="1" si="145"/>
        <v>1</v>
      </c>
      <c r="J1335" t="str">
        <f t="shared" si="146"/>
        <v>Safety</v>
      </c>
    </row>
    <row r="1336" spans="1:10">
      <c r="A1336" t="str" cm="1">
        <f t="array" ref="A1336">INDEX(Vendor_Master!$A$2:$A$401, ROUNDUP((ROW()-1)/4, 0))</f>
        <v>VND-334</v>
      </c>
      <c r="B1336" t="str">
        <f t="shared" si="140"/>
        <v>Environmental Policy</v>
      </c>
      <c r="C1336" t="str">
        <f t="shared" si="141"/>
        <v>Yes</v>
      </c>
      <c r="D1336" t="str">
        <f t="shared" si="142"/>
        <v>No</v>
      </c>
      <c r="E1336" s="1">
        <v>45937</v>
      </c>
      <c r="F1336" s="1">
        <v>45964</v>
      </c>
      <c r="G1336">
        <f t="shared" ca="1" si="143"/>
        <v>-119</v>
      </c>
      <c r="H1336" t="str">
        <f t="shared" ca="1" si="144"/>
        <v>Missing</v>
      </c>
      <c r="I1336">
        <f t="shared" ca="1" si="145"/>
        <v>1</v>
      </c>
      <c r="J1336" t="str">
        <f t="shared" si="146"/>
        <v>Environmental</v>
      </c>
    </row>
    <row r="1337" spans="1:10">
      <c r="A1337" t="str" cm="1">
        <f t="array" ref="A1337">INDEX(Vendor_Master!$A$2:$A$401, ROUNDUP((ROW()-1)/4, 0))</f>
        <v>VND-334</v>
      </c>
      <c r="B1337" t="str">
        <f t="shared" si="140"/>
        <v>Sustainability Disclosure</v>
      </c>
      <c r="C1337" t="str">
        <f t="shared" si="141"/>
        <v>Yes</v>
      </c>
      <c r="D1337" t="str">
        <f t="shared" si="142"/>
        <v>No</v>
      </c>
      <c r="E1337" s="1">
        <v>45841</v>
      </c>
      <c r="F1337" s="1">
        <v>46028</v>
      </c>
      <c r="G1337">
        <f t="shared" ca="1" si="143"/>
        <v>-55</v>
      </c>
      <c r="H1337" t="str">
        <f t="shared" ca="1" si="144"/>
        <v>Missing</v>
      </c>
      <c r="I1337">
        <f t="shared" ca="1" si="145"/>
        <v>1</v>
      </c>
      <c r="J1337" t="str">
        <f t="shared" si="146"/>
        <v>Environmental</v>
      </c>
    </row>
    <row r="1338" spans="1:10">
      <c r="A1338" t="str" cm="1">
        <f t="array" ref="A1338">INDEX(Vendor_Master!$A$2:$A$401, ROUNDUP((ROW()-1)/4, 0))</f>
        <v>VND-335</v>
      </c>
      <c r="B1338" t="str">
        <f t="shared" si="140"/>
        <v>ISO 14001</v>
      </c>
      <c r="C1338" t="str">
        <f t="shared" si="141"/>
        <v>Yes</v>
      </c>
      <c r="D1338" t="str">
        <f t="shared" si="142"/>
        <v>No</v>
      </c>
      <c r="E1338" s="1">
        <v>45764</v>
      </c>
      <c r="F1338" s="1">
        <v>45961</v>
      </c>
      <c r="G1338">
        <f t="shared" ca="1" si="143"/>
        <v>-122</v>
      </c>
      <c r="H1338" t="str">
        <f t="shared" ca="1" si="144"/>
        <v>Missing</v>
      </c>
      <c r="I1338">
        <f t="shared" ca="1" si="145"/>
        <v>1</v>
      </c>
      <c r="J1338" t="str">
        <f t="shared" si="146"/>
        <v>Environmental</v>
      </c>
    </row>
    <row r="1339" spans="1:10">
      <c r="A1339" t="str" cm="1">
        <f t="array" ref="A1339">INDEX(Vendor_Master!$A$2:$A$401, ROUNDUP((ROW()-1)/4, 0))</f>
        <v>VND-335</v>
      </c>
      <c r="B1339" t="str">
        <f t="shared" si="140"/>
        <v>Safety Certificate</v>
      </c>
      <c r="C1339" t="str">
        <f t="shared" si="141"/>
        <v>Yes</v>
      </c>
      <c r="D1339" t="str">
        <f t="shared" si="142"/>
        <v>No</v>
      </c>
      <c r="E1339" s="1">
        <v>45982</v>
      </c>
      <c r="F1339" s="1">
        <v>45913</v>
      </c>
      <c r="G1339">
        <f t="shared" ca="1" si="143"/>
        <v>-170</v>
      </c>
      <c r="H1339" t="str">
        <f t="shared" ca="1" si="144"/>
        <v>Missing</v>
      </c>
      <c r="I1339">
        <f t="shared" ca="1" si="145"/>
        <v>1</v>
      </c>
      <c r="J1339" t="str">
        <f t="shared" si="146"/>
        <v>Safety</v>
      </c>
    </row>
    <row r="1340" spans="1:10">
      <c r="A1340" t="str" cm="1">
        <f t="array" ref="A1340">INDEX(Vendor_Master!$A$2:$A$401, ROUNDUP((ROW()-1)/4, 0))</f>
        <v>VND-335</v>
      </c>
      <c r="B1340" t="str">
        <f t="shared" si="140"/>
        <v>Environmental Policy</v>
      </c>
      <c r="C1340" t="str">
        <f t="shared" si="141"/>
        <v>Yes</v>
      </c>
      <c r="D1340" t="str">
        <f t="shared" si="142"/>
        <v>No</v>
      </c>
      <c r="E1340" s="1">
        <v>45516</v>
      </c>
      <c r="F1340" s="1">
        <v>46007</v>
      </c>
      <c r="G1340">
        <f t="shared" ca="1" si="143"/>
        <v>-76</v>
      </c>
      <c r="H1340" t="str">
        <f t="shared" ca="1" si="144"/>
        <v>Missing</v>
      </c>
      <c r="I1340">
        <f t="shared" ca="1" si="145"/>
        <v>1</v>
      </c>
      <c r="J1340" t="str">
        <f t="shared" si="146"/>
        <v>Environmental</v>
      </c>
    </row>
    <row r="1341" spans="1:10">
      <c r="A1341" t="str" cm="1">
        <f t="array" ref="A1341">INDEX(Vendor_Master!$A$2:$A$401, ROUNDUP((ROW()-1)/4, 0))</f>
        <v>VND-335</v>
      </c>
      <c r="B1341" t="str">
        <f t="shared" si="140"/>
        <v>Sustainability Disclosure</v>
      </c>
      <c r="C1341" t="str">
        <f t="shared" si="141"/>
        <v>Yes</v>
      </c>
      <c r="D1341" t="str">
        <f t="shared" si="142"/>
        <v>No</v>
      </c>
      <c r="E1341" s="1">
        <v>45600</v>
      </c>
      <c r="F1341" s="1">
        <v>45965</v>
      </c>
      <c r="G1341">
        <f t="shared" ca="1" si="143"/>
        <v>-118</v>
      </c>
      <c r="H1341" t="str">
        <f t="shared" ca="1" si="144"/>
        <v>Missing</v>
      </c>
      <c r="I1341">
        <f t="shared" ca="1" si="145"/>
        <v>1</v>
      </c>
      <c r="J1341" t="str">
        <f t="shared" si="146"/>
        <v>Environmental</v>
      </c>
    </row>
    <row r="1342" spans="1:10">
      <c r="A1342" t="str" cm="1">
        <f t="array" ref="A1342">INDEX(Vendor_Master!$A$2:$A$401, ROUNDUP((ROW()-1)/4, 0))</f>
        <v>VND-336</v>
      </c>
      <c r="B1342" t="str">
        <f t="shared" si="140"/>
        <v>ISO 14001</v>
      </c>
      <c r="C1342" t="str">
        <f t="shared" si="141"/>
        <v>Yes</v>
      </c>
      <c r="D1342" t="str">
        <f t="shared" si="142"/>
        <v>No</v>
      </c>
      <c r="E1342" s="1">
        <v>45429</v>
      </c>
      <c r="F1342" s="1">
        <v>45949</v>
      </c>
      <c r="G1342">
        <f t="shared" ca="1" si="143"/>
        <v>-134</v>
      </c>
      <c r="H1342" t="str">
        <f t="shared" ca="1" si="144"/>
        <v>Missing</v>
      </c>
      <c r="I1342">
        <f t="shared" ca="1" si="145"/>
        <v>1</v>
      </c>
      <c r="J1342" t="str">
        <f t="shared" si="146"/>
        <v>Environmental</v>
      </c>
    </row>
    <row r="1343" spans="1:10">
      <c r="A1343" t="str" cm="1">
        <f t="array" ref="A1343">INDEX(Vendor_Master!$A$2:$A$401, ROUNDUP((ROW()-1)/4, 0))</f>
        <v>VND-336</v>
      </c>
      <c r="B1343" t="str">
        <f t="shared" si="140"/>
        <v>Safety Certificate</v>
      </c>
      <c r="C1343" t="str">
        <f t="shared" si="141"/>
        <v>Yes</v>
      </c>
      <c r="D1343" t="str">
        <f t="shared" si="142"/>
        <v>No</v>
      </c>
      <c r="E1343" s="1">
        <v>45587</v>
      </c>
      <c r="F1343" s="1">
        <v>45937</v>
      </c>
      <c r="G1343">
        <f t="shared" ca="1" si="143"/>
        <v>-146</v>
      </c>
      <c r="H1343" t="str">
        <f t="shared" ca="1" si="144"/>
        <v>Missing</v>
      </c>
      <c r="I1343">
        <f t="shared" ca="1" si="145"/>
        <v>1</v>
      </c>
      <c r="J1343" t="str">
        <f t="shared" si="146"/>
        <v>Safety</v>
      </c>
    </row>
    <row r="1344" spans="1:10">
      <c r="A1344" t="str" cm="1">
        <f t="array" ref="A1344">INDEX(Vendor_Master!$A$2:$A$401, ROUNDUP((ROW()-1)/4, 0))</f>
        <v>VND-336</v>
      </c>
      <c r="B1344" t="str">
        <f t="shared" si="140"/>
        <v>Environmental Policy</v>
      </c>
      <c r="C1344" t="str">
        <f t="shared" si="141"/>
        <v>Yes</v>
      </c>
      <c r="D1344" t="str">
        <f t="shared" si="142"/>
        <v>No</v>
      </c>
      <c r="E1344" s="1">
        <v>46063</v>
      </c>
      <c r="F1344" s="1">
        <v>45986</v>
      </c>
      <c r="G1344">
        <f t="shared" ca="1" si="143"/>
        <v>-97</v>
      </c>
      <c r="H1344" t="str">
        <f t="shared" ca="1" si="144"/>
        <v>Missing</v>
      </c>
      <c r="I1344">
        <f t="shared" ca="1" si="145"/>
        <v>1</v>
      </c>
      <c r="J1344" t="str">
        <f t="shared" si="146"/>
        <v>Environmental</v>
      </c>
    </row>
    <row r="1345" spans="1:10">
      <c r="A1345" t="str" cm="1">
        <f t="array" ref="A1345">INDEX(Vendor_Master!$A$2:$A$401, ROUNDUP((ROW()-1)/4, 0))</f>
        <v>VND-336</v>
      </c>
      <c r="B1345" t="str">
        <f t="shared" si="140"/>
        <v>Sustainability Disclosure</v>
      </c>
      <c r="C1345" t="str">
        <f t="shared" si="141"/>
        <v>Yes</v>
      </c>
      <c r="D1345" t="str">
        <f t="shared" si="142"/>
        <v>No</v>
      </c>
      <c r="E1345" s="1">
        <v>45416</v>
      </c>
      <c r="F1345" s="1">
        <v>46033</v>
      </c>
      <c r="G1345">
        <f t="shared" ca="1" si="143"/>
        <v>-50</v>
      </c>
      <c r="H1345" t="str">
        <f t="shared" ca="1" si="144"/>
        <v>Missing</v>
      </c>
      <c r="I1345">
        <f t="shared" ca="1" si="145"/>
        <v>1</v>
      </c>
      <c r="J1345" t="str">
        <f t="shared" si="146"/>
        <v>Environmental</v>
      </c>
    </row>
    <row r="1346" spans="1:10">
      <c r="A1346" t="str" cm="1">
        <f t="array" ref="A1346">INDEX(Vendor_Master!$A$2:$A$401, ROUNDUP((ROW()-1)/4, 0))</f>
        <v>VND-337</v>
      </c>
      <c r="B1346" t="str">
        <f t="shared" ref="B1346:B1409" si="147">CHOOSE(MOD(ROW()-2,4)+1,"ISO 14001","Safety Certificate","Environmental Policy","Sustainability Disclosure")</f>
        <v>ISO 14001</v>
      </c>
      <c r="C1346" t="str">
        <f t="shared" ref="C1346:C1409" si="148">"Yes"</f>
        <v>Yes</v>
      </c>
      <c r="D1346" t="str">
        <f t="shared" ref="D1346:D1409" si="149">IF(ROW()-1&lt;=1280,"Yes","No")</f>
        <v>No</v>
      </c>
      <c r="E1346" s="1">
        <v>45858</v>
      </c>
      <c r="F1346" s="1">
        <v>45948</v>
      </c>
      <c r="G1346">
        <f t="shared" ref="G1346:G1409" ca="1" si="150">IF($F1346="","",$F1346-TODAY())</f>
        <v>-135</v>
      </c>
      <c r="H1346" t="str">
        <f t="shared" ref="H1346:H1409" ca="1" si="151">IF($C1346="No","Not Required",
IF($D1346="No","Missing",
IF($F1346&lt;TODAY(),"Expired",
IF($F1346&lt;=TODAY()+30,"Expiring Soon","Active"))))</f>
        <v>Missing</v>
      </c>
      <c r="I1346">
        <f t="shared" ref="I1346:I1409" ca="1" si="152">IF(OR($H1346="Missing",$H1346="Expired",$H1346="Expiring Soon"),1,0)</f>
        <v>1</v>
      </c>
      <c r="J1346" t="str">
        <f t="shared" si="146"/>
        <v>Environmental</v>
      </c>
    </row>
    <row r="1347" spans="1:10">
      <c r="A1347" t="str" cm="1">
        <f t="array" ref="A1347">INDEX(Vendor_Master!$A$2:$A$401, ROUNDUP((ROW()-1)/4, 0))</f>
        <v>VND-337</v>
      </c>
      <c r="B1347" t="str">
        <f t="shared" si="147"/>
        <v>Safety Certificate</v>
      </c>
      <c r="C1347" t="str">
        <f t="shared" si="148"/>
        <v>Yes</v>
      </c>
      <c r="D1347" t="str">
        <f t="shared" si="149"/>
        <v>No</v>
      </c>
      <c r="E1347" s="1">
        <v>45803</v>
      </c>
      <c r="F1347" s="1">
        <v>46014</v>
      </c>
      <c r="G1347">
        <f t="shared" ca="1" si="150"/>
        <v>-69</v>
      </c>
      <c r="H1347" t="str">
        <f t="shared" ca="1" si="151"/>
        <v>Missing</v>
      </c>
      <c r="I1347">
        <f t="shared" ca="1" si="152"/>
        <v>1</v>
      </c>
      <c r="J1347" t="str">
        <f t="shared" ref="J1347:J1410" si="153">IF(B1347="ISO 14001","Environmental",
 IF(B1347="Environmental Policy","Environmental",
 IF(B1347="Sustainability Disclosure","Environmental",
 IF(B1347="Safety Certificate","Safety","Regulatory"))))</f>
        <v>Safety</v>
      </c>
    </row>
    <row r="1348" spans="1:10">
      <c r="A1348" t="str" cm="1">
        <f t="array" ref="A1348">INDEX(Vendor_Master!$A$2:$A$401, ROUNDUP((ROW()-1)/4, 0))</f>
        <v>VND-337</v>
      </c>
      <c r="B1348" t="str">
        <f t="shared" si="147"/>
        <v>Environmental Policy</v>
      </c>
      <c r="C1348" t="str">
        <f t="shared" si="148"/>
        <v>Yes</v>
      </c>
      <c r="D1348" t="str">
        <f t="shared" si="149"/>
        <v>No</v>
      </c>
      <c r="E1348" s="1">
        <v>45945</v>
      </c>
      <c r="F1348" s="1">
        <v>46074</v>
      </c>
      <c r="G1348">
        <f t="shared" ca="1" si="150"/>
        <v>-9</v>
      </c>
      <c r="H1348" t="str">
        <f t="shared" ca="1" si="151"/>
        <v>Missing</v>
      </c>
      <c r="I1348">
        <f t="shared" ca="1" si="152"/>
        <v>1</v>
      </c>
      <c r="J1348" t="str">
        <f t="shared" si="153"/>
        <v>Environmental</v>
      </c>
    </row>
    <row r="1349" spans="1:10">
      <c r="A1349" t="str" cm="1">
        <f t="array" ref="A1349">INDEX(Vendor_Master!$A$2:$A$401, ROUNDUP((ROW()-1)/4, 0))</f>
        <v>VND-337</v>
      </c>
      <c r="B1349" t="str">
        <f t="shared" si="147"/>
        <v>Sustainability Disclosure</v>
      </c>
      <c r="C1349" t="str">
        <f t="shared" si="148"/>
        <v>Yes</v>
      </c>
      <c r="D1349" t="str">
        <f t="shared" si="149"/>
        <v>No</v>
      </c>
      <c r="E1349" s="1">
        <v>45728</v>
      </c>
      <c r="F1349" s="1">
        <v>46029</v>
      </c>
      <c r="G1349">
        <f t="shared" ca="1" si="150"/>
        <v>-54</v>
      </c>
      <c r="H1349" t="str">
        <f t="shared" ca="1" si="151"/>
        <v>Missing</v>
      </c>
      <c r="I1349">
        <f t="shared" ca="1" si="152"/>
        <v>1</v>
      </c>
      <c r="J1349" t="str">
        <f t="shared" si="153"/>
        <v>Environmental</v>
      </c>
    </row>
    <row r="1350" spans="1:10">
      <c r="A1350" t="str" cm="1">
        <f t="array" ref="A1350">INDEX(Vendor_Master!$A$2:$A$401, ROUNDUP((ROW()-1)/4, 0))</f>
        <v>VND-338</v>
      </c>
      <c r="B1350" t="str">
        <f t="shared" si="147"/>
        <v>ISO 14001</v>
      </c>
      <c r="C1350" t="str">
        <f t="shared" si="148"/>
        <v>Yes</v>
      </c>
      <c r="D1350" t="str">
        <f t="shared" si="149"/>
        <v>No</v>
      </c>
      <c r="E1350" s="1">
        <v>45576</v>
      </c>
      <c r="F1350" s="1">
        <v>45948</v>
      </c>
      <c r="G1350">
        <f t="shared" ca="1" si="150"/>
        <v>-135</v>
      </c>
      <c r="H1350" t="str">
        <f t="shared" ca="1" si="151"/>
        <v>Missing</v>
      </c>
      <c r="I1350">
        <f t="shared" ca="1" si="152"/>
        <v>1</v>
      </c>
      <c r="J1350" t="str">
        <f t="shared" si="153"/>
        <v>Environmental</v>
      </c>
    </row>
    <row r="1351" spans="1:10">
      <c r="A1351" t="str" cm="1">
        <f t="array" ref="A1351">INDEX(Vendor_Master!$A$2:$A$401, ROUNDUP((ROW()-1)/4, 0))</f>
        <v>VND-338</v>
      </c>
      <c r="B1351" t="str">
        <f t="shared" si="147"/>
        <v>Safety Certificate</v>
      </c>
      <c r="C1351" t="str">
        <f t="shared" si="148"/>
        <v>Yes</v>
      </c>
      <c r="D1351" t="str">
        <f t="shared" si="149"/>
        <v>No</v>
      </c>
      <c r="E1351" s="1">
        <v>45706</v>
      </c>
      <c r="F1351" s="1">
        <v>45961</v>
      </c>
      <c r="G1351">
        <f t="shared" ca="1" si="150"/>
        <v>-122</v>
      </c>
      <c r="H1351" t="str">
        <f t="shared" ca="1" si="151"/>
        <v>Missing</v>
      </c>
      <c r="I1351">
        <f t="shared" ca="1" si="152"/>
        <v>1</v>
      </c>
      <c r="J1351" t="str">
        <f t="shared" si="153"/>
        <v>Safety</v>
      </c>
    </row>
    <row r="1352" spans="1:10">
      <c r="A1352" t="str" cm="1">
        <f t="array" ref="A1352">INDEX(Vendor_Master!$A$2:$A$401, ROUNDUP((ROW()-1)/4, 0))</f>
        <v>VND-338</v>
      </c>
      <c r="B1352" t="str">
        <f t="shared" si="147"/>
        <v>Environmental Policy</v>
      </c>
      <c r="C1352" t="str">
        <f t="shared" si="148"/>
        <v>Yes</v>
      </c>
      <c r="D1352" t="str">
        <f t="shared" si="149"/>
        <v>No</v>
      </c>
      <c r="E1352" s="1">
        <v>45450</v>
      </c>
      <c r="F1352" s="1">
        <v>46050</v>
      </c>
      <c r="G1352">
        <f t="shared" ca="1" si="150"/>
        <v>-33</v>
      </c>
      <c r="H1352" t="str">
        <f t="shared" ca="1" si="151"/>
        <v>Missing</v>
      </c>
      <c r="I1352">
        <f t="shared" ca="1" si="152"/>
        <v>1</v>
      </c>
      <c r="J1352" t="str">
        <f t="shared" si="153"/>
        <v>Environmental</v>
      </c>
    </row>
    <row r="1353" spans="1:10">
      <c r="A1353" t="str" cm="1">
        <f t="array" ref="A1353">INDEX(Vendor_Master!$A$2:$A$401, ROUNDUP((ROW()-1)/4, 0))</f>
        <v>VND-338</v>
      </c>
      <c r="B1353" t="str">
        <f t="shared" si="147"/>
        <v>Sustainability Disclosure</v>
      </c>
      <c r="C1353" t="str">
        <f t="shared" si="148"/>
        <v>Yes</v>
      </c>
      <c r="D1353" t="str">
        <f t="shared" si="149"/>
        <v>No</v>
      </c>
      <c r="E1353" s="1">
        <v>45653</v>
      </c>
      <c r="F1353" s="1">
        <v>45944</v>
      </c>
      <c r="G1353">
        <f t="shared" ca="1" si="150"/>
        <v>-139</v>
      </c>
      <c r="H1353" t="str">
        <f t="shared" ca="1" si="151"/>
        <v>Missing</v>
      </c>
      <c r="I1353">
        <f t="shared" ca="1" si="152"/>
        <v>1</v>
      </c>
      <c r="J1353" t="str">
        <f t="shared" si="153"/>
        <v>Environmental</v>
      </c>
    </row>
    <row r="1354" spans="1:10">
      <c r="A1354" t="str" cm="1">
        <f t="array" ref="A1354">INDEX(Vendor_Master!$A$2:$A$401, ROUNDUP((ROW()-1)/4, 0))</f>
        <v>VND-339</v>
      </c>
      <c r="B1354" t="str">
        <f t="shared" si="147"/>
        <v>ISO 14001</v>
      </c>
      <c r="C1354" t="str">
        <f t="shared" si="148"/>
        <v>Yes</v>
      </c>
      <c r="D1354" t="str">
        <f t="shared" si="149"/>
        <v>No</v>
      </c>
      <c r="E1354" s="1">
        <v>45555</v>
      </c>
      <c r="F1354" s="1">
        <v>45957</v>
      </c>
      <c r="G1354">
        <f t="shared" ca="1" si="150"/>
        <v>-126</v>
      </c>
      <c r="H1354" t="str">
        <f t="shared" ca="1" si="151"/>
        <v>Missing</v>
      </c>
      <c r="I1354">
        <f t="shared" ca="1" si="152"/>
        <v>1</v>
      </c>
      <c r="J1354" t="str">
        <f t="shared" si="153"/>
        <v>Environmental</v>
      </c>
    </row>
    <row r="1355" spans="1:10">
      <c r="A1355" t="str" cm="1">
        <f t="array" ref="A1355">INDEX(Vendor_Master!$A$2:$A$401, ROUNDUP((ROW()-1)/4, 0))</f>
        <v>VND-339</v>
      </c>
      <c r="B1355" t="str">
        <f t="shared" si="147"/>
        <v>Safety Certificate</v>
      </c>
      <c r="C1355" t="str">
        <f t="shared" si="148"/>
        <v>Yes</v>
      </c>
      <c r="D1355" t="str">
        <f t="shared" si="149"/>
        <v>No</v>
      </c>
      <c r="E1355" s="1">
        <v>45589</v>
      </c>
      <c r="F1355" s="1">
        <v>45983</v>
      </c>
      <c r="G1355">
        <f t="shared" ca="1" si="150"/>
        <v>-100</v>
      </c>
      <c r="H1355" t="str">
        <f t="shared" ca="1" si="151"/>
        <v>Missing</v>
      </c>
      <c r="I1355">
        <f t="shared" ca="1" si="152"/>
        <v>1</v>
      </c>
      <c r="J1355" t="str">
        <f t="shared" si="153"/>
        <v>Safety</v>
      </c>
    </row>
    <row r="1356" spans="1:10">
      <c r="A1356" t="str" cm="1">
        <f t="array" ref="A1356">INDEX(Vendor_Master!$A$2:$A$401, ROUNDUP((ROW()-1)/4, 0))</f>
        <v>VND-339</v>
      </c>
      <c r="B1356" t="str">
        <f t="shared" si="147"/>
        <v>Environmental Policy</v>
      </c>
      <c r="C1356" t="str">
        <f t="shared" si="148"/>
        <v>Yes</v>
      </c>
      <c r="D1356" t="str">
        <f t="shared" si="149"/>
        <v>No</v>
      </c>
      <c r="E1356" s="1">
        <v>45782</v>
      </c>
      <c r="F1356" s="1">
        <v>45971</v>
      </c>
      <c r="G1356">
        <f t="shared" ca="1" si="150"/>
        <v>-112</v>
      </c>
      <c r="H1356" t="str">
        <f t="shared" ca="1" si="151"/>
        <v>Missing</v>
      </c>
      <c r="I1356">
        <f t="shared" ca="1" si="152"/>
        <v>1</v>
      </c>
      <c r="J1356" t="str">
        <f t="shared" si="153"/>
        <v>Environmental</v>
      </c>
    </row>
    <row r="1357" spans="1:10">
      <c r="A1357" t="str" cm="1">
        <f t="array" ref="A1357">INDEX(Vendor_Master!$A$2:$A$401, ROUNDUP((ROW()-1)/4, 0))</f>
        <v>VND-339</v>
      </c>
      <c r="B1357" t="str">
        <f t="shared" si="147"/>
        <v>Sustainability Disclosure</v>
      </c>
      <c r="C1357" t="str">
        <f t="shared" si="148"/>
        <v>Yes</v>
      </c>
      <c r="D1357" t="str">
        <f t="shared" si="149"/>
        <v>No</v>
      </c>
      <c r="E1357" s="1">
        <v>45716</v>
      </c>
      <c r="F1357" s="1">
        <v>46001</v>
      </c>
      <c r="G1357">
        <f t="shared" ca="1" si="150"/>
        <v>-82</v>
      </c>
      <c r="H1357" t="str">
        <f t="shared" ca="1" si="151"/>
        <v>Missing</v>
      </c>
      <c r="I1357">
        <f t="shared" ca="1" si="152"/>
        <v>1</v>
      </c>
      <c r="J1357" t="str">
        <f t="shared" si="153"/>
        <v>Environmental</v>
      </c>
    </row>
    <row r="1358" spans="1:10">
      <c r="A1358" t="str" cm="1">
        <f t="array" ref="A1358">INDEX(Vendor_Master!$A$2:$A$401, ROUNDUP((ROW()-1)/4, 0))</f>
        <v>VND-340</v>
      </c>
      <c r="B1358" t="str">
        <f t="shared" si="147"/>
        <v>ISO 14001</v>
      </c>
      <c r="C1358" t="str">
        <f t="shared" si="148"/>
        <v>Yes</v>
      </c>
      <c r="D1358" t="str">
        <f t="shared" si="149"/>
        <v>No</v>
      </c>
      <c r="E1358" s="1">
        <v>45393</v>
      </c>
      <c r="F1358" s="1">
        <v>46049</v>
      </c>
      <c r="G1358">
        <f t="shared" ca="1" si="150"/>
        <v>-34</v>
      </c>
      <c r="H1358" t="str">
        <f t="shared" ca="1" si="151"/>
        <v>Missing</v>
      </c>
      <c r="I1358">
        <f t="shared" ca="1" si="152"/>
        <v>1</v>
      </c>
      <c r="J1358" t="str">
        <f t="shared" si="153"/>
        <v>Environmental</v>
      </c>
    </row>
    <row r="1359" spans="1:10">
      <c r="A1359" t="str" cm="1">
        <f t="array" ref="A1359">INDEX(Vendor_Master!$A$2:$A$401, ROUNDUP((ROW()-1)/4, 0))</f>
        <v>VND-340</v>
      </c>
      <c r="B1359" t="str">
        <f t="shared" si="147"/>
        <v>Safety Certificate</v>
      </c>
      <c r="C1359" t="str">
        <f t="shared" si="148"/>
        <v>Yes</v>
      </c>
      <c r="D1359" t="str">
        <f t="shared" si="149"/>
        <v>No</v>
      </c>
      <c r="E1359" s="1">
        <v>45868</v>
      </c>
      <c r="F1359" s="1">
        <v>46042</v>
      </c>
      <c r="G1359">
        <f t="shared" ca="1" si="150"/>
        <v>-41</v>
      </c>
      <c r="H1359" t="str">
        <f t="shared" ca="1" si="151"/>
        <v>Missing</v>
      </c>
      <c r="I1359">
        <f t="shared" ca="1" si="152"/>
        <v>1</v>
      </c>
      <c r="J1359" t="str">
        <f t="shared" si="153"/>
        <v>Safety</v>
      </c>
    </row>
    <row r="1360" spans="1:10">
      <c r="A1360" t="str" cm="1">
        <f t="array" ref="A1360">INDEX(Vendor_Master!$A$2:$A$401, ROUNDUP((ROW()-1)/4, 0))</f>
        <v>VND-340</v>
      </c>
      <c r="B1360" t="str">
        <f t="shared" si="147"/>
        <v>Environmental Policy</v>
      </c>
      <c r="C1360" t="str">
        <f t="shared" si="148"/>
        <v>Yes</v>
      </c>
      <c r="D1360" t="str">
        <f t="shared" si="149"/>
        <v>No</v>
      </c>
      <c r="E1360" s="1">
        <v>46013</v>
      </c>
      <c r="F1360" s="1">
        <v>45968</v>
      </c>
      <c r="G1360">
        <f t="shared" ca="1" si="150"/>
        <v>-115</v>
      </c>
      <c r="H1360" t="str">
        <f t="shared" ca="1" si="151"/>
        <v>Missing</v>
      </c>
      <c r="I1360">
        <f t="shared" ca="1" si="152"/>
        <v>1</v>
      </c>
      <c r="J1360" t="str">
        <f t="shared" si="153"/>
        <v>Environmental</v>
      </c>
    </row>
    <row r="1361" spans="1:10">
      <c r="A1361" t="str" cm="1">
        <f t="array" ref="A1361">INDEX(Vendor_Master!$A$2:$A$401, ROUNDUP((ROW()-1)/4, 0))</f>
        <v>VND-340</v>
      </c>
      <c r="B1361" t="str">
        <f t="shared" si="147"/>
        <v>Sustainability Disclosure</v>
      </c>
      <c r="C1361" t="str">
        <f t="shared" si="148"/>
        <v>Yes</v>
      </c>
      <c r="D1361" t="str">
        <f t="shared" si="149"/>
        <v>No</v>
      </c>
      <c r="E1361" s="1">
        <v>45925</v>
      </c>
      <c r="F1361" s="1">
        <v>46061</v>
      </c>
      <c r="G1361">
        <f t="shared" ca="1" si="150"/>
        <v>-22</v>
      </c>
      <c r="H1361" t="str">
        <f t="shared" ca="1" si="151"/>
        <v>Missing</v>
      </c>
      <c r="I1361">
        <f t="shared" ca="1" si="152"/>
        <v>1</v>
      </c>
      <c r="J1361" t="str">
        <f t="shared" si="153"/>
        <v>Environmental</v>
      </c>
    </row>
    <row r="1362" spans="1:10">
      <c r="A1362" t="str" cm="1">
        <f t="array" ref="A1362">INDEX(Vendor_Master!$A$2:$A$401, ROUNDUP((ROW()-1)/4, 0))</f>
        <v>VND-341</v>
      </c>
      <c r="B1362" t="str">
        <f t="shared" si="147"/>
        <v>ISO 14001</v>
      </c>
      <c r="C1362" t="str">
        <f t="shared" si="148"/>
        <v>Yes</v>
      </c>
      <c r="D1362" t="str">
        <f t="shared" si="149"/>
        <v>No</v>
      </c>
      <c r="E1362" s="1">
        <v>45956</v>
      </c>
      <c r="F1362" s="1">
        <v>45966</v>
      </c>
      <c r="G1362">
        <f t="shared" ca="1" si="150"/>
        <v>-117</v>
      </c>
      <c r="H1362" t="str">
        <f t="shared" ca="1" si="151"/>
        <v>Missing</v>
      </c>
      <c r="I1362">
        <f t="shared" ca="1" si="152"/>
        <v>1</v>
      </c>
      <c r="J1362" t="str">
        <f t="shared" si="153"/>
        <v>Environmental</v>
      </c>
    </row>
    <row r="1363" spans="1:10">
      <c r="A1363" t="str" cm="1">
        <f t="array" ref="A1363">INDEX(Vendor_Master!$A$2:$A$401, ROUNDUP((ROW()-1)/4, 0))</f>
        <v>VND-341</v>
      </c>
      <c r="B1363" t="str">
        <f t="shared" si="147"/>
        <v>Safety Certificate</v>
      </c>
      <c r="C1363" t="str">
        <f t="shared" si="148"/>
        <v>Yes</v>
      </c>
      <c r="D1363" t="str">
        <f t="shared" si="149"/>
        <v>No</v>
      </c>
      <c r="E1363" s="1">
        <v>46041</v>
      </c>
      <c r="F1363" s="1">
        <v>45982</v>
      </c>
      <c r="G1363">
        <f t="shared" ca="1" si="150"/>
        <v>-101</v>
      </c>
      <c r="H1363" t="str">
        <f t="shared" ca="1" si="151"/>
        <v>Missing</v>
      </c>
      <c r="I1363">
        <f t="shared" ca="1" si="152"/>
        <v>1</v>
      </c>
      <c r="J1363" t="str">
        <f t="shared" si="153"/>
        <v>Safety</v>
      </c>
    </row>
    <row r="1364" spans="1:10">
      <c r="A1364" t="str" cm="1">
        <f t="array" ref="A1364">INDEX(Vendor_Master!$A$2:$A$401, ROUNDUP((ROW()-1)/4, 0))</f>
        <v>VND-341</v>
      </c>
      <c r="B1364" t="str">
        <f t="shared" si="147"/>
        <v>Environmental Policy</v>
      </c>
      <c r="C1364" t="str">
        <f t="shared" si="148"/>
        <v>Yes</v>
      </c>
      <c r="D1364" t="str">
        <f t="shared" si="149"/>
        <v>No</v>
      </c>
      <c r="E1364" s="1">
        <v>46068</v>
      </c>
      <c r="F1364" s="1">
        <v>46062</v>
      </c>
      <c r="G1364">
        <f t="shared" ca="1" si="150"/>
        <v>-21</v>
      </c>
      <c r="H1364" t="str">
        <f t="shared" ca="1" si="151"/>
        <v>Missing</v>
      </c>
      <c r="I1364">
        <f t="shared" ca="1" si="152"/>
        <v>1</v>
      </c>
      <c r="J1364" t="str">
        <f t="shared" si="153"/>
        <v>Environmental</v>
      </c>
    </row>
    <row r="1365" spans="1:10">
      <c r="A1365" t="str" cm="1">
        <f t="array" ref="A1365">INDEX(Vendor_Master!$A$2:$A$401, ROUNDUP((ROW()-1)/4, 0))</f>
        <v>VND-341</v>
      </c>
      <c r="B1365" t="str">
        <f t="shared" si="147"/>
        <v>Sustainability Disclosure</v>
      </c>
      <c r="C1365" t="str">
        <f t="shared" si="148"/>
        <v>Yes</v>
      </c>
      <c r="D1365" t="str">
        <f t="shared" si="149"/>
        <v>No</v>
      </c>
      <c r="E1365" s="1">
        <v>45610</v>
      </c>
      <c r="F1365" s="1">
        <v>46004</v>
      </c>
      <c r="G1365">
        <f t="shared" ca="1" si="150"/>
        <v>-79</v>
      </c>
      <c r="H1365" t="str">
        <f t="shared" ca="1" si="151"/>
        <v>Missing</v>
      </c>
      <c r="I1365">
        <f t="shared" ca="1" si="152"/>
        <v>1</v>
      </c>
      <c r="J1365" t="str">
        <f t="shared" si="153"/>
        <v>Environmental</v>
      </c>
    </row>
    <row r="1366" spans="1:10">
      <c r="A1366" t="str" cm="1">
        <f t="array" ref="A1366">INDEX(Vendor_Master!$A$2:$A$401, ROUNDUP((ROW()-1)/4, 0))</f>
        <v>VND-342</v>
      </c>
      <c r="B1366" t="str">
        <f t="shared" si="147"/>
        <v>ISO 14001</v>
      </c>
      <c r="C1366" t="str">
        <f t="shared" si="148"/>
        <v>Yes</v>
      </c>
      <c r="D1366" t="str">
        <f t="shared" si="149"/>
        <v>No</v>
      </c>
      <c r="E1366" s="1">
        <v>45612</v>
      </c>
      <c r="F1366" s="1">
        <v>45970</v>
      </c>
      <c r="G1366">
        <f t="shared" ca="1" si="150"/>
        <v>-113</v>
      </c>
      <c r="H1366" t="str">
        <f t="shared" ca="1" si="151"/>
        <v>Missing</v>
      </c>
      <c r="I1366">
        <f t="shared" ca="1" si="152"/>
        <v>1</v>
      </c>
      <c r="J1366" t="str">
        <f t="shared" si="153"/>
        <v>Environmental</v>
      </c>
    </row>
    <row r="1367" spans="1:10">
      <c r="A1367" t="str" cm="1">
        <f t="array" ref="A1367">INDEX(Vendor_Master!$A$2:$A$401, ROUNDUP((ROW()-1)/4, 0))</f>
        <v>VND-342</v>
      </c>
      <c r="B1367" t="str">
        <f t="shared" si="147"/>
        <v>Safety Certificate</v>
      </c>
      <c r="C1367" t="str">
        <f t="shared" si="148"/>
        <v>Yes</v>
      </c>
      <c r="D1367" t="str">
        <f t="shared" si="149"/>
        <v>No</v>
      </c>
      <c r="E1367" s="1">
        <v>45880</v>
      </c>
      <c r="F1367" s="1">
        <v>45993</v>
      </c>
      <c r="G1367">
        <f t="shared" ca="1" si="150"/>
        <v>-90</v>
      </c>
      <c r="H1367" t="str">
        <f t="shared" ca="1" si="151"/>
        <v>Missing</v>
      </c>
      <c r="I1367">
        <f t="shared" ca="1" si="152"/>
        <v>1</v>
      </c>
      <c r="J1367" t="str">
        <f t="shared" si="153"/>
        <v>Safety</v>
      </c>
    </row>
    <row r="1368" spans="1:10">
      <c r="A1368" t="str" cm="1">
        <f t="array" ref="A1368">INDEX(Vendor_Master!$A$2:$A$401, ROUNDUP((ROW()-1)/4, 0))</f>
        <v>VND-342</v>
      </c>
      <c r="B1368" t="str">
        <f t="shared" si="147"/>
        <v>Environmental Policy</v>
      </c>
      <c r="C1368" t="str">
        <f t="shared" si="148"/>
        <v>Yes</v>
      </c>
      <c r="D1368" t="str">
        <f t="shared" si="149"/>
        <v>No</v>
      </c>
      <c r="E1368" s="1">
        <v>45770</v>
      </c>
      <c r="F1368" s="1">
        <v>46072</v>
      </c>
      <c r="G1368">
        <f t="shared" ca="1" si="150"/>
        <v>-11</v>
      </c>
      <c r="H1368" t="str">
        <f t="shared" ca="1" si="151"/>
        <v>Missing</v>
      </c>
      <c r="I1368">
        <f t="shared" ca="1" si="152"/>
        <v>1</v>
      </c>
      <c r="J1368" t="str">
        <f t="shared" si="153"/>
        <v>Environmental</v>
      </c>
    </row>
    <row r="1369" spans="1:10">
      <c r="A1369" t="str" cm="1">
        <f t="array" ref="A1369">INDEX(Vendor_Master!$A$2:$A$401, ROUNDUP((ROW()-1)/4, 0))</f>
        <v>VND-342</v>
      </c>
      <c r="B1369" t="str">
        <f t="shared" si="147"/>
        <v>Sustainability Disclosure</v>
      </c>
      <c r="C1369" t="str">
        <f t="shared" si="148"/>
        <v>Yes</v>
      </c>
      <c r="D1369" t="str">
        <f t="shared" si="149"/>
        <v>No</v>
      </c>
      <c r="E1369" s="1">
        <v>45882</v>
      </c>
      <c r="F1369" s="1">
        <v>46062</v>
      </c>
      <c r="G1369">
        <f t="shared" ca="1" si="150"/>
        <v>-21</v>
      </c>
      <c r="H1369" t="str">
        <f t="shared" ca="1" si="151"/>
        <v>Missing</v>
      </c>
      <c r="I1369">
        <f t="shared" ca="1" si="152"/>
        <v>1</v>
      </c>
      <c r="J1369" t="str">
        <f t="shared" si="153"/>
        <v>Environmental</v>
      </c>
    </row>
    <row r="1370" spans="1:10">
      <c r="A1370" t="str" cm="1">
        <f t="array" ref="A1370">INDEX(Vendor_Master!$A$2:$A$401, ROUNDUP((ROW()-1)/4, 0))</f>
        <v>VND-343</v>
      </c>
      <c r="B1370" t="str">
        <f t="shared" si="147"/>
        <v>ISO 14001</v>
      </c>
      <c r="C1370" t="str">
        <f t="shared" si="148"/>
        <v>Yes</v>
      </c>
      <c r="D1370" t="str">
        <f t="shared" si="149"/>
        <v>No</v>
      </c>
      <c r="E1370" s="1">
        <v>45509</v>
      </c>
      <c r="F1370" s="1">
        <v>46047</v>
      </c>
      <c r="G1370">
        <f t="shared" ca="1" si="150"/>
        <v>-36</v>
      </c>
      <c r="H1370" t="str">
        <f t="shared" ca="1" si="151"/>
        <v>Missing</v>
      </c>
      <c r="I1370">
        <f t="shared" ca="1" si="152"/>
        <v>1</v>
      </c>
      <c r="J1370" t="str">
        <f t="shared" si="153"/>
        <v>Environmental</v>
      </c>
    </row>
    <row r="1371" spans="1:10">
      <c r="A1371" t="str" cm="1">
        <f t="array" ref="A1371">INDEX(Vendor_Master!$A$2:$A$401, ROUNDUP((ROW()-1)/4, 0))</f>
        <v>VND-343</v>
      </c>
      <c r="B1371" t="str">
        <f t="shared" si="147"/>
        <v>Safety Certificate</v>
      </c>
      <c r="C1371" t="str">
        <f t="shared" si="148"/>
        <v>Yes</v>
      </c>
      <c r="D1371" t="str">
        <f t="shared" si="149"/>
        <v>No</v>
      </c>
      <c r="E1371" s="1">
        <v>45385</v>
      </c>
      <c r="F1371" s="1">
        <v>46038</v>
      </c>
      <c r="G1371">
        <f t="shared" ca="1" si="150"/>
        <v>-45</v>
      </c>
      <c r="H1371" t="str">
        <f t="shared" ca="1" si="151"/>
        <v>Missing</v>
      </c>
      <c r="I1371">
        <f t="shared" ca="1" si="152"/>
        <v>1</v>
      </c>
      <c r="J1371" t="str">
        <f t="shared" si="153"/>
        <v>Safety</v>
      </c>
    </row>
    <row r="1372" spans="1:10">
      <c r="A1372" t="str" cm="1">
        <f t="array" ref="A1372">INDEX(Vendor_Master!$A$2:$A$401, ROUNDUP((ROW()-1)/4, 0))</f>
        <v>VND-343</v>
      </c>
      <c r="B1372" t="str">
        <f t="shared" si="147"/>
        <v>Environmental Policy</v>
      </c>
      <c r="C1372" t="str">
        <f t="shared" si="148"/>
        <v>Yes</v>
      </c>
      <c r="D1372" t="str">
        <f t="shared" si="149"/>
        <v>No</v>
      </c>
      <c r="E1372" s="1">
        <v>45898</v>
      </c>
      <c r="F1372" s="1">
        <v>45939</v>
      </c>
      <c r="G1372">
        <f t="shared" ca="1" si="150"/>
        <v>-144</v>
      </c>
      <c r="H1372" t="str">
        <f t="shared" ca="1" si="151"/>
        <v>Missing</v>
      </c>
      <c r="I1372">
        <f t="shared" ca="1" si="152"/>
        <v>1</v>
      </c>
      <c r="J1372" t="str">
        <f t="shared" si="153"/>
        <v>Environmental</v>
      </c>
    </row>
    <row r="1373" spans="1:10">
      <c r="A1373" t="str" cm="1">
        <f t="array" ref="A1373">INDEX(Vendor_Master!$A$2:$A$401, ROUNDUP((ROW()-1)/4, 0))</f>
        <v>VND-343</v>
      </c>
      <c r="B1373" t="str">
        <f t="shared" si="147"/>
        <v>Sustainability Disclosure</v>
      </c>
      <c r="C1373" t="str">
        <f t="shared" si="148"/>
        <v>Yes</v>
      </c>
      <c r="D1373" t="str">
        <f t="shared" si="149"/>
        <v>No</v>
      </c>
      <c r="E1373" s="1">
        <v>45949</v>
      </c>
      <c r="F1373" s="1">
        <v>46043</v>
      </c>
      <c r="G1373">
        <f t="shared" ca="1" si="150"/>
        <v>-40</v>
      </c>
      <c r="H1373" t="str">
        <f t="shared" ca="1" si="151"/>
        <v>Missing</v>
      </c>
      <c r="I1373">
        <f t="shared" ca="1" si="152"/>
        <v>1</v>
      </c>
      <c r="J1373" t="str">
        <f t="shared" si="153"/>
        <v>Environmental</v>
      </c>
    </row>
    <row r="1374" spans="1:10">
      <c r="A1374" t="str" cm="1">
        <f t="array" ref="A1374">INDEX(Vendor_Master!$A$2:$A$401, ROUNDUP((ROW()-1)/4, 0))</f>
        <v>VND-344</v>
      </c>
      <c r="B1374" t="str">
        <f t="shared" si="147"/>
        <v>ISO 14001</v>
      </c>
      <c r="C1374" t="str">
        <f t="shared" si="148"/>
        <v>Yes</v>
      </c>
      <c r="D1374" t="str">
        <f t="shared" si="149"/>
        <v>No</v>
      </c>
      <c r="E1374" s="1">
        <v>45744</v>
      </c>
      <c r="F1374" s="1">
        <v>46007</v>
      </c>
      <c r="G1374">
        <f t="shared" ca="1" si="150"/>
        <v>-76</v>
      </c>
      <c r="H1374" t="str">
        <f t="shared" ca="1" si="151"/>
        <v>Missing</v>
      </c>
      <c r="I1374">
        <f t="shared" ca="1" si="152"/>
        <v>1</v>
      </c>
      <c r="J1374" t="str">
        <f t="shared" si="153"/>
        <v>Environmental</v>
      </c>
    </row>
    <row r="1375" spans="1:10">
      <c r="A1375" t="str" cm="1">
        <f t="array" ref="A1375">INDEX(Vendor_Master!$A$2:$A$401, ROUNDUP((ROW()-1)/4, 0))</f>
        <v>VND-344</v>
      </c>
      <c r="B1375" t="str">
        <f t="shared" si="147"/>
        <v>Safety Certificate</v>
      </c>
      <c r="C1375" t="str">
        <f t="shared" si="148"/>
        <v>Yes</v>
      </c>
      <c r="D1375" t="str">
        <f t="shared" si="149"/>
        <v>No</v>
      </c>
      <c r="E1375" s="1">
        <v>45959</v>
      </c>
      <c r="F1375" s="1">
        <v>45947</v>
      </c>
      <c r="G1375">
        <f t="shared" ca="1" si="150"/>
        <v>-136</v>
      </c>
      <c r="H1375" t="str">
        <f t="shared" ca="1" si="151"/>
        <v>Missing</v>
      </c>
      <c r="I1375">
        <f t="shared" ca="1" si="152"/>
        <v>1</v>
      </c>
      <c r="J1375" t="str">
        <f t="shared" si="153"/>
        <v>Safety</v>
      </c>
    </row>
    <row r="1376" spans="1:10">
      <c r="A1376" t="str" cm="1">
        <f t="array" ref="A1376">INDEX(Vendor_Master!$A$2:$A$401, ROUNDUP((ROW()-1)/4, 0))</f>
        <v>VND-344</v>
      </c>
      <c r="B1376" t="str">
        <f t="shared" si="147"/>
        <v>Environmental Policy</v>
      </c>
      <c r="C1376" t="str">
        <f t="shared" si="148"/>
        <v>Yes</v>
      </c>
      <c r="D1376" t="str">
        <f t="shared" si="149"/>
        <v>No</v>
      </c>
      <c r="E1376" s="1">
        <v>46007</v>
      </c>
      <c r="F1376" s="1">
        <v>46069</v>
      </c>
      <c r="G1376">
        <f t="shared" ca="1" si="150"/>
        <v>-14</v>
      </c>
      <c r="H1376" t="str">
        <f t="shared" ca="1" si="151"/>
        <v>Missing</v>
      </c>
      <c r="I1376">
        <f t="shared" ca="1" si="152"/>
        <v>1</v>
      </c>
      <c r="J1376" t="str">
        <f t="shared" si="153"/>
        <v>Environmental</v>
      </c>
    </row>
    <row r="1377" spans="1:10">
      <c r="A1377" t="str" cm="1">
        <f t="array" ref="A1377">INDEX(Vendor_Master!$A$2:$A$401, ROUNDUP((ROW()-1)/4, 0))</f>
        <v>VND-344</v>
      </c>
      <c r="B1377" t="str">
        <f t="shared" si="147"/>
        <v>Sustainability Disclosure</v>
      </c>
      <c r="C1377" t="str">
        <f t="shared" si="148"/>
        <v>Yes</v>
      </c>
      <c r="D1377" t="str">
        <f t="shared" si="149"/>
        <v>No</v>
      </c>
      <c r="E1377" s="1">
        <v>45439</v>
      </c>
      <c r="F1377" s="1">
        <v>45966</v>
      </c>
      <c r="G1377">
        <f t="shared" ca="1" si="150"/>
        <v>-117</v>
      </c>
      <c r="H1377" t="str">
        <f t="shared" ca="1" si="151"/>
        <v>Missing</v>
      </c>
      <c r="I1377">
        <f t="shared" ca="1" si="152"/>
        <v>1</v>
      </c>
      <c r="J1377" t="str">
        <f t="shared" si="153"/>
        <v>Environmental</v>
      </c>
    </row>
    <row r="1378" spans="1:10">
      <c r="A1378" t="str" cm="1">
        <f t="array" ref="A1378">INDEX(Vendor_Master!$A$2:$A$401, ROUNDUP((ROW()-1)/4, 0))</f>
        <v>VND-345</v>
      </c>
      <c r="B1378" t="str">
        <f t="shared" si="147"/>
        <v>ISO 14001</v>
      </c>
      <c r="C1378" t="str">
        <f t="shared" si="148"/>
        <v>Yes</v>
      </c>
      <c r="D1378" t="str">
        <f t="shared" si="149"/>
        <v>No</v>
      </c>
      <c r="E1378" s="1">
        <v>45804</v>
      </c>
      <c r="F1378" s="1">
        <v>45965</v>
      </c>
      <c r="G1378">
        <f t="shared" ca="1" si="150"/>
        <v>-118</v>
      </c>
      <c r="H1378" t="str">
        <f t="shared" ca="1" si="151"/>
        <v>Missing</v>
      </c>
      <c r="I1378">
        <f t="shared" ca="1" si="152"/>
        <v>1</v>
      </c>
      <c r="J1378" t="str">
        <f t="shared" si="153"/>
        <v>Environmental</v>
      </c>
    </row>
    <row r="1379" spans="1:10">
      <c r="A1379" t="str" cm="1">
        <f t="array" ref="A1379">INDEX(Vendor_Master!$A$2:$A$401, ROUNDUP((ROW()-1)/4, 0))</f>
        <v>VND-345</v>
      </c>
      <c r="B1379" t="str">
        <f t="shared" si="147"/>
        <v>Safety Certificate</v>
      </c>
      <c r="C1379" t="str">
        <f t="shared" si="148"/>
        <v>Yes</v>
      </c>
      <c r="D1379" t="str">
        <f t="shared" si="149"/>
        <v>No</v>
      </c>
      <c r="E1379" s="1">
        <v>46004</v>
      </c>
      <c r="F1379" s="1">
        <v>45990</v>
      </c>
      <c r="G1379">
        <f t="shared" ca="1" si="150"/>
        <v>-93</v>
      </c>
      <c r="H1379" t="str">
        <f t="shared" ca="1" si="151"/>
        <v>Missing</v>
      </c>
      <c r="I1379">
        <f t="shared" ca="1" si="152"/>
        <v>1</v>
      </c>
      <c r="J1379" t="str">
        <f t="shared" si="153"/>
        <v>Safety</v>
      </c>
    </row>
    <row r="1380" spans="1:10">
      <c r="A1380" t="str" cm="1">
        <f t="array" ref="A1380">INDEX(Vendor_Master!$A$2:$A$401, ROUNDUP((ROW()-1)/4, 0))</f>
        <v>VND-345</v>
      </c>
      <c r="B1380" t="str">
        <f t="shared" si="147"/>
        <v>Environmental Policy</v>
      </c>
      <c r="C1380" t="str">
        <f t="shared" si="148"/>
        <v>Yes</v>
      </c>
      <c r="D1380" t="str">
        <f t="shared" si="149"/>
        <v>No</v>
      </c>
      <c r="E1380" s="1">
        <v>45655</v>
      </c>
      <c r="F1380" s="1">
        <v>45929</v>
      </c>
      <c r="G1380">
        <f t="shared" ca="1" si="150"/>
        <v>-154</v>
      </c>
      <c r="H1380" t="str">
        <f t="shared" ca="1" si="151"/>
        <v>Missing</v>
      </c>
      <c r="I1380">
        <f t="shared" ca="1" si="152"/>
        <v>1</v>
      </c>
      <c r="J1380" t="str">
        <f t="shared" si="153"/>
        <v>Environmental</v>
      </c>
    </row>
    <row r="1381" spans="1:10">
      <c r="A1381" t="str" cm="1">
        <f t="array" ref="A1381">INDEX(Vendor_Master!$A$2:$A$401, ROUNDUP((ROW()-1)/4, 0))</f>
        <v>VND-345</v>
      </c>
      <c r="B1381" t="str">
        <f t="shared" si="147"/>
        <v>Sustainability Disclosure</v>
      </c>
      <c r="C1381" t="str">
        <f t="shared" si="148"/>
        <v>Yes</v>
      </c>
      <c r="D1381" t="str">
        <f t="shared" si="149"/>
        <v>No</v>
      </c>
      <c r="E1381" s="1">
        <v>45656</v>
      </c>
      <c r="F1381" s="1">
        <v>45936</v>
      </c>
      <c r="G1381">
        <f t="shared" ca="1" si="150"/>
        <v>-147</v>
      </c>
      <c r="H1381" t="str">
        <f t="shared" ca="1" si="151"/>
        <v>Missing</v>
      </c>
      <c r="I1381">
        <f t="shared" ca="1" si="152"/>
        <v>1</v>
      </c>
      <c r="J1381" t="str">
        <f t="shared" si="153"/>
        <v>Environmental</v>
      </c>
    </row>
    <row r="1382" spans="1:10">
      <c r="A1382" t="str" cm="1">
        <f t="array" ref="A1382">INDEX(Vendor_Master!$A$2:$A$401, ROUNDUP((ROW()-1)/4, 0))</f>
        <v>VND-346</v>
      </c>
      <c r="B1382" t="str">
        <f t="shared" si="147"/>
        <v>ISO 14001</v>
      </c>
      <c r="C1382" t="str">
        <f t="shared" si="148"/>
        <v>Yes</v>
      </c>
      <c r="D1382" t="str">
        <f t="shared" si="149"/>
        <v>No</v>
      </c>
      <c r="E1382" s="1">
        <v>45651</v>
      </c>
      <c r="F1382" s="1">
        <v>45974</v>
      </c>
      <c r="G1382">
        <f t="shared" ca="1" si="150"/>
        <v>-109</v>
      </c>
      <c r="H1382" t="str">
        <f t="shared" ca="1" si="151"/>
        <v>Missing</v>
      </c>
      <c r="I1382">
        <f t="shared" ca="1" si="152"/>
        <v>1</v>
      </c>
      <c r="J1382" t="str">
        <f t="shared" si="153"/>
        <v>Environmental</v>
      </c>
    </row>
    <row r="1383" spans="1:10">
      <c r="A1383" t="str" cm="1">
        <f t="array" ref="A1383">INDEX(Vendor_Master!$A$2:$A$401, ROUNDUP((ROW()-1)/4, 0))</f>
        <v>VND-346</v>
      </c>
      <c r="B1383" t="str">
        <f t="shared" si="147"/>
        <v>Safety Certificate</v>
      </c>
      <c r="C1383" t="str">
        <f t="shared" si="148"/>
        <v>Yes</v>
      </c>
      <c r="D1383" t="str">
        <f t="shared" si="149"/>
        <v>No</v>
      </c>
      <c r="E1383" s="1">
        <v>45690</v>
      </c>
      <c r="F1383" s="1">
        <v>45919</v>
      </c>
      <c r="G1383">
        <f t="shared" ca="1" si="150"/>
        <v>-164</v>
      </c>
      <c r="H1383" t="str">
        <f t="shared" ca="1" si="151"/>
        <v>Missing</v>
      </c>
      <c r="I1383">
        <f t="shared" ca="1" si="152"/>
        <v>1</v>
      </c>
      <c r="J1383" t="str">
        <f t="shared" si="153"/>
        <v>Safety</v>
      </c>
    </row>
    <row r="1384" spans="1:10">
      <c r="A1384" t="str" cm="1">
        <f t="array" ref="A1384">INDEX(Vendor_Master!$A$2:$A$401, ROUNDUP((ROW()-1)/4, 0))</f>
        <v>VND-346</v>
      </c>
      <c r="B1384" t="str">
        <f t="shared" si="147"/>
        <v>Environmental Policy</v>
      </c>
      <c r="C1384" t="str">
        <f t="shared" si="148"/>
        <v>Yes</v>
      </c>
      <c r="D1384" t="str">
        <f t="shared" si="149"/>
        <v>No</v>
      </c>
      <c r="E1384" s="1">
        <v>45867</v>
      </c>
      <c r="F1384" s="1">
        <v>46049</v>
      </c>
      <c r="G1384">
        <f t="shared" ca="1" si="150"/>
        <v>-34</v>
      </c>
      <c r="H1384" t="str">
        <f t="shared" ca="1" si="151"/>
        <v>Missing</v>
      </c>
      <c r="I1384">
        <f t="shared" ca="1" si="152"/>
        <v>1</v>
      </c>
      <c r="J1384" t="str">
        <f t="shared" si="153"/>
        <v>Environmental</v>
      </c>
    </row>
    <row r="1385" spans="1:10">
      <c r="A1385" t="str" cm="1">
        <f t="array" ref="A1385">INDEX(Vendor_Master!$A$2:$A$401, ROUNDUP((ROW()-1)/4, 0))</f>
        <v>VND-346</v>
      </c>
      <c r="B1385" t="str">
        <f t="shared" si="147"/>
        <v>Sustainability Disclosure</v>
      </c>
      <c r="C1385" t="str">
        <f t="shared" si="148"/>
        <v>Yes</v>
      </c>
      <c r="D1385" t="str">
        <f t="shared" si="149"/>
        <v>No</v>
      </c>
      <c r="E1385" s="1">
        <v>45402</v>
      </c>
      <c r="F1385" s="1">
        <v>45952</v>
      </c>
      <c r="G1385">
        <f t="shared" ca="1" si="150"/>
        <v>-131</v>
      </c>
      <c r="H1385" t="str">
        <f t="shared" ca="1" si="151"/>
        <v>Missing</v>
      </c>
      <c r="I1385">
        <f t="shared" ca="1" si="152"/>
        <v>1</v>
      </c>
      <c r="J1385" t="str">
        <f t="shared" si="153"/>
        <v>Environmental</v>
      </c>
    </row>
    <row r="1386" spans="1:10">
      <c r="A1386" t="str" cm="1">
        <f t="array" ref="A1386">INDEX(Vendor_Master!$A$2:$A$401, ROUNDUP((ROW()-1)/4, 0))</f>
        <v>VND-347</v>
      </c>
      <c r="B1386" t="str">
        <f t="shared" si="147"/>
        <v>ISO 14001</v>
      </c>
      <c r="C1386" t="str">
        <f t="shared" si="148"/>
        <v>Yes</v>
      </c>
      <c r="D1386" t="str">
        <f t="shared" si="149"/>
        <v>No</v>
      </c>
      <c r="E1386" s="1">
        <v>45869</v>
      </c>
      <c r="F1386" s="1">
        <v>46046</v>
      </c>
      <c r="G1386">
        <f t="shared" ca="1" si="150"/>
        <v>-37</v>
      </c>
      <c r="H1386" t="str">
        <f t="shared" ca="1" si="151"/>
        <v>Missing</v>
      </c>
      <c r="I1386">
        <f t="shared" ca="1" si="152"/>
        <v>1</v>
      </c>
      <c r="J1386" t="str">
        <f t="shared" si="153"/>
        <v>Environmental</v>
      </c>
    </row>
    <row r="1387" spans="1:10">
      <c r="A1387" t="str" cm="1">
        <f t="array" ref="A1387">INDEX(Vendor_Master!$A$2:$A$401, ROUNDUP((ROW()-1)/4, 0))</f>
        <v>VND-347</v>
      </c>
      <c r="B1387" t="str">
        <f t="shared" si="147"/>
        <v>Safety Certificate</v>
      </c>
      <c r="C1387" t="str">
        <f t="shared" si="148"/>
        <v>Yes</v>
      </c>
      <c r="D1387" t="str">
        <f t="shared" si="149"/>
        <v>No</v>
      </c>
      <c r="E1387" s="1">
        <v>45847</v>
      </c>
      <c r="F1387" s="1">
        <v>45979</v>
      </c>
      <c r="G1387">
        <f t="shared" ca="1" si="150"/>
        <v>-104</v>
      </c>
      <c r="H1387" t="str">
        <f t="shared" ca="1" si="151"/>
        <v>Missing</v>
      </c>
      <c r="I1387">
        <f t="shared" ca="1" si="152"/>
        <v>1</v>
      </c>
      <c r="J1387" t="str">
        <f t="shared" si="153"/>
        <v>Safety</v>
      </c>
    </row>
    <row r="1388" spans="1:10">
      <c r="A1388" t="str" cm="1">
        <f t="array" ref="A1388">INDEX(Vendor_Master!$A$2:$A$401, ROUNDUP((ROW()-1)/4, 0))</f>
        <v>VND-347</v>
      </c>
      <c r="B1388" t="str">
        <f t="shared" si="147"/>
        <v>Environmental Policy</v>
      </c>
      <c r="C1388" t="str">
        <f t="shared" si="148"/>
        <v>Yes</v>
      </c>
      <c r="D1388" t="str">
        <f t="shared" si="149"/>
        <v>No</v>
      </c>
      <c r="E1388" s="1">
        <v>45938</v>
      </c>
      <c r="F1388" s="1">
        <v>46037</v>
      </c>
      <c r="G1388">
        <f t="shared" ca="1" si="150"/>
        <v>-46</v>
      </c>
      <c r="H1388" t="str">
        <f t="shared" ca="1" si="151"/>
        <v>Missing</v>
      </c>
      <c r="I1388">
        <f t="shared" ca="1" si="152"/>
        <v>1</v>
      </c>
      <c r="J1388" t="str">
        <f t="shared" si="153"/>
        <v>Environmental</v>
      </c>
    </row>
    <row r="1389" spans="1:10">
      <c r="A1389" t="str" cm="1">
        <f t="array" ref="A1389">INDEX(Vendor_Master!$A$2:$A$401, ROUNDUP((ROW()-1)/4, 0))</f>
        <v>VND-347</v>
      </c>
      <c r="B1389" t="str">
        <f t="shared" si="147"/>
        <v>Sustainability Disclosure</v>
      </c>
      <c r="C1389" t="str">
        <f t="shared" si="148"/>
        <v>Yes</v>
      </c>
      <c r="D1389" t="str">
        <f t="shared" si="149"/>
        <v>No</v>
      </c>
      <c r="E1389" s="1">
        <v>46004</v>
      </c>
      <c r="F1389" s="1">
        <v>45947</v>
      </c>
      <c r="G1389">
        <f t="shared" ca="1" si="150"/>
        <v>-136</v>
      </c>
      <c r="H1389" t="str">
        <f t="shared" ca="1" si="151"/>
        <v>Missing</v>
      </c>
      <c r="I1389">
        <f t="shared" ca="1" si="152"/>
        <v>1</v>
      </c>
      <c r="J1389" t="str">
        <f t="shared" si="153"/>
        <v>Environmental</v>
      </c>
    </row>
    <row r="1390" spans="1:10">
      <c r="A1390" t="str" cm="1">
        <f t="array" ref="A1390">INDEX(Vendor_Master!$A$2:$A$401, ROUNDUP((ROW()-1)/4, 0))</f>
        <v>VND-348</v>
      </c>
      <c r="B1390" t="str">
        <f t="shared" si="147"/>
        <v>ISO 14001</v>
      </c>
      <c r="C1390" t="str">
        <f t="shared" si="148"/>
        <v>Yes</v>
      </c>
      <c r="D1390" t="str">
        <f t="shared" si="149"/>
        <v>No</v>
      </c>
      <c r="E1390" s="1">
        <v>45571</v>
      </c>
      <c r="F1390" s="1">
        <v>45950</v>
      </c>
      <c r="G1390">
        <f t="shared" ca="1" si="150"/>
        <v>-133</v>
      </c>
      <c r="H1390" t="str">
        <f t="shared" ca="1" si="151"/>
        <v>Missing</v>
      </c>
      <c r="I1390">
        <f t="shared" ca="1" si="152"/>
        <v>1</v>
      </c>
      <c r="J1390" t="str">
        <f t="shared" si="153"/>
        <v>Environmental</v>
      </c>
    </row>
    <row r="1391" spans="1:10">
      <c r="A1391" t="str" cm="1">
        <f t="array" ref="A1391">INDEX(Vendor_Master!$A$2:$A$401, ROUNDUP((ROW()-1)/4, 0))</f>
        <v>VND-348</v>
      </c>
      <c r="B1391" t="str">
        <f t="shared" si="147"/>
        <v>Safety Certificate</v>
      </c>
      <c r="C1391" t="str">
        <f t="shared" si="148"/>
        <v>Yes</v>
      </c>
      <c r="D1391" t="str">
        <f t="shared" si="149"/>
        <v>No</v>
      </c>
      <c r="E1391" s="1">
        <v>45894</v>
      </c>
      <c r="F1391" s="1">
        <v>45923</v>
      </c>
      <c r="G1391">
        <f t="shared" ca="1" si="150"/>
        <v>-160</v>
      </c>
      <c r="H1391" t="str">
        <f t="shared" ca="1" si="151"/>
        <v>Missing</v>
      </c>
      <c r="I1391">
        <f t="shared" ca="1" si="152"/>
        <v>1</v>
      </c>
      <c r="J1391" t="str">
        <f t="shared" si="153"/>
        <v>Safety</v>
      </c>
    </row>
    <row r="1392" spans="1:10">
      <c r="A1392" t="str" cm="1">
        <f t="array" ref="A1392">INDEX(Vendor_Master!$A$2:$A$401, ROUNDUP((ROW()-1)/4, 0))</f>
        <v>VND-348</v>
      </c>
      <c r="B1392" t="str">
        <f t="shared" si="147"/>
        <v>Environmental Policy</v>
      </c>
      <c r="C1392" t="str">
        <f t="shared" si="148"/>
        <v>Yes</v>
      </c>
      <c r="D1392" t="str">
        <f t="shared" si="149"/>
        <v>No</v>
      </c>
      <c r="E1392" s="1">
        <v>45451</v>
      </c>
      <c r="F1392" s="1">
        <v>46035</v>
      </c>
      <c r="G1392">
        <f t="shared" ca="1" si="150"/>
        <v>-48</v>
      </c>
      <c r="H1392" t="str">
        <f t="shared" ca="1" si="151"/>
        <v>Missing</v>
      </c>
      <c r="I1392">
        <f t="shared" ca="1" si="152"/>
        <v>1</v>
      </c>
      <c r="J1392" t="str">
        <f t="shared" si="153"/>
        <v>Environmental</v>
      </c>
    </row>
    <row r="1393" spans="1:10">
      <c r="A1393" t="str" cm="1">
        <f t="array" ref="A1393">INDEX(Vendor_Master!$A$2:$A$401, ROUNDUP((ROW()-1)/4, 0))</f>
        <v>VND-348</v>
      </c>
      <c r="B1393" t="str">
        <f t="shared" si="147"/>
        <v>Sustainability Disclosure</v>
      </c>
      <c r="C1393" t="str">
        <f t="shared" si="148"/>
        <v>Yes</v>
      </c>
      <c r="D1393" t="str">
        <f t="shared" si="149"/>
        <v>No</v>
      </c>
      <c r="E1393" s="1">
        <v>45599</v>
      </c>
      <c r="F1393" s="1">
        <v>46070</v>
      </c>
      <c r="G1393">
        <f t="shared" ca="1" si="150"/>
        <v>-13</v>
      </c>
      <c r="H1393" t="str">
        <f t="shared" ca="1" si="151"/>
        <v>Missing</v>
      </c>
      <c r="I1393">
        <f t="shared" ca="1" si="152"/>
        <v>1</v>
      </c>
      <c r="J1393" t="str">
        <f t="shared" si="153"/>
        <v>Environmental</v>
      </c>
    </row>
    <row r="1394" spans="1:10">
      <c r="A1394" t="str" cm="1">
        <f t="array" ref="A1394">INDEX(Vendor_Master!$A$2:$A$401, ROUNDUP((ROW()-1)/4, 0))</f>
        <v>VND-349</v>
      </c>
      <c r="B1394" t="str">
        <f t="shared" si="147"/>
        <v>ISO 14001</v>
      </c>
      <c r="C1394" t="str">
        <f t="shared" si="148"/>
        <v>Yes</v>
      </c>
      <c r="D1394" t="str">
        <f t="shared" si="149"/>
        <v>No</v>
      </c>
      <c r="E1394" s="1">
        <v>45413</v>
      </c>
      <c r="F1394" s="1">
        <v>45944</v>
      </c>
      <c r="G1394">
        <f t="shared" ca="1" si="150"/>
        <v>-139</v>
      </c>
      <c r="H1394" t="str">
        <f t="shared" ca="1" si="151"/>
        <v>Missing</v>
      </c>
      <c r="I1394">
        <f t="shared" ca="1" si="152"/>
        <v>1</v>
      </c>
      <c r="J1394" t="str">
        <f t="shared" si="153"/>
        <v>Environmental</v>
      </c>
    </row>
    <row r="1395" spans="1:10">
      <c r="A1395" t="str" cm="1">
        <f t="array" ref="A1395">INDEX(Vendor_Master!$A$2:$A$401, ROUNDUP((ROW()-1)/4, 0))</f>
        <v>VND-349</v>
      </c>
      <c r="B1395" t="str">
        <f t="shared" si="147"/>
        <v>Safety Certificate</v>
      </c>
      <c r="C1395" t="str">
        <f t="shared" si="148"/>
        <v>Yes</v>
      </c>
      <c r="D1395" t="str">
        <f t="shared" si="149"/>
        <v>No</v>
      </c>
      <c r="E1395" s="1">
        <v>45941</v>
      </c>
      <c r="F1395" s="1">
        <v>46061</v>
      </c>
      <c r="G1395">
        <f t="shared" ca="1" si="150"/>
        <v>-22</v>
      </c>
      <c r="H1395" t="str">
        <f t="shared" ca="1" si="151"/>
        <v>Missing</v>
      </c>
      <c r="I1395">
        <f t="shared" ca="1" si="152"/>
        <v>1</v>
      </c>
      <c r="J1395" t="str">
        <f t="shared" si="153"/>
        <v>Safety</v>
      </c>
    </row>
    <row r="1396" spans="1:10">
      <c r="A1396" t="str" cm="1">
        <f t="array" ref="A1396">INDEX(Vendor_Master!$A$2:$A$401, ROUNDUP((ROW()-1)/4, 0))</f>
        <v>VND-349</v>
      </c>
      <c r="B1396" t="str">
        <f t="shared" si="147"/>
        <v>Environmental Policy</v>
      </c>
      <c r="C1396" t="str">
        <f t="shared" si="148"/>
        <v>Yes</v>
      </c>
      <c r="D1396" t="str">
        <f t="shared" si="149"/>
        <v>No</v>
      </c>
      <c r="E1396" s="1">
        <v>45446</v>
      </c>
      <c r="F1396" s="1">
        <v>45934</v>
      </c>
      <c r="G1396">
        <f t="shared" ca="1" si="150"/>
        <v>-149</v>
      </c>
      <c r="H1396" t="str">
        <f t="shared" ca="1" si="151"/>
        <v>Missing</v>
      </c>
      <c r="I1396">
        <f t="shared" ca="1" si="152"/>
        <v>1</v>
      </c>
      <c r="J1396" t="str">
        <f t="shared" si="153"/>
        <v>Environmental</v>
      </c>
    </row>
    <row r="1397" spans="1:10">
      <c r="A1397" t="str" cm="1">
        <f t="array" ref="A1397">INDEX(Vendor_Master!$A$2:$A$401, ROUNDUP((ROW()-1)/4, 0))</f>
        <v>VND-349</v>
      </c>
      <c r="B1397" t="str">
        <f t="shared" si="147"/>
        <v>Sustainability Disclosure</v>
      </c>
      <c r="C1397" t="str">
        <f t="shared" si="148"/>
        <v>Yes</v>
      </c>
      <c r="D1397" t="str">
        <f t="shared" si="149"/>
        <v>No</v>
      </c>
      <c r="E1397" s="1">
        <v>45612</v>
      </c>
      <c r="F1397" s="1">
        <v>45919</v>
      </c>
      <c r="G1397">
        <f t="shared" ca="1" si="150"/>
        <v>-164</v>
      </c>
      <c r="H1397" t="str">
        <f t="shared" ca="1" si="151"/>
        <v>Missing</v>
      </c>
      <c r="I1397">
        <f t="shared" ca="1" si="152"/>
        <v>1</v>
      </c>
      <c r="J1397" t="str">
        <f t="shared" si="153"/>
        <v>Environmental</v>
      </c>
    </row>
    <row r="1398" spans="1:10">
      <c r="A1398" t="str" cm="1">
        <f t="array" ref="A1398">INDEX(Vendor_Master!$A$2:$A$401, ROUNDUP((ROW()-1)/4, 0))</f>
        <v>VND-350</v>
      </c>
      <c r="B1398" t="str">
        <f t="shared" si="147"/>
        <v>ISO 14001</v>
      </c>
      <c r="C1398" t="str">
        <f t="shared" si="148"/>
        <v>Yes</v>
      </c>
      <c r="D1398" t="str">
        <f t="shared" si="149"/>
        <v>No</v>
      </c>
      <c r="E1398" s="1">
        <v>45960</v>
      </c>
      <c r="F1398" s="1">
        <v>45905</v>
      </c>
      <c r="G1398">
        <f t="shared" ca="1" si="150"/>
        <v>-178</v>
      </c>
      <c r="H1398" t="str">
        <f t="shared" ca="1" si="151"/>
        <v>Missing</v>
      </c>
      <c r="I1398">
        <f t="shared" ca="1" si="152"/>
        <v>1</v>
      </c>
      <c r="J1398" t="str">
        <f t="shared" si="153"/>
        <v>Environmental</v>
      </c>
    </row>
    <row r="1399" spans="1:10">
      <c r="A1399" t="str" cm="1">
        <f t="array" ref="A1399">INDEX(Vendor_Master!$A$2:$A$401, ROUNDUP((ROW()-1)/4, 0))</f>
        <v>VND-350</v>
      </c>
      <c r="B1399" t="str">
        <f t="shared" si="147"/>
        <v>Safety Certificate</v>
      </c>
      <c r="C1399" t="str">
        <f t="shared" si="148"/>
        <v>Yes</v>
      </c>
      <c r="D1399" t="str">
        <f t="shared" si="149"/>
        <v>No</v>
      </c>
      <c r="E1399" s="1">
        <v>46028</v>
      </c>
      <c r="F1399" s="1">
        <v>46001</v>
      </c>
      <c r="G1399">
        <f t="shared" ca="1" si="150"/>
        <v>-82</v>
      </c>
      <c r="H1399" t="str">
        <f t="shared" ca="1" si="151"/>
        <v>Missing</v>
      </c>
      <c r="I1399">
        <f t="shared" ca="1" si="152"/>
        <v>1</v>
      </c>
      <c r="J1399" t="str">
        <f t="shared" si="153"/>
        <v>Safety</v>
      </c>
    </row>
    <row r="1400" spans="1:10">
      <c r="A1400" t="str" cm="1">
        <f t="array" ref="A1400">INDEX(Vendor_Master!$A$2:$A$401, ROUNDUP((ROW()-1)/4, 0))</f>
        <v>VND-350</v>
      </c>
      <c r="B1400" t="str">
        <f t="shared" si="147"/>
        <v>Environmental Policy</v>
      </c>
      <c r="C1400" t="str">
        <f t="shared" si="148"/>
        <v>Yes</v>
      </c>
      <c r="D1400" t="str">
        <f t="shared" si="149"/>
        <v>No</v>
      </c>
      <c r="E1400" s="1">
        <v>46013</v>
      </c>
      <c r="F1400" s="1">
        <v>46066</v>
      </c>
      <c r="G1400">
        <f t="shared" ca="1" si="150"/>
        <v>-17</v>
      </c>
      <c r="H1400" t="str">
        <f t="shared" ca="1" si="151"/>
        <v>Missing</v>
      </c>
      <c r="I1400">
        <f t="shared" ca="1" si="152"/>
        <v>1</v>
      </c>
      <c r="J1400" t="str">
        <f t="shared" si="153"/>
        <v>Environmental</v>
      </c>
    </row>
    <row r="1401" spans="1:10">
      <c r="A1401" t="str" cm="1">
        <f t="array" ref="A1401">INDEX(Vendor_Master!$A$2:$A$401, ROUNDUP((ROW()-1)/4, 0))</f>
        <v>VND-350</v>
      </c>
      <c r="B1401" t="str">
        <f t="shared" si="147"/>
        <v>Sustainability Disclosure</v>
      </c>
      <c r="C1401" t="str">
        <f t="shared" si="148"/>
        <v>Yes</v>
      </c>
      <c r="D1401" t="str">
        <f t="shared" si="149"/>
        <v>No</v>
      </c>
      <c r="E1401" s="1">
        <v>45575</v>
      </c>
      <c r="F1401" s="1">
        <v>46070</v>
      </c>
      <c r="G1401">
        <f t="shared" ca="1" si="150"/>
        <v>-13</v>
      </c>
      <c r="H1401" t="str">
        <f t="shared" ca="1" si="151"/>
        <v>Missing</v>
      </c>
      <c r="I1401">
        <f t="shared" ca="1" si="152"/>
        <v>1</v>
      </c>
      <c r="J1401" t="str">
        <f t="shared" si="153"/>
        <v>Environmental</v>
      </c>
    </row>
    <row r="1402" spans="1:10">
      <c r="A1402" t="str" cm="1">
        <f t="array" ref="A1402">INDEX(Vendor_Master!$A$2:$A$401, ROUNDUP((ROW()-1)/4, 0))</f>
        <v>VND-351</v>
      </c>
      <c r="B1402" t="str">
        <f t="shared" si="147"/>
        <v>ISO 14001</v>
      </c>
      <c r="C1402" t="str">
        <f t="shared" si="148"/>
        <v>Yes</v>
      </c>
      <c r="D1402" t="str">
        <f t="shared" si="149"/>
        <v>No</v>
      </c>
      <c r="E1402" s="1">
        <v>45548</v>
      </c>
      <c r="F1402" s="1">
        <v>46063</v>
      </c>
      <c r="G1402">
        <f t="shared" ca="1" si="150"/>
        <v>-20</v>
      </c>
      <c r="H1402" t="str">
        <f t="shared" ca="1" si="151"/>
        <v>Missing</v>
      </c>
      <c r="I1402">
        <f t="shared" ca="1" si="152"/>
        <v>1</v>
      </c>
      <c r="J1402" t="str">
        <f t="shared" si="153"/>
        <v>Environmental</v>
      </c>
    </row>
    <row r="1403" spans="1:10">
      <c r="A1403" t="str" cm="1">
        <f t="array" ref="A1403">INDEX(Vendor_Master!$A$2:$A$401, ROUNDUP((ROW()-1)/4, 0))</f>
        <v>VND-351</v>
      </c>
      <c r="B1403" t="str">
        <f t="shared" si="147"/>
        <v>Safety Certificate</v>
      </c>
      <c r="C1403" t="str">
        <f t="shared" si="148"/>
        <v>Yes</v>
      </c>
      <c r="D1403" t="str">
        <f t="shared" si="149"/>
        <v>No</v>
      </c>
      <c r="E1403" s="1">
        <v>45535</v>
      </c>
      <c r="F1403" s="1">
        <v>45971</v>
      </c>
      <c r="G1403">
        <f t="shared" ca="1" si="150"/>
        <v>-112</v>
      </c>
      <c r="H1403" t="str">
        <f t="shared" ca="1" si="151"/>
        <v>Missing</v>
      </c>
      <c r="I1403">
        <f t="shared" ca="1" si="152"/>
        <v>1</v>
      </c>
      <c r="J1403" t="str">
        <f t="shared" si="153"/>
        <v>Safety</v>
      </c>
    </row>
    <row r="1404" spans="1:10">
      <c r="A1404" t="str" cm="1">
        <f t="array" ref="A1404">INDEX(Vendor_Master!$A$2:$A$401, ROUNDUP((ROW()-1)/4, 0))</f>
        <v>VND-351</v>
      </c>
      <c r="B1404" t="str">
        <f t="shared" si="147"/>
        <v>Environmental Policy</v>
      </c>
      <c r="C1404" t="str">
        <f t="shared" si="148"/>
        <v>Yes</v>
      </c>
      <c r="D1404" t="str">
        <f t="shared" si="149"/>
        <v>No</v>
      </c>
      <c r="E1404" s="1">
        <v>45470</v>
      </c>
      <c r="F1404" s="1">
        <v>45996</v>
      </c>
      <c r="G1404">
        <f t="shared" ca="1" si="150"/>
        <v>-87</v>
      </c>
      <c r="H1404" t="str">
        <f t="shared" ca="1" si="151"/>
        <v>Missing</v>
      </c>
      <c r="I1404">
        <f t="shared" ca="1" si="152"/>
        <v>1</v>
      </c>
      <c r="J1404" t="str">
        <f t="shared" si="153"/>
        <v>Environmental</v>
      </c>
    </row>
    <row r="1405" spans="1:10">
      <c r="A1405" t="str" cm="1">
        <f t="array" ref="A1405">INDEX(Vendor_Master!$A$2:$A$401, ROUNDUP((ROW()-1)/4, 0))</f>
        <v>VND-351</v>
      </c>
      <c r="B1405" t="str">
        <f t="shared" si="147"/>
        <v>Sustainability Disclosure</v>
      </c>
      <c r="C1405" t="str">
        <f t="shared" si="148"/>
        <v>Yes</v>
      </c>
      <c r="D1405" t="str">
        <f t="shared" si="149"/>
        <v>No</v>
      </c>
      <c r="E1405" s="1">
        <v>45491</v>
      </c>
      <c r="F1405" s="1">
        <v>45950</v>
      </c>
      <c r="G1405">
        <f t="shared" ca="1" si="150"/>
        <v>-133</v>
      </c>
      <c r="H1405" t="str">
        <f t="shared" ca="1" si="151"/>
        <v>Missing</v>
      </c>
      <c r="I1405">
        <f t="shared" ca="1" si="152"/>
        <v>1</v>
      </c>
      <c r="J1405" t="str">
        <f t="shared" si="153"/>
        <v>Environmental</v>
      </c>
    </row>
    <row r="1406" spans="1:10">
      <c r="A1406" t="str" cm="1">
        <f t="array" ref="A1406">INDEX(Vendor_Master!$A$2:$A$401, ROUNDUP((ROW()-1)/4, 0))</f>
        <v>VND-352</v>
      </c>
      <c r="B1406" t="str">
        <f t="shared" si="147"/>
        <v>ISO 14001</v>
      </c>
      <c r="C1406" t="str">
        <f t="shared" si="148"/>
        <v>Yes</v>
      </c>
      <c r="D1406" t="str">
        <f t="shared" si="149"/>
        <v>No</v>
      </c>
      <c r="E1406" s="1">
        <v>45610</v>
      </c>
      <c r="F1406" s="1">
        <v>45957</v>
      </c>
      <c r="G1406">
        <f t="shared" ca="1" si="150"/>
        <v>-126</v>
      </c>
      <c r="H1406" t="str">
        <f t="shared" ca="1" si="151"/>
        <v>Missing</v>
      </c>
      <c r="I1406">
        <f t="shared" ca="1" si="152"/>
        <v>1</v>
      </c>
      <c r="J1406" t="str">
        <f t="shared" si="153"/>
        <v>Environmental</v>
      </c>
    </row>
    <row r="1407" spans="1:10">
      <c r="A1407" t="str" cm="1">
        <f t="array" ref="A1407">INDEX(Vendor_Master!$A$2:$A$401, ROUNDUP((ROW()-1)/4, 0))</f>
        <v>VND-352</v>
      </c>
      <c r="B1407" t="str">
        <f t="shared" si="147"/>
        <v>Safety Certificate</v>
      </c>
      <c r="C1407" t="str">
        <f t="shared" si="148"/>
        <v>Yes</v>
      </c>
      <c r="D1407" t="str">
        <f t="shared" si="149"/>
        <v>No</v>
      </c>
      <c r="E1407" s="1">
        <v>45750</v>
      </c>
      <c r="F1407" s="1">
        <v>45948</v>
      </c>
      <c r="G1407">
        <f t="shared" ca="1" si="150"/>
        <v>-135</v>
      </c>
      <c r="H1407" t="str">
        <f t="shared" ca="1" si="151"/>
        <v>Missing</v>
      </c>
      <c r="I1407">
        <f t="shared" ca="1" si="152"/>
        <v>1</v>
      </c>
      <c r="J1407" t="str">
        <f t="shared" si="153"/>
        <v>Safety</v>
      </c>
    </row>
    <row r="1408" spans="1:10">
      <c r="A1408" t="str" cm="1">
        <f t="array" ref="A1408">INDEX(Vendor_Master!$A$2:$A$401, ROUNDUP((ROW()-1)/4, 0))</f>
        <v>VND-352</v>
      </c>
      <c r="B1408" t="str">
        <f t="shared" si="147"/>
        <v>Environmental Policy</v>
      </c>
      <c r="C1408" t="str">
        <f t="shared" si="148"/>
        <v>Yes</v>
      </c>
      <c r="D1408" t="str">
        <f t="shared" si="149"/>
        <v>No</v>
      </c>
      <c r="E1408" s="1">
        <v>46000</v>
      </c>
      <c r="F1408" s="1">
        <v>46067</v>
      </c>
      <c r="G1408">
        <f t="shared" ca="1" si="150"/>
        <v>-16</v>
      </c>
      <c r="H1408" t="str">
        <f t="shared" ca="1" si="151"/>
        <v>Missing</v>
      </c>
      <c r="I1408">
        <f t="shared" ca="1" si="152"/>
        <v>1</v>
      </c>
      <c r="J1408" t="str">
        <f t="shared" si="153"/>
        <v>Environmental</v>
      </c>
    </row>
    <row r="1409" spans="1:10">
      <c r="A1409" t="str" cm="1">
        <f t="array" ref="A1409">INDEX(Vendor_Master!$A$2:$A$401, ROUNDUP((ROW()-1)/4, 0))</f>
        <v>VND-352</v>
      </c>
      <c r="B1409" t="str">
        <f t="shared" si="147"/>
        <v>Sustainability Disclosure</v>
      </c>
      <c r="C1409" t="str">
        <f t="shared" si="148"/>
        <v>Yes</v>
      </c>
      <c r="D1409" t="str">
        <f t="shared" si="149"/>
        <v>No</v>
      </c>
      <c r="E1409" s="1">
        <v>45629</v>
      </c>
      <c r="F1409" s="1">
        <v>46038</v>
      </c>
      <c r="G1409">
        <f t="shared" ca="1" si="150"/>
        <v>-45</v>
      </c>
      <c r="H1409" t="str">
        <f t="shared" ca="1" si="151"/>
        <v>Missing</v>
      </c>
      <c r="I1409">
        <f t="shared" ca="1" si="152"/>
        <v>1</v>
      </c>
      <c r="J1409" t="str">
        <f t="shared" si="153"/>
        <v>Environmental</v>
      </c>
    </row>
    <row r="1410" spans="1:10">
      <c r="A1410" t="str" cm="1">
        <f t="array" ref="A1410">INDEX(Vendor_Master!$A$2:$A$401, ROUNDUP((ROW()-1)/4, 0))</f>
        <v>VND-353</v>
      </c>
      <c r="B1410" t="str">
        <f t="shared" ref="B1410:B1473" si="154">CHOOSE(MOD(ROW()-2,4)+1,"ISO 14001","Safety Certificate","Environmental Policy","Sustainability Disclosure")</f>
        <v>ISO 14001</v>
      </c>
      <c r="C1410" t="str">
        <f t="shared" ref="C1410:C1473" si="155">"Yes"</f>
        <v>Yes</v>
      </c>
      <c r="D1410" t="str">
        <f t="shared" ref="D1410:D1473" si="156">IF(ROW()-1&lt;=1280,"Yes","No")</f>
        <v>No</v>
      </c>
      <c r="E1410" s="1">
        <v>45810</v>
      </c>
      <c r="F1410" s="1">
        <v>45965</v>
      </c>
      <c r="G1410">
        <f t="shared" ref="G1410:G1473" ca="1" si="157">IF($F1410="","",$F1410-TODAY())</f>
        <v>-118</v>
      </c>
      <c r="H1410" t="str">
        <f t="shared" ref="H1410:H1473" ca="1" si="158">IF($C1410="No","Not Required",
IF($D1410="No","Missing",
IF($F1410&lt;TODAY(),"Expired",
IF($F1410&lt;=TODAY()+30,"Expiring Soon","Active"))))</f>
        <v>Missing</v>
      </c>
      <c r="I1410">
        <f t="shared" ref="I1410:I1473" ca="1" si="159">IF(OR($H1410="Missing",$H1410="Expired",$H1410="Expiring Soon"),1,0)</f>
        <v>1</v>
      </c>
      <c r="J1410" t="str">
        <f t="shared" si="153"/>
        <v>Environmental</v>
      </c>
    </row>
    <row r="1411" spans="1:10">
      <c r="A1411" t="str" cm="1">
        <f t="array" ref="A1411">INDEX(Vendor_Master!$A$2:$A$401, ROUNDUP((ROW()-1)/4, 0))</f>
        <v>VND-353</v>
      </c>
      <c r="B1411" t="str">
        <f t="shared" si="154"/>
        <v>Safety Certificate</v>
      </c>
      <c r="C1411" t="str">
        <f t="shared" si="155"/>
        <v>Yes</v>
      </c>
      <c r="D1411" t="str">
        <f t="shared" si="156"/>
        <v>No</v>
      </c>
      <c r="E1411" s="1">
        <v>45567</v>
      </c>
      <c r="F1411" s="1">
        <v>45977</v>
      </c>
      <c r="G1411">
        <f t="shared" ca="1" si="157"/>
        <v>-106</v>
      </c>
      <c r="H1411" t="str">
        <f t="shared" ca="1" si="158"/>
        <v>Missing</v>
      </c>
      <c r="I1411">
        <f t="shared" ca="1" si="159"/>
        <v>1</v>
      </c>
      <c r="J1411" t="str">
        <f t="shared" ref="J1411:J1474" si="160">IF(B1411="ISO 14001","Environmental",
 IF(B1411="Environmental Policy","Environmental",
 IF(B1411="Sustainability Disclosure","Environmental",
 IF(B1411="Safety Certificate","Safety","Regulatory"))))</f>
        <v>Safety</v>
      </c>
    </row>
    <row r="1412" spans="1:10">
      <c r="A1412" t="str" cm="1">
        <f t="array" ref="A1412">INDEX(Vendor_Master!$A$2:$A$401, ROUNDUP((ROW()-1)/4, 0))</f>
        <v>VND-353</v>
      </c>
      <c r="B1412" t="str">
        <f t="shared" si="154"/>
        <v>Environmental Policy</v>
      </c>
      <c r="C1412" t="str">
        <f t="shared" si="155"/>
        <v>Yes</v>
      </c>
      <c r="D1412" t="str">
        <f t="shared" si="156"/>
        <v>No</v>
      </c>
      <c r="E1412" s="1">
        <v>45655</v>
      </c>
      <c r="F1412" s="1">
        <v>45910</v>
      </c>
      <c r="G1412">
        <f t="shared" ca="1" si="157"/>
        <v>-173</v>
      </c>
      <c r="H1412" t="str">
        <f t="shared" ca="1" si="158"/>
        <v>Missing</v>
      </c>
      <c r="I1412">
        <f t="shared" ca="1" si="159"/>
        <v>1</v>
      </c>
      <c r="J1412" t="str">
        <f t="shared" si="160"/>
        <v>Environmental</v>
      </c>
    </row>
    <row r="1413" spans="1:10">
      <c r="A1413" t="str" cm="1">
        <f t="array" ref="A1413">INDEX(Vendor_Master!$A$2:$A$401, ROUNDUP((ROW()-1)/4, 0))</f>
        <v>VND-353</v>
      </c>
      <c r="B1413" t="str">
        <f t="shared" si="154"/>
        <v>Sustainability Disclosure</v>
      </c>
      <c r="C1413" t="str">
        <f t="shared" si="155"/>
        <v>Yes</v>
      </c>
      <c r="D1413" t="str">
        <f t="shared" si="156"/>
        <v>No</v>
      </c>
      <c r="E1413" s="1">
        <v>45430</v>
      </c>
      <c r="F1413" s="1">
        <v>45993</v>
      </c>
      <c r="G1413">
        <f t="shared" ca="1" si="157"/>
        <v>-90</v>
      </c>
      <c r="H1413" t="str">
        <f t="shared" ca="1" si="158"/>
        <v>Missing</v>
      </c>
      <c r="I1413">
        <f t="shared" ca="1" si="159"/>
        <v>1</v>
      </c>
      <c r="J1413" t="str">
        <f t="shared" si="160"/>
        <v>Environmental</v>
      </c>
    </row>
    <row r="1414" spans="1:10">
      <c r="A1414" t="str" cm="1">
        <f t="array" ref="A1414">INDEX(Vendor_Master!$A$2:$A$401, ROUNDUP((ROW()-1)/4, 0))</f>
        <v>VND-354</v>
      </c>
      <c r="B1414" t="str">
        <f t="shared" si="154"/>
        <v>ISO 14001</v>
      </c>
      <c r="C1414" t="str">
        <f t="shared" si="155"/>
        <v>Yes</v>
      </c>
      <c r="D1414" t="str">
        <f t="shared" si="156"/>
        <v>No</v>
      </c>
      <c r="E1414" s="1">
        <v>45865</v>
      </c>
      <c r="F1414" s="1">
        <v>45990</v>
      </c>
      <c r="G1414">
        <f t="shared" ca="1" si="157"/>
        <v>-93</v>
      </c>
      <c r="H1414" t="str">
        <f t="shared" ca="1" si="158"/>
        <v>Missing</v>
      </c>
      <c r="I1414">
        <f t="shared" ca="1" si="159"/>
        <v>1</v>
      </c>
      <c r="J1414" t="str">
        <f t="shared" si="160"/>
        <v>Environmental</v>
      </c>
    </row>
    <row r="1415" spans="1:10">
      <c r="A1415" t="str" cm="1">
        <f t="array" ref="A1415">INDEX(Vendor_Master!$A$2:$A$401, ROUNDUP((ROW()-1)/4, 0))</f>
        <v>VND-354</v>
      </c>
      <c r="B1415" t="str">
        <f t="shared" si="154"/>
        <v>Safety Certificate</v>
      </c>
      <c r="C1415" t="str">
        <f t="shared" si="155"/>
        <v>Yes</v>
      </c>
      <c r="D1415" t="str">
        <f t="shared" si="156"/>
        <v>No</v>
      </c>
      <c r="E1415" s="1">
        <v>46014</v>
      </c>
      <c r="F1415" s="1">
        <v>45963</v>
      </c>
      <c r="G1415">
        <f t="shared" ca="1" si="157"/>
        <v>-120</v>
      </c>
      <c r="H1415" t="str">
        <f t="shared" ca="1" si="158"/>
        <v>Missing</v>
      </c>
      <c r="I1415">
        <f t="shared" ca="1" si="159"/>
        <v>1</v>
      </c>
      <c r="J1415" t="str">
        <f t="shared" si="160"/>
        <v>Safety</v>
      </c>
    </row>
    <row r="1416" spans="1:10">
      <c r="A1416" t="str" cm="1">
        <f t="array" ref="A1416">INDEX(Vendor_Master!$A$2:$A$401, ROUNDUP((ROW()-1)/4, 0))</f>
        <v>VND-354</v>
      </c>
      <c r="B1416" t="str">
        <f t="shared" si="154"/>
        <v>Environmental Policy</v>
      </c>
      <c r="C1416" t="str">
        <f t="shared" si="155"/>
        <v>Yes</v>
      </c>
      <c r="D1416" t="str">
        <f t="shared" si="156"/>
        <v>No</v>
      </c>
      <c r="E1416" s="1">
        <v>45882</v>
      </c>
      <c r="F1416" s="1">
        <v>45977</v>
      </c>
      <c r="G1416">
        <f t="shared" ca="1" si="157"/>
        <v>-106</v>
      </c>
      <c r="H1416" t="str">
        <f t="shared" ca="1" si="158"/>
        <v>Missing</v>
      </c>
      <c r="I1416">
        <f t="shared" ca="1" si="159"/>
        <v>1</v>
      </c>
      <c r="J1416" t="str">
        <f t="shared" si="160"/>
        <v>Environmental</v>
      </c>
    </row>
    <row r="1417" spans="1:10">
      <c r="A1417" t="str" cm="1">
        <f t="array" ref="A1417">INDEX(Vendor_Master!$A$2:$A$401, ROUNDUP((ROW()-1)/4, 0))</f>
        <v>VND-354</v>
      </c>
      <c r="B1417" t="str">
        <f t="shared" si="154"/>
        <v>Sustainability Disclosure</v>
      </c>
      <c r="C1417" t="str">
        <f t="shared" si="155"/>
        <v>Yes</v>
      </c>
      <c r="D1417" t="str">
        <f t="shared" si="156"/>
        <v>No</v>
      </c>
      <c r="E1417" s="1">
        <v>45767</v>
      </c>
      <c r="F1417" s="1">
        <v>45903</v>
      </c>
      <c r="G1417">
        <f t="shared" ca="1" si="157"/>
        <v>-180</v>
      </c>
      <c r="H1417" t="str">
        <f t="shared" ca="1" si="158"/>
        <v>Missing</v>
      </c>
      <c r="I1417">
        <f t="shared" ca="1" si="159"/>
        <v>1</v>
      </c>
      <c r="J1417" t="str">
        <f t="shared" si="160"/>
        <v>Environmental</v>
      </c>
    </row>
    <row r="1418" spans="1:10">
      <c r="A1418" t="str" cm="1">
        <f t="array" ref="A1418">INDEX(Vendor_Master!$A$2:$A$401, ROUNDUP((ROW()-1)/4, 0))</f>
        <v>VND-355</v>
      </c>
      <c r="B1418" t="str">
        <f t="shared" si="154"/>
        <v>ISO 14001</v>
      </c>
      <c r="C1418" t="str">
        <f t="shared" si="155"/>
        <v>Yes</v>
      </c>
      <c r="D1418" t="str">
        <f t="shared" si="156"/>
        <v>No</v>
      </c>
      <c r="E1418" s="1">
        <v>45910</v>
      </c>
      <c r="F1418" s="1">
        <v>45963</v>
      </c>
      <c r="G1418">
        <f t="shared" ca="1" si="157"/>
        <v>-120</v>
      </c>
      <c r="H1418" t="str">
        <f t="shared" ca="1" si="158"/>
        <v>Missing</v>
      </c>
      <c r="I1418">
        <f t="shared" ca="1" si="159"/>
        <v>1</v>
      </c>
      <c r="J1418" t="str">
        <f t="shared" si="160"/>
        <v>Environmental</v>
      </c>
    </row>
    <row r="1419" spans="1:10">
      <c r="A1419" t="str" cm="1">
        <f t="array" ref="A1419">INDEX(Vendor_Master!$A$2:$A$401, ROUNDUP((ROW()-1)/4, 0))</f>
        <v>VND-355</v>
      </c>
      <c r="B1419" t="str">
        <f t="shared" si="154"/>
        <v>Safety Certificate</v>
      </c>
      <c r="C1419" t="str">
        <f t="shared" si="155"/>
        <v>Yes</v>
      </c>
      <c r="D1419" t="str">
        <f t="shared" si="156"/>
        <v>No</v>
      </c>
      <c r="E1419" s="1">
        <v>45464</v>
      </c>
      <c r="F1419" s="1">
        <v>45910</v>
      </c>
      <c r="G1419">
        <f t="shared" ca="1" si="157"/>
        <v>-173</v>
      </c>
      <c r="H1419" t="str">
        <f t="shared" ca="1" si="158"/>
        <v>Missing</v>
      </c>
      <c r="I1419">
        <f t="shared" ca="1" si="159"/>
        <v>1</v>
      </c>
      <c r="J1419" t="str">
        <f t="shared" si="160"/>
        <v>Safety</v>
      </c>
    </row>
    <row r="1420" spans="1:10">
      <c r="A1420" t="str" cm="1">
        <f t="array" ref="A1420">INDEX(Vendor_Master!$A$2:$A$401, ROUNDUP((ROW()-1)/4, 0))</f>
        <v>VND-355</v>
      </c>
      <c r="B1420" t="str">
        <f t="shared" si="154"/>
        <v>Environmental Policy</v>
      </c>
      <c r="C1420" t="str">
        <f t="shared" si="155"/>
        <v>Yes</v>
      </c>
      <c r="D1420" t="str">
        <f t="shared" si="156"/>
        <v>No</v>
      </c>
      <c r="E1420" s="1">
        <v>45419</v>
      </c>
      <c r="F1420" s="1">
        <v>45989</v>
      </c>
      <c r="G1420">
        <f t="shared" ca="1" si="157"/>
        <v>-94</v>
      </c>
      <c r="H1420" t="str">
        <f t="shared" ca="1" si="158"/>
        <v>Missing</v>
      </c>
      <c r="I1420">
        <f t="shared" ca="1" si="159"/>
        <v>1</v>
      </c>
      <c r="J1420" t="str">
        <f t="shared" si="160"/>
        <v>Environmental</v>
      </c>
    </row>
    <row r="1421" spans="1:10">
      <c r="A1421" t="str" cm="1">
        <f t="array" ref="A1421">INDEX(Vendor_Master!$A$2:$A$401, ROUNDUP((ROW()-1)/4, 0))</f>
        <v>VND-355</v>
      </c>
      <c r="B1421" t="str">
        <f t="shared" si="154"/>
        <v>Sustainability Disclosure</v>
      </c>
      <c r="C1421" t="str">
        <f t="shared" si="155"/>
        <v>Yes</v>
      </c>
      <c r="D1421" t="str">
        <f t="shared" si="156"/>
        <v>No</v>
      </c>
      <c r="E1421" s="1">
        <v>45686</v>
      </c>
      <c r="F1421" s="1">
        <v>46052</v>
      </c>
      <c r="G1421">
        <f t="shared" ca="1" si="157"/>
        <v>-31</v>
      </c>
      <c r="H1421" t="str">
        <f t="shared" ca="1" si="158"/>
        <v>Missing</v>
      </c>
      <c r="I1421">
        <f t="shared" ca="1" si="159"/>
        <v>1</v>
      </c>
      <c r="J1421" t="str">
        <f t="shared" si="160"/>
        <v>Environmental</v>
      </c>
    </row>
    <row r="1422" spans="1:10">
      <c r="A1422" t="str" cm="1">
        <f t="array" ref="A1422">INDEX(Vendor_Master!$A$2:$A$401, ROUNDUP((ROW()-1)/4, 0))</f>
        <v>VND-356</v>
      </c>
      <c r="B1422" t="str">
        <f t="shared" si="154"/>
        <v>ISO 14001</v>
      </c>
      <c r="C1422" t="str">
        <f t="shared" si="155"/>
        <v>Yes</v>
      </c>
      <c r="D1422" t="str">
        <f t="shared" si="156"/>
        <v>No</v>
      </c>
      <c r="E1422" s="1">
        <v>46052</v>
      </c>
      <c r="F1422" s="1">
        <v>46019</v>
      </c>
      <c r="G1422">
        <f t="shared" ca="1" si="157"/>
        <v>-64</v>
      </c>
      <c r="H1422" t="str">
        <f t="shared" ca="1" si="158"/>
        <v>Missing</v>
      </c>
      <c r="I1422">
        <f t="shared" ca="1" si="159"/>
        <v>1</v>
      </c>
      <c r="J1422" t="str">
        <f t="shared" si="160"/>
        <v>Environmental</v>
      </c>
    </row>
    <row r="1423" spans="1:10">
      <c r="A1423" t="str" cm="1">
        <f t="array" ref="A1423">INDEX(Vendor_Master!$A$2:$A$401, ROUNDUP((ROW()-1)/4, 0))</f>
        <v>VND-356</v>
      </c>
      <c r="B1423" t="str">
        <f t="shared" si="154"/>
        <v>Safety Certificate</v>
      </c>
      <c r="C1423" t="str">
        <f t="shared" si="155"/>
        <v>Yes</v>
      </c>
      <c r="D1423" t="str">
        <f t="shared" si="156"/>
        <v>No</v>
      </c>
      <c r="E1423" s="1">
        <v>45839</v>
      </c>
      <c r="F1423" s="1">
        <v>46060</v>
      </c>
      <c r="G1423">
        <f t="shared" ca="1" si="157"/>
        <v>-23</v>
      </c>
      <c r="H1423" t="str">
        <f t="shared" ca="1" si="158"/>
        <v>Missing</v>
      </c>
      <c r="I1423">
        <f t="shared" ca="1" si="159"/>
        <v>1</v>
      </c>
      <c r="J1423" t="str">
        <f t="shared" si="160"/>
        <v>Safety</v>
      </c>
    </row>
    <row r="1424" spans="1:10">
      <c r="A1424" t="str" cm="1">
        <f t="array" ref="A1424">INDEX(Vendor_Master!$A$2:$A$401, ROUNDUP((ROW()-1)/4, 0))</f>
        <v>VND-356</v>
      </c>
      <c r="B1424" t="str">
        <f t="shared" si="154"/>
        <v>Environmental Policy</v>
      </c>
      <c r="C1424" t="str">
        <f t="shared" si="155"/>
        <v>Yes</v>
      </c>
      <c r="D1424" t="str">
        <f t="shared" si="156"/>
        <v>No</v>
      </c>
      <c r="E1424" s="1">
        <v>45940</v>
      </c>
      <c r="F1424" s="1">
        <v>45928</v>
      </c>
      <c r="G1424">
        <f t="shared" ca="1" si="157"/>
        <v>-155</v>
      </c>
      <c r="H1424" t="str">
        <f t="shared" ca="1" si="158"/>
        <v>Missing</v>
      </c>
      <c r="I1424">
        <f t="shared" ca="1" si="159"/>
        <v>1</v>
      </c>
      <c r="J1424" t="str">
        <f t="shared" si="160"/>
        <v>Environmental</v>
      </c>
    </row>
    <row r="1425" spans="1:10">
      <c r="A1425" t="str" cm="1">
        <f t="array" ref="A1425">INDEX(Vendor_Master!$A$2:$A$401, ROUNDUP((ROW()-1)/4, 0))</f>
        <v>VND-356</v>
      </c>
      <c r="B1425" t="str">
        <f t="shared" si="154"/>
        <v>Sustainability Disclosure</v>
      </c>
      <c r="C1425" t="str">
        <f t="shared" si="155"/>
        <v>Yes</v>
      </c>
      <c r="D1425" t="str">
        <f t="shared" si="156"/>
        <v>No</v>
      </c>
      <c r="E1425" s="1">
        <v>45604</v>
      </c>
      <c r="F1425" s="1">
        <v>45992</v>
      </c>
      <c r="G1425">
        <f t="shared" ca="1" si="157"/>
        <v>-91</v>
      </c>
      <c r="H1425" t="str">
        <f t="shared" ca="1" si="158"/>
        <v>Missing</v>
      </c>
      <c r="I1425">
        <f t="shared" ca="1" si="159"/>
        <v>1</v>
      </c>
      <c r="J1425" t="str">
        <f t="shared" si="160"/>
        <v>Environmental</v>
      </c>
    </row>
    <row r="1426" spans="1:10">
      <c r="A1426" t="str" cm="1">
        <f t="array" ref="A1426">INDEX(Vendor_Master!$A$2:$A$401, ROUNDUP((ROW()-1)/4, 0))</f>
        <v>VND-357</v>
      </c>
      <c r="B1426" t="str">
        <f t="shared" si="154"/>
        <v>ISO 14001</v>
      </c>
      <c r="C1426" t="str">
        <f t="shared" si="155"/>
        <v>Yes</v>
      </c>
      <c r="D1426" t="str">
        <f t="shared" si="156"/>
        <v>No</v>
      </c>
      <c r="E1426" s="1">
        <v>45947</v>
      </c>
      <c r="F1426" s="1">
        <v>45942</v>
      </c>
      <c r="G1426">
        <f t="shared" ca="1" si="157"/>
        <v>-141</v>
      </c>
      <c r="H1426" t="str">
        <f t="shared" ca="1" si="158"/>
        <v>Missing</v>
      </c>
      <c r="I1426">
        <f t="shared" ca="1" si="159"/>
        <v>1</v>
      </c>
      <c r="J1426" t="str">
        <f t="shared" si="160"/>
        <v>Environmental</v>
      </c>
    </row>
    <row r="1427" spans="1:10">
      <c r="A1427" t="str" cm="1">
        <f t="array" ref="A1427">INDEX(Vendor_Master!$A$2:$A$401, ROUNDUP((ROW()-1)/4, 0))</f>
        <v>VND-357</v>
      </c>
      <c r="B1427" t="str">
        <f t="shared" si="154"/>
        <v>Safety Certificate</v>
      </c>
      <c r="C1427" t="str">
        <f t="shared" si="155"/>
        <v>Yes</v>
      </c>
      <c r="D1427" t="str">
        <f t="shared" si="156"/>
        <v>No</v>
      </c>
      <c r="E1427" s="1">
        <v>45835</v>
      </c>
      <c r="F1427" s="1">
        <v>45987</v>
      </c>
      <c r="G1427">
        <f t="shared" ca="1" si="157"/>
        <v>-96</v>
      </c>
      <c r="H1427" t="str">
        <f t="shared" ca="1" si="158"/>
        <v>Missing</v>
      </c>
      <c r="I1427">
        <f t="shared" ca="1" si="159"/>
        <v>1</v>
      </c>
      <c r="J1427" t="str">
        <f t="shared" si="160"/>
        <v>Safety</v>
      </c>
    </row>
    <row r="1428" spans="1:10">
      <c r="A1428" t="str" cm="1">
        <f t="array" ref="A1428">INDEX(Vendor_Master!$A$2:$A$401, ROUNDUP((ROW()-1)/4, 0))</f>
        <v>VND-357</v>
      </c>
      <c r="B1428" t="str">
        <f t="shared" si="154"/>
        <v>Environmental Policy</v>
      </c>
      <c r="C1428" t="str">
        <f t="shared" si="155"/>
        <v>Yes</v>
      </c>
      <c r="D1428" t="str">
        <f t="shared" si="156"/>
        <v>No</v>
      </c>
      <c r="E1428" s="1">
        <v>45521</v>
      </c>
      <c r="F1428" s="1">
        <v>45948</v>
      </c>
      <c r="G1428">
        <f t="shared" ca="1" si="157"/>
        <v>-135</v>
      </c>
      <c r="H1428" t="str">
        <f t="shared" ca="1" si="158"/>
        <v>Missing</v>
      </c>
      <c r="I1428">
        <f t="shared" ca="1" si="159"/>
        <v>1</v>
      </c>
      <c r="J1428" t="str">
        <f t="shared" si="160"/>
        <v>Environmental</v>
      </c>
    </row>
    <row r="1429" spans="1:10">
      <c r="A1429" t="str" cm="1">
        <f t="array" ref="A1429">INDEX(Vendor_Master!$A$2:$A$401, ROUNDUP((ROW()-1)/4, 0))</f>
        <v>VND-357</v>
      </c>
      <c r="B1429" t="str">
        <f t="shared" si="154"/>
        <v>Sustainability Disclosure</v>
      </c>
      <c r="C1429" t="str">
        <f t="shared" si="155"/>
        <v>Yes</v>
      </c>
      <c r="D1429" t="str">
        <f t="shared" si="156"/>
        <v>No</v>
      </c>
      <c r="E1429" s="1">
        <v>45388</v>
      </c>
      <c r="F1429" s="1">
        <v>45926</v>
      </c>
      <c r="G1429">
        <f t="shared" ca="1" si="157"/>
        <v>-157</v>
      </c>
      <c r="H1429" t="str">
        <f t="shared" ca="1" si="158"/>
        <v>Missing</v>
      </c>
      <c r="I1429">
        <f t="shared" ca="1" si="159"/>
        <v>1</v>
      </c>
      <c r="J1429" t="str">
        <f t="shared" si="160"/>
        <v>Environmental</v>
      </c>
    </row>
    <row r="1430" spans="1:10">
      <c r="A1430" t="str" cm="1">
        <f t="array" ref="A1430">INDEX(Vendor_Master!$A$2:$A$401, ROUNDUP((ROW()-1)/4, 0))</f>
        <v>VND-358</v>
      </c>
      <c r="B1430" t="str">
        <f t="shared" si="154"/>
        <v>ISO 14001</v>
      </c>
      <c r="C1430" t="str">
        <f t="shared" si="155"/>
        <v>Yes</v>
      </c>
      <c r="D1430" t="str">
        <f t="shared" si="156"/>
        <v>No</v>
      </c>
      <c r="E1430" s="1">
        <v>45381</v>
      </c>
      <c r="F1430" s="1">
        <v>45914</v>
      </c>
      <c r="G1430">
        <f t="shared" ca="1" si="157"/>
        <v>-169</v>
      </c>
      <c r="H1430" t="str">
        <f t="shared" ca="1" si="158"/>
        <v>Missing</v>
      </c>
      <c r="I1430">
        <f t="shared" ca="1" si="159"/>
        <v>1</v>
      </c>
      <c r="J1430" t="str">
        <f t="shared" si="160"/>
        <v>Environmental</v>
      </c>
    </row>
    <row r="1431" spans="1:10">
      <c r="A1431" t="str" cm="1">
        <f t="array" ref="A1431">INDEX(Vendor_Master!$A$2:$A$401, ROUNDUP((ROW()-1)/4, 0))</f>
        <v>VND-358</v>
      </c>
      <c r="B1431" t="str">
        <f t="shared" si="154"/>
        <v>Safety Certificate</v>
      </c>
      <c r="C1431" t="str">
        <f t="shared" si="155"/>
        <v>Yes</v>
      </c>
      <c r="D1431" t="str">
        <f t="shared" si="156"/>
        <v>No</v>
      </c>
      <c r="E1431" s="1">
        <v>45391</v>
      </c>
      <c r="F1431" s="1">
        <v>45909</v>
      </c>
      <c r="G1431">
        <f t="shared" ca="1" si="157"/>
        <v>-174</v>
      </c>
      <c r="H1431" t="str">
        <f t="shared" ca="1" si="158"/>
        <v>Missing</v>
      </c>
      <c r="I1431">
        <f t="shared" ca="1" si="159"/>
        <v>1</v>
      </c>
      <c r="J1431" t="str">
        <f t="shared" si="160"/>
        <v>Safety</v>
      </c>
    </row>
    <row r="1432" spans="1:10">
      <c r="A1432" t="str" cm="1">
        <f t="array" ref="A1432">INDEX(Vendor_Master!$A$2:$A$401, ROUNDUP((ROW()-1)/4, 0))</f>
        <v>VND-358</v>
      </c>
      <c r="B1432" t="str">
        <f t="shared" si="154"/>
        <v>Environmental Policy</v>
      </c>
      <c r="C1432" t="str">
        <f t="shared" si="155"/>
        <v>Yes</v>
      </c>
      <c r="D1432" t="str">
        <f t="shared" si="156"/>
        <v>No</v>
      </c>
      <c r="E1432" s="1">
        <v>45798</v>
      </c>
      <c r="F1432" s="1">
        <v>46003</v>
      </c>
      <c r="G1432">
        <f t="shared" ca="1" si="157"/>
        <v>-80</v>
      </c>
      <c r="H1432" t="str">
        <f t="shared" ca="1" si="158"/>
        <v>Missing</v>
      </c>
      <c r="I1432">
        <f t="shared" ca="1" si="159"/>
        <v>1</v>
      </c>
      <c r="J1432" t="str">
        <f t="shared" si="160"/>
        <v>Environmental</v>
      </c>
    </row>
    <row r="1433" spans="1:10">
      <c r="A1433" t="str" cm="1">
        <f t="array" ref="A1433">INDEX(Vendor_Master!$A$2:$A$401, ROUNDUP((ROW()-1)/4, 0))</f>
        <v>VND-358</v>
      </c>
      <c r="B1433" t="str">
        <f t="shared" si="154"/>
        <v>Sustainability Disclosure</v>
      </c>
      <c r="C1433" t="str">
        <f t="shared" si="155"/>
        <v>Yes</v>
      </c>
      <c r="D1433" t="str">
        <f t="shared" si="156"/>
        <v>No</v>
      </c>
      <c r="E1433" s="1">
        <v>45588</v>
      </c>
      <c r="F1433" s="1">
        <v>46000</v>
      </c>
      <c r="G1433">
        <f t="shared" ca="1" si="157"/>
        <v>-83</v>
      </c>
      <c r="H1433" t="str">
        <f t="shared" ca="1" si="158"/>
        <v>Missing</v>
      </c>
      <c r="I1433">
        <f t="shared" ca="1" si="159"/>
        <v>1</v>
      </c>
      <c r="J1433" t="str">
        <f t="shared" si="160"/>
        <v>Environmental</v>
      </c>
    </row>
    <row r="1434" spans="1:10">
      <c r="A1434" t="str" cm="1">
        <f t="array" ref="A1434">INDEX(Vendor_Master!$A$2:$A$401, ROUNDUP((ROW()-1)/4, 0))</f>
        <v>VND-359</v>
      </c>
      <c r="B1434" t="str">
        <f t="shared" si="154"/>
        <v>ISO 14001</v>
      </c>
      <c r="C1434" t="str">
        <f t="shared" si="155"/>
        <v>Yes</v>
      </c>
      <c r="D1434" t="str">
        <f t="shared" si="156"/>
        <v>No</v>
      </c>
      <c r="E1434" s="1">
        <v>45483</v>
      </c>
      <c r="F1434" s="1">
        <v>46035</v>
      </c>
      <c r="G1434">
        <f t="shared" ca="1" si="157"/>
        <v>-48</v>
      </c>
      <c r="H1434" t="str">
        <f t="shared" ca="1" si="158"/>
        <v>Missing</v>
      </c>
      <c r="I1434">
        <f t="shared" ca="1" si="159"/>
        <v>1</v>
      </c>
      <c r="J1434" t="str">
        <f t="shared" si="160"/>
        <v>Environmental</v>
      </c>
    </row>
    <row r="1435" spans="1:10">
      <c r="A1435" t="str" cm="1">
        <f t="array" ref="A1435">INDEX(Vendor_Master!$A$2:$A$401, ROUNDUP((ROW()-1)/4, 0))</f>
        <v>VND-359</v>
      </c>
      <c r="B1435" t="str">
        <f t="shared" si="154"/>
        <v>Safety Certificate</v>
      </c>
      <c r="C1435" t="str">
        <f t="shared" si="155"/>
        <v>Yes</v>
      </c>
      <c r="D1435" t="str">
        <f t="shared" si="156"/>
        <v>No</v>
      </c>
      <c r="E1435" s="1">
        <v>46003</v>
      </c>
      <c r="F1435" s="1">
        <v>45999</v>
      </c>
      <c r="G1435">
        <f t="shared" ca="1" si="157"/>
        <v>-84</v>
      </c>
      <c r="H1435" t="str">
        <f t="shared" ca="1" si="158"/>
        <v>Missing</v>
      </c>
      <c r="I1435">
        <f t="shared" ca="1" si="159"/>
        <v>1</v>
      </c>
      <c r="J1435" t="str">
        <f t="shared" si="160"/>
        <v>Safety</v>
      </c>
    </row>
    <row r="1436" spans="1:10">
      <c r="A1436" t="str" cm="1">
        <f t="array" ref="A1436">INDEX(Vendor_Master!$A$2:$A$401, ROUNDUP((ROW()-1)/4, 0))</f>
        <v>VND-359</v>
      </c>
      <c r="B1436" t="str">
        <f t="shared" si="154"/>
        <v>Environmental Policy</v>
      </c>
      <c r="C1436" t="str">
        <f t="shared" si="155"/>
        <v>Yes</v>
      </c>
      <c r="D1436" t="str">
        <f t="shared" si="156"/>
        <v>No</v>
      </c>
      <c r="E1436" s="1">
        <v>45600</v>
      </c>
      <c r="F1436" s="1">
        <v>45974</v>
      </c>
      <c r="G1436">
        <f t="shared" ca="1" si="157"/>
        <v>-109</v>
      </c>
      <c r="H1436" t="str">
        <f t="shared" ca="1" si="158"/>
        <v>Missing</v>
      </c>
      <c r="I1436">
        <f t="shared" ca="1" si="159"/>
        <v>1</v>
      </c>
      <c r="J1436" t="str">
        <f t="shared" si="160"/>
        <v>Environmental</v>
      </c>
    </row>
    <row r="1437" spans="1:10">
      <c r="A1437" t="str" cm="1">
        <f t="array" ref="A1437">INDEX(Vendor_Master!$A$2:$A$401, ROUNDUP((ROW()-1)/4, 0))</f>
        <v>VND-359</v>
      </c>
      <c r="B1437" t="str">
        <f t="shared" si="154"/>
        <v>Sustainability Disclosure</v>
      </c>
      <c r="C1437" t="str">
        <f t="shared" si="155"/>
        <v>Yes</v>
      </c>
      <c r="D1437" t="str">
        <f t="shared" si="156"/>
        <v>No</v>
      </c>
      <c r="E1437" s="1">
        <v>46052</v>
      </c>
      <c r="F1437" s="1">
        <v>45995</v>
      </c>
      <c r="G1437">
        <f t="shared" ca="1" si="157"/>
        <v>-88</v>
      </c>
      <c r="H1437" t="str">
        <f t="shared" ca="1" si="158"/>
        <v>Missing</v>
      </c>
      <c r="I1437">
        <f t="shared" ca="1" si="159"/>
        <v>1</v>
      </c>
      <c r="J1437" t="str">
        <f t="shared" si="160"/>
        <v>Environmental</v>
      </c>
    </row>
    <row r="1438" spans="1:10">
      <c r="A1438" t="str" cm="1">
        <f t="array" ref="A1438">INDEX(Vendor_Master!$A$2:$A$401, ROUNDUP((ROW()-1)/4, 0))</f>
        <v>VND-360</v>
      </c>
      <c r="B1438" t="str">
        <f t="shared" si="154"/>
        <v>ISO 14001</v>
      </c>
      <c r="C1438" t="str">
        <f t="shared" si="155"/>
        <v>Yes</v>
      </c>
      <c r="D1438" t="str">
        <f t="shared" si="156"/>
        <v>No</v>
      </c>
      <c r="E1438" s="1">
        <v>45901</v>
      </c>
      <c r="F1438" s="1">
        <v>46050</v>
      </c>
      <c r="G1438">
        <f t="shared" ca="1" si="157"/>
        <v>-33</v>
      </c>
      <c r="H1438" t="str">
        <f t="shared" ca="1" si="158"/>
        <v>Missing</v>
      </c>
      <c r="I1438">
        <f t="shared" ca="1" si="159"/>
        <v>1</v>
      </c>
      <c r="J1438" t="str">
        <f t="shared" si="160"/>
        <v>Environmental</v>
      </c>
    </row>
    <row r="1439" spans="1:10">
      <c r="A1439" t="str" cm="1">
        <f t="array" ref="A1439">INDEX(Vendor_Master!$A$2:$A$401, ROUNDUP((ROW()-1)/4, 0))</f>
        <v>VND-360</v>
      </c>
      <c r="B1439" t="str">
        <f t="shared" si="154"/>
        <v>Safety Certificate</v>
      </c>
      <c r="C1439" t="str">
        <f t="shared" si="155"/>
        <v>Yes</v>
      </c>
      <c r="D1439" t="str">
        <f t="shared" si="156"/>
        <v>No</v>
      </c>
      <c r="E1439" s="1">
        <v>45571</v>
      </c>
      <c r="F1439" s="1">
        <v>46029</v>
      </c>
      <c r="G1439">
        <f t="shared" ca="1" si="157"/>
        <v>-54</v>
      </c>
      <c r="H1439" t="str">
        <f t="shared" ca="1" si="158"/>
        <v>Missing</v>
      </c>
      <c r="I1439">
        <f t="shared" ca="1" si="159"/>
        <v>1</v>
      </c>
      <c r="J1439" t="str">
        <f t="shared" si="160"/>
        <v>Safety</v>
      </c>
    </row>
    <row r="1440" spans="1:10">
      <c r="A1440" t="str" cm="1">
        <f t="array" ref="A1440">INDEX(Vendor_Master!$A$2:$A$401, ROUNDUP((ROW()-1)/4, 0))</f>
        <v>VND-360</v>
      </c>
      <c r="B1440" t="str">
        <f t="shared" si="154"/>
        <v>Environmental Policy</v>
      </c>
      <c r="C1440" t="str">
        <f t="shared" si="155"/>
        <v>Yes</v>
      </c>
      <c r="D1440" t="str">
        <f t="shared" si="156"/>
        <v>No</v>
      </c>
      <c r="E1440" s="1">
        <v>45925</v>
      </c>
      <c r="F1440" s="1">
        <v>45935</v>
      </c>
      <c r="G1440">
        <f t="shared" ca="1" si="157"/>
        <v>-148</v>
      </c>
      <c r="H1440" t="str">
        <f t="shared" ca="1" si="158"/>
        <v>Missing</v>
      </c>
      <c r="I1440">
        <f t="shared" ca="1" si="159"/>
        <v>1</v>
      </c>
      <c r="J1440" t="str">
        <f t="shared" si="160"/>
        <v>Environmental</v>
      </c>
    </row>
    <row r="1441" spans="1:10">
      <c r="A1441" t="str" cm="1">
        <f t="array" ref="A1441">INDEX(Vendor_Master!$A$2:$A$401, ROUNDUP((ROW()-1)/4, 0))</f>
        <v>VND-360</v>
      </c>
      <c r="B1441" t="str">
        <f t="shared" si="154"/>
        <v>Sustainability Disclosure</v>
      </c>
      <c r="C1441" t="str">
        <f t="shared" si="155"/>
        <v>Yes</v>
      </c>
      <c r="D1441" t="str">
        <f t="shared" si="156"/>
        <v>No</v>
      </c>
      <c r="E1441" s="1">
        <v>46008</v>
      </c>
      <c r="F1441" s="1">
        <v>45938</v>
      </c>
      <c r="G1441">
        <f t="shared" ca="1" si="157"/>
        <v>-145</v>
      </c>
      <c r="H1441" t="str">
        <f t="shared" ca="1" si="158"/>
        <v>Missing</v>
      </c>
      <c r="I1441">
        <f t="shared" ca="1" si="159"/>
        <v>1</v>
      </c>
      <c r="J1441" t="str">
        <f t="shared" si="160"/>
        <v>Environmental</v>
      </c>
    </row>
    <row r="1442" spans="1:10">
      <c r="A1442" t="str" cm="1">
        <f t="array" ref="A1442">INDEX(Vendor_Master!$A$2:$A$401, ROUNDUP((ROW()-1)/4, 0))</f>
        <v>VND-361</v>
      </c>
      <c r="B1442" t="str">
        <f t="shared" si="154"/>
        <v>ISO 14001</v>
      </c>
      <c r="C1442" t="str">
        <f t="shared" si="155"/>
        <v>Yes</v>
      </c>
      <c r="D1442" t="str">
        <f t="shared" si="156"/>
        <v>No</v>
      </c>
      <c r="E1442" s="1">
        <v>45538</v>
      </c>
      <c r="F1442" s="1">
        <v>46032</v>
      </c>
      <c r="G1442">
        <f t="shared" ca="1" si="157"/>
        <v>-51</v>
      </c>
      <c r="H1442" t="str">
        <f t="shared" ca="1" si="158"/>
        <v>Missing</v>
      </c>
      <c r="I1442">
        <f t="shared" ca="1" si="159"/>
        <v>1</v>
      </c>
      <c r="J1442" t="str">
        <f t="shared" si="160"/>
        <v>Environmental</v>
      </c>
    </row>
    <row r="1443" spans="1:10">
      <c r="A1443" t="str" cm="1">
        <f t="array" ref="A1443">INDEX(Vendor_Master!$A$2:$A$401, ROUNDUP((ROW()-1)/4, 0))</f>
        <v>VND-361</v>
      </c>
      <c r="B1443" t="str">
        <f t="shared" si="154"/>
        <v>Safety Certificate</v>
      </c>
      <c r="C1443" t="str">
        <f t="shared" si="155"/>
        <v>Yes</v>
      </c>
      <c r="D1443" t="str">
        <f t="shared" si="156"/>
        <v>No</v>
      </c>
      <c r="E1443" s="1">
        <v>45874</v>
      </c>
      <c r="F1443" s="1">
        <v>45980</v>
      </c>
      <c r="G1443">
        <f t="shared" ca="1" si="157"/>
        <v>-103</v>
      </c>
      <c r="H1443" t="str">
        <f t="shared" ca="1" si="158"/>
        <v>Missing</v>
      </c>
      <c r="I1443">
        <f t="shared" ca="1" si="159"/>
        <v>1</v>
      </c>
      <c r="J1443" t="str">
        <f t="shared" si="160"/>
        <v>Safety</v>
      </c>
    </row>
    <row r="1444" spans="1:10">
      <c r="A1444" t="str" cm="1">
        <f t="array" ref="A1444">INDEX(Vendor_Master!$A$2:$A$401, ROUNDUP((ROW()-1)/4, 0))</f>
        <v>VND-361</v>
      </c>
      <c r="B1444" t="str">
        <f t="shared" si="154"/>
        <v>Environmental Policy</v>
      </c>
      <c r="C1444" t="str">
        <f t="shared" si="155"/>
        <v>Yes</v>
      </c>
      <c r="D1444" t="str">
        <f t="shared" si="156"/>
        <v>No</v>
      </c>
      <c r="E1444" s="1">
        <v>45863</v>
      </c>
      <c r="F1444" s="1">
        <v>46038</v>
      </c>
      <c r="G1444">
        <f t="shared" ca="1" si="157"/>
        <v>-45</v>
      </c>
      <c r="H1444" t="str">
        <f t="shared" ca="1" si="158"/>
        <v>Missing</v>
      </c>
      <c r="I1444">
        <f t="shared" ca="1" si="159"/>
        <v>1</v>
      </c>
      <c r="J1444" t="str">
        <f t="shared" si="160"/>
        <v>Environmental</v>
      </c>
    </row>
    <row r="1445" spans="1:10">
      <c r="A1445" t="str" cm="1">
        <f t="array" ref="A1445">INDEX(Vendor_Master!$A$2:$A$401, ROUNDUP((ROW()-1)/4, 0))</f>
        <v>VND-361</v>
      </c>
      <c r="B1445" t="str">
        <f t="shared" si="154"/>
        <v>Sustainability Disclosure</v>
      </c>
      <c r="C1445" t="str">
        <f t="shared" si="155"/>
        <v>Yes</v>
      </c>
      <c r="D1445" t="str">
        <f t="shared" si="156"/>
        <v>No</v>
      </c>
      <c r="E1445" s="1">
        <v>45971</v>
      </c>
      <c r="F1445" s="1">
        <v>46004</v>
      </c>
      <c r="G1445">
        <f t="shared" ca="1" si="157"/>
        <v>-79</v>
      </c>
      <c r="H1445" t="str">
        <f t="shared" ca="1" si="158"/>
        <v>Missing</v>
      </c>
      <c r="I1445">
        <f t="shared" ca="1" si="159"/>
        <v>1</v>
      </c>
      <c r="J1445" t="str">
        <f t="shared" si="160"/>
        <v>Environmental</v>
      </c>
    </row>
    <row r="1446" spans="1:10">
      <c r="A1446" t="str" cm="1">
        <f t="array" ref="A1446">INDEX(Vendor_Master!$A$2:$A$401, ROUNDUP((ROW()-1)/4, 0))</f>
        <v>VND-362</v>
      </c>
      <c r="B1446" t="str">
        <f t="shared" si="154"/>
        <v>ISO 14001</v>
      </c>
      <c r="C1446" t="str">
        <f t="shared" si="155"/>
        <v>Yes</v>
      </c>
      <c r="D1446" t="str">
        <f t="shared" si="156"/>
        <v>No</v>
      </c>
      <c r="E1446" s="1">
        <v>45916</v>
      </c>
      <c r="F1446" s="1">
        <v>45914</v>
      </c>
      <c r="G1446">
        <f t="shared" ca="1" si="157"/>
        <v>-169</v>
      </c>
      <c r="H1446" t="str">
        <f t="shared" ca="1" si="158"/>
        <v>Missing</v>
      </c>
      <c r="I1446">
        <f t="shared" ca="1" si="159"/>
        <v>1</v>
      </c>
      <c r="J1446" t="str">
        <f t="shared" si="160"/>
        <v>Environmental</v>
      </c>
    </row>
    <row r="1447" spans="1:10">
      <c r="A1447" t="str" cm="1">
        <f t="array" ref="A1447">INDEX(Vendor_Master!$A$2:$A$401, ROUNDUP((ROW()-1)/4, 0))</f>
        <v>VND-362</v>
      </c>
      <c r="B1447" t="str">
        <f t="shared" si="154"/>
        <v>Safety Certificate</v>
      </c>
      <c r="C1447" t="str">
        <f t="shared" si="155"/>
        <v>Yes</v>
      </c>
      <c r="D1447" t="str">
        <f t="shared" si="156"/>
        <v>No</v>
      </c>
      <c r="E1447" s="1">
        <v>45963</v>
      </c>
      <c r="F1447" s="1">
        <v>45925</v>
      </c>
      <c r="G1447">
        <f t="shared" ca="1" si="157"/>
        <v>-158</v>
      </c>
      <c r="H1447" t="str">
        <f t="shared" ca="1" si="158"/>
        <v>Missing</v>
      </c>
      <c r="I1447">
        <f t="shared" ca="1" si="159"/>
        <v>1</v>
      </c>
      <c r="J1447" t="str">
        <f t="shared" si="160"/>
        <v>Safety</v>
      </c>
    </row>
    <row r="1448" spans="1:10">
      <c r="A1448" t="str" cm="1">
        <f t="array" ref="A1448">INDEX(Vendor_Master!$A$2:$A$401, ROUNDUP((ROW()-1)/4, 0))</f>
        <v>VND-362</v>
      </c>
      <c r="B1448" t="str">
        <f t="shared" si="154"/>
        <v>Environmental Policy</v>
      </c>
      <c r="C1448" t="str">
        <f t="shared" si="155"/>
        <v>Yes</v>
      </c>
      <c r="D1448" t="str">
        <f t="shared" si="156"/>
        <v>No</v>
      </c>
      <c r="E1448" s="1">
        <v>45911</v>
      </c>
      <c r="F1448" s="1">
        <v>46048</v>
      </c>
      <c r="G1448">
        <f t="shared" ca="1" si="157"/>
        <v>-35</v>
      </c>
      <c r="H1448" t="str">
        <f t="shared" ca="1" si="158"/>
        <v>Missing</v>
      </c>
      <c r="I1448">
        <f t="shared" ca="1" si="159"/>
        <v>1</v>
      </c>
      <c r="J1448" t="str">
        <f t="shared" si="160"/>
        <v>Environmental</v>
      </c>
    </row>
    <row r="1449" spans="1:10">
      <c r="A1449" t="str" cm="1">
        <f t="array" ref="A1449">INDEX(Vendor_Master!$A$2:$A$401, ROUNDUP((ROW()-1)/4, 0))</f>
        <v>VND-362</v>
      </c>
      <c r="B1449" t="str">
        <f t="shared" si="154"/>
        <v>Sustainability Disclosure</v>
      </c>
      <c r="C1449" t="str">
        <f t="shared" si="155"/>
        <v>Yes</v>
      </c>
      <c r="D1449" t="str">
        <f t="shared" si="156"/>
        <v>No</v>
      </c>
      <c r="E1449" s="1">
        <v>45866</v>
      </c>
      <c r="F1449" s="1">
        <v>46017</v>
      </c>
      <c r="G1449">
        <f t="shared" ca="1" si="157"/>
        <v>-66</v>
      </c>
      <c r="H1449" t="str">
        <f t="shared" ca="1" si="158"/>
        <v>Missing</v>
      </c>
      <c r="I1449">
        <f t="shared" ca="1" si="159"/>
        <v>1</v>
      </c>
      <c r="J1449" t="str">
        <f t="shared" si="160"/>
        <v>Environmental</v>
      </c>
    </row>
    <row r="1450" spans="1:10">
      <c r="A1450" t="str" cm="1">
        <f t="array" ref="A1450">INDEX(Vendor_Master!$A$2:$A$401, ROUNDUP((ROW()-1)/4, 0))</f>
        <v>VND-363</v>
      </c>
      <c r="B1450" t="str">
        <f t="shared" si="154"/>
        <v>ISO 14001</v>
      </c>
      <c r="C1450" t="str">
        <f t="shared" si="155"/>
        <v>Yes</v>
      </c>
      <c r="D1450" t="str">
        <f t="shared" si="156"/>
        <v>No</v>
      </c>
      <c r="E1450" s="1">
        <v>45807</v>
      </c>
      <c r="F1450" s="1">
        <v>46080</v>
      </c>
      <c r="G1450">
        <f t="shared" ca="1" si="157"/>
        <v>-3</v>
      </c>
      <c r="H1450" t="str">
        <f t="shared" ca="1" si="158"/>
        <v>Missing</v>
      </c>
      <c r="I1450">
        <f t="shared" ca="1" si="159"/>
        <v>1</v>
      </c>
      <c r="J1450" t="str">
        <f t="shared" si="160"/>
        <v>Environmental</v>
      </c>
    </row>
    <row r="1451" spans="1:10">
      <c r="A1451" t="str" cm="1">
        <f t="array" ref="A1451">INDEX(Vendor_Master!$A$2:$A$401, ROUNDUP((ROW()-1)/4, 0))</f>
        <v>VND-363</v>
      </c>
      <c r="B1451" t="str">
        <f t="shared" si="154"/>
        <v>Safety Certificate</v>
      </c>
      <c r="C1451" t="str">
        <f t="shared" si="155"/>
        <v>Yes</v>
      </c>
      <c r="D1451" t="str">
        <f t="shared" si="156"/>
        <v>No</v>
      </c>
      <c r="E1451" s="1">
        <v>45978</v>
      </c>
      <c r="F1451" s="1">
        <v>45939</v>
      </c>
      <c r="G1451">
        <f t="shared" ca="1" si="157"/>
        <v>-144</v>
      </c>
      <c r="H1451" t="str">
        <f t="shared" ca="1" si="158"/>
        <v>Missing</v>
      </c>
      <c r="I1451">
        <f t="shared" ca="1" si="159"/>
        <v>1</v>
      </c>
      <c r="J1451" t="str">
        <f t="shared" si="160"/>
        <v>Safety</v>
      </c>
    </row>
    <row r="1452" spans="1:10">
      <c r="A1452" t="str" cm="1">
        <f t="array" ref="A1452">INDEX(Vendor_Master!$A$2:$A$401, ROUNDUP((ROW()-1)/4, 0))</f>
        <v>VND-363</v>
      </c>
      <c r="B1452" t="str">
        <f t="shared" si="154"/>
        <v>Environmental Policy</v>
      </c>
      <c r="C1452" t="str">
        <f t="shared" si="155"/>
        <v>Yes</v>
      </c>
      <c r="D1452" t="str">
        <f t="shared" si="156"/>
        <v>No</v>
      </c>
      <c r="E1452" s="1">
        <v>45904</v>
      </c>
      <c r="F1452" s="1">
        <v>46062</v>
      </c>
      <c r="G1452">
        <f t="shared" ca="1" si="157"/>
        <v>-21</v>
      </c>
      <c r="H1452" t="str">
        <f t="shared" ca="1" si="158"/>
        <v>Missing</v>
      </c>
      <c r="I1452">
        <f t="shared" ca="1" si="159"/>
        <v>1</v>
      </c>
      <c r="J1452" t="str">
        <f t="shared" si="160"/>
        <v>Environmental</v>
      </c>
    </row>
    <row r="1453" spans="1:10">
      <c r="A1453" t="str" cm="1">
        <f t="array" ref="A1453">INDEX(Vendor_Master!$A$2:$A$401, ROUNDUP((ROW()-1)/4, 0))</f>
        <v>VND-363</v>
      </c>
      <c r="B1453" t="str">
        <f t="shared" si="154"/>
        <v>Sustainability Disclosure</v>
      </c>
      <c r="C1453" t="str">
        <f t="shared" si="155"/>
        <v>Yes</v>
      </c>
      <c r="D1453" t="str">
        <f t="shared" si="156"/>
        <v>No</v>
      </c>
      <c r="E1453" s="1">
        <v>45813</v>
      </c>
      <c r="F1453" s="1">
        <v>45958</v>
      </c>
      <c r="G1453">
        <f t="shared" ca="1" si="157"/>
        <v>-125</v>
      </c>
      <c r="H1453" t="str">
        <f t="shared" ca="1" si="158"/>
        <v>Missing</v>
      </c>
      <c r="I1453">
        <f t="shared" ca="1" si="159"/>
        <v>1</v>
      </c>
      <c r="J1453" t="str">
        <f t="shared" si="160"/>
        <v>Environmental</v>
      </c>
    </row>
    <row r="1454" spans="1:10">
      <c r="A1454" t="str" cm="1">
        <f t="array" ref="A1454">INDEX(Vendor_Master!$A$2:$A$401, ROUNDUP((ROW()-1)/4, 0))</f>
        <v>VND-364</v>
      </c>
      <c r="B1454" t="str">
        <f t="shared" si="154"/>
        <v>ISO 14001</v>
      </c>
      <c r="C1454" t="str">
        <f t="shared" si="155"/>
        <v>Yes</v>
      </c>
      <c r="D1454" t="str">
        <f t="shared" si="156"/>
        <v>No</v>
      </c>
      <c r="E1454" s="1">
        <v>45512</v>
      </c>
      <c r="F1454" s="1">
        <v>46015</v>
      </c>
      <c r="G1454">
        <f t="shared" ca="1" si="157"/>
        <v>-68</v>
      </c>
      <c r="H1454" t="str">
        <f t="shared" ca="1" si="158"/>
        <v>Missing</v>
      </c>
      <c r="I1454">
        <f t="shared" ca="1" si="159"/>
        <v>1</v>
      </c>
      <c r="J1454" t="str">
        <f t="shared" si="160"/>
        <v>Environmental</v>
      </c>
    </row>
    <row r="1455" spans="1:10">
      <c r="A1455" t="str" cm="1">
        <f t="array" ref="A1455">INDEX(Vendor_Master!$A$2:$A$401, ROUNDUP((ROW()-1)/4, 0))</f>
        <v>VND-364</v>
      </c>
      <c r="B1455" t="str">
        <f t="shared" si="154"/>
        <v>Safety Certificate</v>
      </c>
      <c r="C1455" t="str">
        <f t="shared" si="155"/>
        <v>Yes</v>
      </c>
      <c r="D1455" t="str">
        <f t="shared" si="156"/>
        <v>No</v>
      </c>
      <c r="E1455" s="1">
        <v>45734</v>
      </c>
      <c r="F1455" s="1">
        <v>46077</v>
      </c>
      <c r="G1455">
        <f t="shared" ca="1" si="157"/>
        <v>-6</v>
      </c>
      <c r="H1455" t="str">
        <f t="shared" ca="1" si="158"/>
        <v>Missing</v>
      </c>
      <c r="I1455">
        <f t="shared" ca="1" si="159"/>
        <v>1</v>
      </c>
      <c r="J1455" t="str">
        <f t="shared" si="160"/>
        <v>Safety</v>
      </c>
    </row>
    <row r="1456" spans="1:10">
      <c r="A1456" t="str" cm="1">
        <f t="array" ref="A1456">INDEX(Vendor_Master!$A$2:$A$401, ROUNDUP((ROW()-1)/4, 0))</f>
        <v>VND-364</v>
      </c>
      <c r="B1456" t="str">
        <f t="shared" si="154"/>
        <v>Environmental Policy</v>
      </c>
      <c r="C1456" t="str">
        <f t="shared" si="155"/>
        <v>Yes</v>
      </c>
      <c r="D1456" t="str">
        <f t="shared" si="156"/>
        <v>No</v>
      </c>
      <c r="E1456" s="1">
        <v>46008</v>
      </c>
      <c r="F1456" s="1">
        <v>45955</v>
      </c>
      <c r="G1456">
        <f t="shared" ca="1" si="157"/>
        <v>-128</v>
      </c>
      <c r="H1456" t="str">
        <f t="shared" ca="1" si="158"/>
        <v>Missing</v>
      </c>
      <c r="I1456">
        <f t="shared" ca="1" si="159"/>
        <v>1</v>
      </c>
      <c r="J1456" t="str">
        <f t="shared" si="160"/>
        <v>Environmental</v>
      </c>
    </row>
    <row r="1457" spans="1:10">
      <c r="A1457" t="str" cm="1">
        <f t="array" ref="A1457">INDEX(Vendor_Master!$A$2:$A$401, ROUNDUP((ROW()-1)/4, 0))</f>
        <v>VND-364</v>
      </c>
      <c r="B1457" t="str">
        <f t="shared" si="154"/>
        <v>Sustainability Disclosure</v>
      </c>
      <c r="C1457" t="str">
        <f t="shared" si="155"/>
        <v>Yes</v>
      </c>
      <c r="D1457" t="str">
        <f t="shared" si="156"/>
        <v>No</v>
      </c>
      <c r="E1457" s="1">
        <v>45410</v>
      </c>
      <c r="F1457" s="1">
        <v>45949</v>
      </c>
      <c r="G1457">
        <f t="shared" ca="1" si="157"/>
        <v>-134</v>
      </c>
      <c r="H1457" t="str">
        <f t="shared" ca="1" si="158"/>
        <v>Missing</v>
      </c>
      <c r="I1457">
        <f t="shared" ca="1" si="159"/>
        <v>1</v>
      </c>
      <c r="J1457" t="str">
        <f t="shared" si="160"/>
        <v>Environmental</v>
      </c>
    </row>
    <row r="1458" spans="1:10">
      <c r="A1458" t="str" cm="1">
        <f t="array" ref="A1458">INDEX(Vendor_Master!$A$2:$A$401, ROUNDUP((ROW()-1)/4, 0))</f>
        <v>VND-365</v>
      </c>
      <c r="B1458" t="str">
        <f t="shared" si="154"/>
        <v>ISO 14001</v>
      </c>
      <c r="C1458" t="str">
        <f t="shared" si="155"/>
        <v>Yes</v>
      </c>
      <c r="D1458" t="str">
        <f t="shared" si="156"/>
        <v>No</v>
      </c>
      <c r="E1458" s="1">
        <v>45651</v>
      </c>
      <c r="F1458" s="1">
        <v>46026</v>
      </c>
      <c r="G1458">
        <f t="shared" ca="1" si="157"/>
        <v>-57</v>
      </c>
      <c r="H1458" t="str">
        <f t="shared" ca="1" si="158"/>
        <v>Missing</v>
      </c>
      <c r="I1458">
        <f t="shared" ca="1" si="159"/>
        <v>1</v>
      </c>
      <c r="J1458" t="str">
        <f t="shared" si="160"/>
        <v>Environmental</v>
      </c>
    </row>
    <row r="1459" spans="1:10">
      <c r="A1459" t="str" cm="1">
        <f t="array" ref="A1459">INDEX(Vendor_Master!$A$2:$A$401, ROUNDUP((ROW()-1)/4, 0))</f>
        <v>VND-365</v>
      </c>
      <c r="B1459" t="str">
        <f t="shared" si="154"/>
        <v>Safety Certificate</v>
      </c>
      <c r="C1459" t="str">
        <f t="shared" si="155"/>
        <v>Yes</v>
      </c>
      <c r="D1459" t="str">
        <f t="shared" si="156"/>
        <v>No</v>
      </c>
      <c r="E1459" s="1">
        <v>45494</v>
      </c>
      <c r="F1459" s="1">
        <v>46027</v>
      </c>
      <c r="G1459">
        <f t="shared" ca="1" si="157"/>
        <v>-56</v>
      </c>
      <c r="H1459" t="str">
        <f t="shared" ca="1" si="158"/>
        <v>Missing</v>
      </c>
      <c r="I1459">
        <f t="shared" ca="1" si="159"/>
        <v>1</v>
      </c>
      <c r="J1459" t="str">
        <f t="shared" si="160"/>
        <v>Safety</v>
      </c>
    </row>
    <row r="1460" spans="1:10">
      <c r="A1460" t="str" cm="1">
        <f t="array" ref="A1460">INDEX(Vendor_Master!$A$2:$A$401, ROUNDUP((ROW()-1)/4, 0))</f>
        <v>VND-365</v>
      </c>
      <c r="B1460" t="str">
        <f t="shared" si="154"/>
        <v>Environmental Policy</v>
      </c>
      <c r="C1460" t="str">
        <f t="shared" si="155"/>
        <v>Yes</v>
      </c>
      <c r="D1460" t="str">
        <f t="shared" si="156"/>
        <v>No</v>
      </c>
      <c r="E1460" s="1">
        <v>45676</v>
      </c>
      <c r="F1460" s="1">
        <v>45936</v>
      </c>
      <c r="G1460">
        <f t="shared" ca="1" si="157"/>
        <v>-147</v>
      </c>
      <c r="H1460" t="str">
        <f t="shared" ca="1" si="158"/>
        <v>Missing</v>
      </c>
      <c r="I1460">
        <f t="shared" ca="1" si="159"/>
        <v>1</v>
      </c>
      <c r="J1460" t="str">
        <f t="shared" si="160"/>
        <v>Environmental</v>
      </c>
    </row>
    <row r="1461" spans="1:10">
      <c r="A1461" t="str" cm="1">
        <f t="array" ref="A1461">INDEX(Vendor_Master!$A$2:$A$401, ROUNDUP((ROW()-1)/4, 0))</f>
        <v>VND-365</v>
      </c>
      <c r="B1461" t="str">
        <f t="shared" si="154"/>
        <v>Sustainability Disclosure</v>
      </c>
      <c r="C1461" t="str">
        <f t="shared" si="155"/>
        <v>Yes</v>
      </c>
      <c r="D1461" t="str">
        <f t="shared" si="156"/>
        <v>No</v>
      </c>
      <c r="E1461" s="1">
        <v>45550</v>
      </c>
      <c r="F1461" s="1">
        <v>46032</v>
      </c>
      <c r="G1461">
        <f t="shared" ca="1" si="157"/>
        <v>-51</v>
      </c>
      <c r="H1461" t="str">
        <f t="shared" ca="1" si="158"/>
        <v>Missing</v>
      </c>
      <c r="I1461">
        <f t="shared" ca="1" si="159"/>
        <v>1</v>
      </c>
      <c r="J1461" t="str">
        <f t="shared" si="160"/>
        <v>Environmental</v>
      </c>
    </row>
    <row r="1462" spans="1:10">
      <c r="A1462" t="str" cm="1">
        <f t="array" ref="A1462">INDEX(Vendor_Master!$A$2:$A$401, ROUNDUP((ROW()-1)/4, 0))</f>
        <v>VND-366</v>
      </c>
      <c r="B1462" t="str">
        <f t="shared" si="154"/>
        <v>ISO 14001</v>
      </c>
      <c r="C1462" t="str">
        <f t="shared" si="155"/>
        <v>Yes</v>
      </c>
      <c r="D1462" t="str">
        <f t="shared" si="156"/>
        <v>No</v>
      </c>
      <c r="E1462" s="1">
        <v>45691</v>
      </c>
      <c r="F1462" s="1">
        <v>45905</v>
      </c>
      <c r="G1462">
        <f t="shared" ca="1" si="157"/>
        <v>-178</v>
      </c>
      <c r="H1462" t="str">
        <f t="shared" ca="1" si="158"/>
        <v>Missing</v>
      </c>
      <c r="I1462">
        <f t="shared" ca="1" si="159"/>
        <v>1</v>
      </c>
      <c r="J1462" t="str">
        <f t="shared" si="160"/>
        <v>Environmental</v>
      </c>
    </row>
    <row r="1463" spans="1:10">
      <c r="A1463" t="str" cm="1">
        <f t="array" ref="A1463">INDEX(Vendor_Master!$A$2:$A$401, ROUNDUP((ROW()-1)/4, 0))</f>
        <v>VND-366</v>
      </c>
      <c r="B1463" t="str">
        <f t="shared" si="154"/>
        <v>Safety Certificate</v>
      </c>
      <c r="C1463" t="str">
        <f t="shared" si="155"/>
        <v>Yes</v>
      </c>
      <c r="D1463" t="str">
        <f t="shared" si="156"/>
        <v>No</v>
      </c>
      <c r="E1463" s="1">
        <v>45605</v>
      </c>
      <c r="F1463" s="1">
        <v>45972</v>
      </c>
      <c r="G1463">
        <f t="shared" ca="1" si="157"/>
        <v>-111</v>
      </c>
      <c r="H1463" t="str">
        <f t="shared" ca="1" si="158"/>
        <v>Missing</v>
      </c>
      <c r="I1463">
        <f t="shared" ca="1" si="159"/>
        <v>1</v>
      </c>
      <c r="J1463" t="str">
        <f t="shared" si="160"/>
        <v>Safety</v>
      </c>
    </row>
    <row r="1464" spans="1:10">
      <c r="A1464" t="str" cm="1">
        <f t="array" ref="A1464">INDEX(Vendor_Master!$A$2:$A$401, ROUNDUP((ROW()-1)/4, 0))</f>
        <v>VND-366</v>
      </c>
      <c r="B1464" t="str">
        <f t="shared" si="154"/>
        <v>Environmental Policy</v>
      </c>
      <c r="C1464" t="str">
        <f t="shared" si="155"/>
        <v>Yes</v>
      </c>
      <c r="D1464" t="str">
        <f t="shared" si="156"/>
        <v>No</v>
      </c>
      <c r="E1464" s="1">
        <v>45454</v>
      </c>
      <c r="F1464" s="1">
        <v>45987</v>
      </c>
      <c r="G1464">
        <f t="shared" ca="1" si="157"/>
        <v>-96</v>
      </c>
      <c r="H1464" t="str">
        <f t="shared" ca="1" si="158"/>
        <v>Missing</v>
      </c>
      <c r="I1464">
        <f t="shared" ca="1" si="159"/>
        <v>1</v>
      </c>
      <c r="J1464" t="str">
        <f t="shared" si="160"/>
        <v>Environmental</v>
      </c>
    </row>
    <row r="1465" spans="1:10">
      <c r="A1465" t="str" cm="1">
        <f t="array" ref="A1465">INDEX(Vendor_Master!$A$2:$A$401, ROUNDUP((ROW()-1)/4, 0))</f>
        <v>VND-366</v>
      </c>
      <c r="B1465" t="str">
        <f t="shared" si="154"/>
        <v>Sustainability Disclosure</v>
      </c>
      <c r="C1465" t="str">
        <f t="shared" si="155"/>
        <v>Yes</v>
      </c>
      <c r="D1465" t="str">
        <f t="shared" si="156"/>
        <v>No</v>
      </c>
      <c r="E1465" s="1">
        <v>45669</v>
      </c>
      <c r="F1465" s="1">
        <v>46011</v>
      </c>
      <c r="G1465">
        <f t="shared" ca="1" si="157"/>
        <v>-72</v>
      </c>
      <c r="H1465" t="str">
        <f t="shared" ca="1" si="158"/>
        <v>Missing</v>
      </c>
      <c r="I1465">
        <f t="shared" ca="1" si="159"/>
        <v>1</v>
      </c>
      <c r="J1465" t="str">
        <f t="shared" si="160"/>
        <v>Environmental</v>
      </c>
    </row>
    <row r="1466" spans="1:10">
      <c r="A1466" t="str" cm="1">
        <f t="array" ref="A1466">INDEX(Vendor_Master!$A$2:$A$401, ROUNDUP((ROW()-1)/4, 0))</f>
        <v>VND-367</v>
      </c>
      <c r="B1466" t="str">
        <f t="shared" si="154"/>
        <v>ISO 14001</v>
      </c>
      <c r="C1466" t="str">
        <f t="shared" si="155"/>
        <v>Yes</v>
      </c>
      <c r="D1466" t="str">
        <f t="shared" si="156"/>
        <v>No</v>
      </c>
      <c r="E1466" s="1">
        <v>45942</v>
      </c>
      <c r="F1466" s="1">
        <v>45928</v>
      </c>
      <c r="G1466">
        <f t="shared" ca="1" si="157"/>
        <v>-155</v>
      </c>
      <c r="H1466" t="str">
        <f t="shared" ca="1" si="158"/>
        <v>Missing</v>
      </c>
      <c r="I1466">
        <f t="shared" ca="1" si="159"/>
        <v>1</v>
      </c>
      <c r="J1466" t="str">
        <f t="shared" si="160"/>
        <v>Environmental</v>
      </c>
    </row>
    <row r="1467" spans="1:10">
      <c r="A1467" t="str" cm="1">
        <f t="array" ref="A1467">INDEX(Vendor_Master!$A$2:$A$401, ROUNDUP((ROW()-1)/4, 0))</f>
        <v>VND-367</v>
      </c>
      <c r="B1467" t="str">
        <f t="shared" si="154"/>
        <v>Safety Certificate</v>
      </c>
      <c r="C1467" t="str">
        <f t="shared" si="155"/>
        <v>Yes</v>
      </c>
      <c r="D1467" t="str">
        <f t="shared" si="156"/>
        <v>No</v>
      </c>
      <c r="E1467" s="1">
        <v>45987</v>
      </c>
      <c r="F1467" s="1">
        <v>46072</v>
      </c>
      <c r="G1467">
        <f t="shared" ca="1" si="157"/>
        <v>-11</v>
      </c>
      <c r="H1467" t="str">
        <f t="shared" ca="1" si="158"/>
        <v>Missing</v>
      </c>
      <c r="I1467">
        <f t="shared" ca="1" si="159"/>
        <v>1</v>
      </c>
      <c r="J1467" t="str">
        <f t="shared" si="160"/>
        <v>Safety</v>
      </c>
    </row>
    <row r="1468" spans="1:10">
      <c r="A1468" t="str" cm="1">
        <f t="array" ref="A1468">INDEX(Vendor_Master!$A$2:$A$401, ROUNDUP((ROW()-1)/4, 0))</f>
        <v>VND-367</v>
      </c>
      <c r="B1468" t="str">
        <f t="shared" si="154"/>
        <v>Environmental Policy</v>
      </c>
      <c r="C1468" t="str">
        <f t="shared" si="155"/>
        <v>Yes</v>
      </c>
      <c r="D1468" t="str">
        <f t="shared" si="156"/>
        <v>No</v>
      </c>
      <c r="E1468" s="1">
        <v>45887</v>
      </c>
      <c r="F1468" s="1">
        <v>46012</v>
      </c>
      <c r="G1468">
        <f t="shared" ca="1" si="157"/>
        <v>-71</v>
      </c>
      <c r="H1468" t="str">
        <f t="shared" ca="1" si="158"/>
        <v>Missing</v>
      </c>
      <c r="I1468">
        <f t="shared" ca="1" si="159"/>
        <v>1</v>
      </c>
      <c r="J1468" t="str">
        <f t="shared" si="160"/>
        <v>Environmental</v>
      </c>
    </row>
    <row r="1469" spans="1:10">
      <c r="A1469" t="str" cm="1">
        <f t="array" ref="A1469">INDEX(Vendor_Master!$A$2:$A$401, ROUNDUP((ROW()-1)/4, 0))</f>
        <v>VND-367</v>
      </c>
      <c r="B1469" t="str">
        <f t="shared" si="154"/>
        <v>Sustainability Disclosure</v>
      </c>
      <c r="C1469" t="str">
        <f t="shared" si="155"/>
        <v>Yes</v>
      </c>
      <c r="D1469" t="str">
        <f t="shared" si="156"/>
        <v>No</v>
      </c>
      <c r="E1469" s="1">
        <v>45980</v>
      </c>
      <c r="F1469" s="1">
        <v>45953</v>
      </c>
      <c r="G1469">
        <f t="shared" ca="1" si="157"/>
        <v>-130</v>
      </c>
      <c r="H1469" t="str">
        <f t="shared" ca="1" si="158"/>
        <v>Missing</v>
      </c>
      <c r="I1469">
        <f t="shared" ca="1" si="159"/>
        <v>1</v>
      </c>
      <c r="J1469" t="str">
        <f t="shared" si="160"/>
        <v>Environmental</v>
      </c>
    </row>
    <row r="1470" spans="1:10">
      <c r="A1470" t="str" cm="1">
        <f t="array" ref="A1470">INDEX(Vendor_Master!$A$2:$A$401, ROUNDUP((ROW()-1)/4, 0))</f>
        <v>VND-368</v>
      </c>
      <c r="B1470" t="str">
        <f t="shared" si="154"/>
        <v>ISO 14001</v>
      </c>
      <c r="C1470" t="str">
        <f t="shared" si="155"/>
        <v>Yes</v>
      </c>
      <c r="D1470" t="str">
        <f t="shared" si="156"/>
        <v>No</v>
      </c>
      <c r="E1470" s="1">
        <v>45958</v>
      </c>
      <c r="F1470" s="1">
        <v>46005</v>
      </c>
      <c r="G1470">
        <f t="shared" ca="1" si="157"/>
        <v>-78</v>
      </c>
      <c r="H1470" t="str">
        <f t="shared" ca="1" si="158"/>
        <v>Missing</v>
      </c>
      <c r="I1470">
        <f t="shared" ca="1" si="159"/>
        <v>1</v>
      </c>
      <c r="J1470" t="str">
        <f t="shared" si="160"/>
        <v>Environmental</v>
      </c>
    </row>
    <row r="1471" spans="1:10">
      <c r="A1471" t="str" cm="1">
        <f t="array" ref="A1471">INDEX(Vendor_Master!$A$2:$A$401, ROUNDUP((ROW()-1)/4, 0))</f>
        <v>VND-368</v>
      </c>
      <c r="B1471" t="str">
        <f t="shared" si="154"/>
        <v>Safety Certificate</v>
      </c>
      <c r="C1471" t="str">
        <f t="shared" si="155"/>
        <v>Yes</v>
      </c>
      <c r="D1471" t="str">
        <f t="shared" si="156"/>
        <v>No</v>
      </c>
      <c r="E1471" s="1">
        <v>45678</v>
      </c>
      <c r="F1471" s="1">
        <v>45947</v>
      </c>
      <c r="G1471">
        <f t="shared" ca="1" si="157"/>
        <v>-136</v>
      </c>
      <c r="H1471" t="str">
        <f t="shared" ca="1" si="158"/>
        <v>Missing</v>
      </c>
      <c r="I1471">
        <f t="shared" ca="1" si="159"/>
        <v>1</v>
      </c>
      <c r="J1471" t="str">
        <f t="shared" si="160"/>
        <v>Safety</v>
      </c>
    </row>
    <row r="1472" spans="1:10">
      <c r="A1472" t="str" cm="1">
        <f t="array" ref="A1472">INDEX(Vendor_Master!$A$2:$A$401, ROUNDUP((ROW()-1)/4, 0))</f>
        <v>VND-368</v>
      </c>
      <c r="B1472" t="str">
        <f t="shared" si="154"/>
        <v>Environmental Policy</v>
      </c>
      <c r="C1472" t="str">
        <f t="shared" si="155"/>
        <v>Yes</v>
      </c>
      <c r="D1472" t="str">
        <f t="shared" si="156"/>
        <v>No</v>
      </c>
      <c r="E1472" s="1">
        <v>45657</v>
      </c>
      <c r="F1472" s="1">
        <v>45912</v>
      </c>
      <c r="G1472">
        <f t="shared" ca="1" si="157"/>
        <v>-171</v>
      </c>
      <c r="H1472" t="str">
        <f t="shared" ca="1" si="158"/>
        <v>Missing</v>
      </c>
      <c r="I1472">
        <f t="shared" ca="1" si="159"/>
        <v>1</v>
      </c>
      <c r="J1472" t="str">
        <f t="shared" si="160"/>
        <v>Environmental</v>
      </c>
    </row>
    <row r="1473" spans="1:10">
      <c r="A1473" t="str" cm="1">
        <f t="array" ref="A1473">INDEX(Vendor_Master!$A$2:$A$401, ROUNDUP((ROW()-1)/4, 0))</f>
        <v>VND-368</v>
      </c>
      <c r="B1473" t="str">
        <f t="shared" si="154"/>
        <v>Sustainability Disclosure</v>
      </c>
      <c r="C1473" t="str">
        <f t="shared" si="155"/>
        <v>Yes</v>
      </c>
      <c r="D1473" t="str">
        <f t="shared" si="156"/>
        <v>No</v>
      </c>
      <c r="E1473" s="1">
        <v>45738</v>
      </c>
      <c r="F1473" s="1">
        <v>45984</v>
      </c>
      <c r="G1473">
        <f t="shared" ca="1" si="157"/>
        <v>-99</v>
      </c>
      <c r="H1473" t="str">
        <f t="shared" ca="1" si="158"/>
        <v>Missing</v>
      </c>
      <c r="I1473">
        <f t="shared" ca="1" si="159"/>
        <v>1</v>
      </c>
      <c r="J1473" t="str">
        <f t="shared" si="160"/>
        <v>Environmental</v>
      </c>
    </row>
    <row r="1474" spans="1:10">
      <c r="A1474" t="str" cm="1">
        <f t="array" ref="A1474">INDEX(Vendor_Master!$A$2:$A$401, ROUNDUP((ROW()-1)/4, 0))</f>
        <v>VND-369</v>
      </c>
      <c r="B1474" t="str">
        <f t="shared" ref="B1474:B1537" si="161">CHOOSE(MOD(ROW()-2,4)+1,"ISO 14001","Safety Certificate","Environmental Policy","Sustainability Disclosure")</f>
        <v>ISO 14001</v>
      </c>
      <c r="C1474" t="str">
        <f t="shared" ref="C1474:C1537" si="162">"Yes"</f>
        <v>Yes</v>
      </c>
      <c r="D1474" t="str">
        <f t="shared" ref="D1474:D1537" si="163">IF(ROW()-1&lt;=1280,"Yes","No")</f>
        <v>No</v>
      </c>
      <c r="E1474" s="1">
        <v>45969</v>
      </c>
      <c r="F1474" s="1">
        <v>45929</v>
      </c>
      <c r="G1474">
        <f t="shared" ref="G1474:G1537" ca="1" si="164">IF($F1474="","",$F1474-TODAY())</f>
        <v>-154</v>
      </c>
      <c r="H1474" t="str">
        <f t="shared" ref="H1474:H1537" ca="1" si="165">IF($C1474="No","Not Required",
IF($D1474="No","Missing",
IF($F1474&lt;TODAY(),"Expired",
IF($F1474&lt;=TODAY()+30,"Expiring Soon","Active"))))</f>
        <v>Missing</v>
      </c>
      <c r="I1474">
        <f t="shared" ref="I1474:I1537" ca="1" si="166">IF(OR($H1474="Missing",$H1474="Expired",$H1474="Expiring Soon"),1,0)</f>
        <v>1</v>
      </c>
      <c r="J1474" t="str">
        <f t="shared" si="160"/>
        <v>Environmental</v>
      </c>
    </row>
    <row r="1475" spans="1:10">
      <c r="A1475" t="str" cm="1">
        <f t="array" ref="A1475">INDEX(Vendor_Master!$A$2:$A$401, ROUNDUP((ROW()-1)/4, 0))</f>
        <v>VND-369</v>
      </c>
      <c r="B1475" t="str">
        <f t="shared" si="161"/>
        <v>Safety Certificate</v>
      </c>
      <c r="C1475" t="str">
        <f t="shared" si="162"/>
        <v>Yes</v>
      </c>
      <c r="D1475" t="str">
        <f t="shared" si="163"/>
        <v>No</v>
      </c>
      <c r="E1475" s="1">
        <v>45834</v>
      </c>
      <c r="F1475" s="1">
        <v>45963</v>
      </c>
      <c r="G1475">
        <f t="shared" ca="1" si="164"/>
        <v>-120</v>
      </c>
      <c r="H1475" t="str">
        <f t="shared" ca="1" si="165"/>
        <v>Missing</v>
      </c>
      <c r="I1475">
        <f t="shared" ca="1" si="166"/>
        <v>1</v>
      </c>
      <c r="J1475" t="str">
        <f t="shared" ref="J1475:J1538" si="167">IF(B1475="ISO 14001","Environmental",
 IF(B1475="Environmental Policy","Environmental",
 IF(B1475="Sustainability Disclosure","Environmental",
 IF(B1475="Safety Certificate","Safety","Regulatory"))))</f>
        <v>Safety</v>
      </c>
    </row>
    <row r="1476" spans="1:10">
      <c r="A1476" t="str" cm="1">
        <f t="array" ref="A1476">INDEX(Vendor_Master!$A$2:$A$401, ROUNDUP((ROW()-1)/4, 0))</f>
        <v>VND-369</v>
      </c>
      <c r="B1476" t="str">
        <f t="shared" si="161"/>
        <v>Environmental Policy</v>
      </c>
      <c r="C1476" t="str">
        <f t="shared" si="162"/>
        <v>Yes</v>
      </c>
      <c r="D1476" t="str">
        <f t="shared" si="163"/>
        <v>No</v>
      </c>
      <c r="E1476" s="1">
        <v>45851</v>
      </c>
      <c r="F1476" s="1">
        <v>46066</v>
      </c>
      <c r="G1476">
        <f t="shared" ca="1" si="164"/>
        <v>-17</v>
      </c>
      <c r="H1476" t="str">
        <f t="shared" ca="1" si="165"/>
        <v>Missing</v>
      </c>
      <c r="I1476">
        <f t="shared" ca="1" si="166"/>
        <v>1</v>
      </c>
      <c r="J1476" t="str">
        <f t="shared" si="167"/>
        <v>Environmental</v>
      </c>
    </row>
    <row r="1477" spans="1:10">
      <c r="A1477" t="str" cm="1">
        <f t="array" ref="A1477">INDEX(Vendor_Master!$A$2:$A$401, ROUNDUP((ROW()-1)/4, 0))</f>
        <v>VND-369</v>
      </c>
      <c r="B1477" t="str">
        <f t="shared" si="161"/>
        <v>Sustainability Disclosure</v>
      </c>
      <c r="C1477" t="str">
        <f t="shared" si="162"/>
        <v>Yes</v>
      </c>
      <c r="D1477" t="str">
        <f t="shared" si="163"/>
        <v>No</v>
      </c>
      <c r="E1477" s="1">
        <v>45958</v>
      </c>
      <c r="F1477" s="1">
        <v>45934</v>
      </c>
      <c r="G1477">
        <f t="shared" ca="1" si="164"/>
        <v>-149</v>
      </c>
      <c r="H1477" t="str">
        <f t="shared" ca="1" si="165"/>
        <v>Missing</v>
      </c>
      <c r="I1477">
        <f t="shared" ca="1" si="166"/>
        <v>1</v>
      </c>
      <c r="J1477" t="str">
        <f t="shared" si="167"/>
        <v>Environmental</v>
      </c>
    </row>
    <row r="1478" spans="1:10">
      <c r="A1478" t="str" cm="1">
        <f t="array" ref="A1478">INDEX(Vendor_Master!$A$2:$A$401, ROUNDUP((ROW()-1)/4, 0))</f>
        <v>VND-370</v>
      </c>
      <c r="B1478" t="str">
        <f t="shared" si="161"/>
        <v>ISO 14001</v>
      </c>
      <c r="C1478" t="str">
        <f t="shared" si="162"/>
        <v>Yes</v>
      </c>
      <c r="D1478" t="str">
        <f t="shared" si="163"/>
        <v>No</v>
      </c>
      <c r="E1478" s="1">
        <v>45553</v>
      </c>
      <c r="F1478" s="1">
        <v>45913</v>
      </c>
      <c r="G1478">
        <f t="shared" ca="1" si="164"/>
        <v>-170</v>
      </c>
      <c r="H1478" t="str">
        <f t="shared" ca="1" si="165"/>
        <v>Missing</v>
      </c>
      <c r="I1478">
        <f t="shared" ca="1" si="166"/>
        <v>1</v>
      </c>
      <c r="J1478" t="str">
        <f t="shared" si="167"/>
        <v>Environmental</v>
      </c>
    </row>
    <row r="1479" spans="1:10">
      <c r="A1479" t="str" cm="1">
        <f t="array" ref="A1479">INDEX(Vendor_Master!$A$2:$A$401, ROUNDUP((ROW()-1)/4, 0))</f>
        <v>VND-370</v>
      </c>
      <c r="B1479" t="str">
        <f t="shared" si="161"/>
        <v>Safety Certificate</v>
      </c>
      <c r="C1479" t="str">
        <f t="shared" si="162"/>
        <v>Yes</v>
      </c>
      <c r="D1479" t="str">
        <f t="shared" si="163"/>
        <v>No</v>
      </c>
      <c r="E1479" s="1">
        <v>45995</v>
      </c>
      <c r="F1479" s="1">
        <v>46056</v>
      </c>
      <c r="G1479">
        <f t="shared" ca="1" si="164"/>
        <v>-27</v>
      </c>
      <c r="H1479" t="str">
        <f t="shared" ca="1" si="165"/>
        <v>Missing</v>
      </c>
      <c r="I1479">
        <f t="shared" ca="1" si="166"/>
        <v>1</v>
      </c>
      <c r="J1479" t="str">
        <f t="shared" si="167"/>
        <v>Safety</v>
      </c>
    </row>
    <row r="1480" spans="1:10">
      <c r="A1480" t="str" cm="1">
        <f t="array" ref="A1480">INDEX(Vendor_Master!$A$2:$A$401, ROUNDUP((ROW()-1)/4, 0))</f>
        <v>VND-370</v>
      </c>
      <c r="B1480" t="str">
        <f t="shared" si="161"/>
        <v>Environmental Policy</v>
      </c>
      <c r="C1480" t="str">
        <f t="shared" si="162"/>
        <v>Yes</v>
      </c>
      <c r="D1480" t="str">
        <f t="shared" si="163"/>
        <v>No</v>
      </c>
      <c r="E1480" s="1">
        <v>45544</v>
      </c>
      <c r="F1480" s="1">
        <v>46030</v>
      </c>
      <c r="G1480">
        <f t="shared" ca="1" si="164"/>
        <v>-53</v>
      </c>
      <c r="H1480" t="str">
        <f t="shared" ca="1" si="165"/>
        <v>Missing</v>
      </c>
      <c r="I1480">
        <f t="shared" ca="1" si="166"/>
        <v>1</v>
      </c>
      <c r="J1480" t="str">
        <f t="shared" si="167"/>
        <v>Environmental</v>
      </c>
    </row>
    <row r="1481" spans="1:10">
      <c r="A1481" t="str" cm="1">
        <f t="array" ref="A1481">INDEX(Vendor_Master!$A$2:$A$401, ROUNDUP((ROW()-1)/4, 0))</f>
        <v>VND-370</v>
      </c>
      <c r="B1481" t="str">
        <f t="shared" si="161"/>
        <v>Sustainability Disclosure</v>
      </c>
      <c r="C1481" t="str">
        <f t="shared" si="162"/>
        <v>Yes</v>
      </c>
      <c r="D1481" t="str">
        <f t="shared" si="163"/>
        <v>No</v>
      </c>
      <c r="E1481" s="1">
        <v>45873</v>
      </c>
      <c r="F1481" s="1">
        <v>46005</v>
      </c>
      <c r="G1481">
        <f t="shared" ca="1" si="164"/>
        <v>-78</v>
      </c>
      <c r="H1481" t="str">
        <f t="shared" ca="1" si="165"/>
        <v>Missing</v>
      </c>
      <c r="I1481">
        <f t="shared" ca="1" si="166"/>
        <v>1</v>
      </c>
      <c r="J1481" t="str">
        <f t="shared" si="167"/>
        <v>Environmental</v>
      </c>
    </row>
    <row r="1482" spans="1:10">
      <c r="A1482" t="str" cm="1">
        <f t="array" ref="A1482">INDEX(Vendor_Master!$A$2:$A$401, ROUNDUP((ROW()-1)/4, 0))</f>
        <v>VND-371</v>
      </c>
      <c r="B1482" t="str">
        <f t="shared" si="161"/>
        <v>ISO 14001</v>
      </c>
      <c r="C1482" t="str">
        <f t="shared" si="162"/>
        <v>Yes</v>
      </c>
      <c r="D1482" t="str">
        <f t="shared" si="163"/>
        <v>No</v>
      </c>
      <c r="E1482" s="1">
        <v>45760</v>
      </c>
      <c r="F1482" s="1">
        <v>46071</v>
      </c>
      <c r="G1482">
        <f t="shared" ca="1" si="164"/>
        <v>-12</v>
      </c>
      <c r="H1482" t="str">
        <f t="shared" ca="1" si="165"/>
        <v>Missing</v>
      </c>
      <c r="I1482">
        <f t="shared" ca="1" si="166"/>
        <v>1</v>
      </c>
      <c r="J1482" t="str">
        <f t="shared" si="167"/>
        <v>Environmental</v>
      </c>
    </row>
    <row r="1483" spans="1:10">
      <c r="A1483" t="str" cm="1">
        <f t="array" ref="A1483">INDEX(Vendor_Master!$A$2:$A$401, ROUNDUP((ROW()-1)/4, 0))</f>
        <v>VND-371</v>
      </c>
      <c r="B1483" t="str">
        <f t="shared" si="161"/>
        <v>Safety Certificate</v>
      </c>
      <c r="C1483" t="str">
        <f t="shared" si="162"/>
        <v>Yes</v>
      </c>
      <c r="D1483" t="str">
        <f t="shared" si="163"/>
        <v>No</v>
      </c>
      <c r="E1483" s="1">
        <v>45998</v>
      </c>
      <c r="F1483" s="1">
        <v>45993</v>
      </c>
      <c r="G1483">
        <f t="shared" ca="1" si="164"/>
        <v>-90</v>
      </c>
      <c r="H1483" t="str">
        <f t="shared" ca="1" si="165"/>
        <v>Missing</v>
      </c>
      <c r="I1483">
        <f t="shared" ca="1" si="166"/>
        <v>1</v>
      </c>
      <c r="J1483" t="str">
        <f t="shared" si="167"/>
        <v>Safety</v>
      </c>
    </row>
    <row r="1484" spans="1:10">
      <c r="A1484" t="str" cm="1">
        <f t="array" ref="A1484">INDEX(Vendor_Master!$A$2:$A$401, ROUNDUP((ROW()-1)/4, 0))</f>
        <v>VND-371</v>
      </c>
      <c r="B1484" t="str">
        <f t="shared" si="161"/>
        <v>Environmental Policy</v>
      </c>
      <c r="C1484" t="str">
        <f t="shared" si="162"/>
        <v>Yes</v>
      </c>
      <c r="D1484" t="str">
        <f t="shared" si="163"/>
        <v>No</v>
      </c>
      <c r="E1484" s="1">
        <v>45674</v>
      </c>
      <c r="F1484" s="1">
        <v>46003</v>
      </c>
      <c r="G1484">
        <f t="shared" ca="1" si="164"/>
        <v>-80</v>
      </c>
      <c r="H1484" t="str">
        <f t="shared" ca="1" si="165"/>
        <v>Missing</v>
      </c>
      <c r="I1484">
        <f t="shared" ca="1" si="166"/>
        <v>1</v>
      </c>
      <c r="J1484" t="str">
        <f t="shared" si="167"/>
        <v>Environmental</v>
      </c>
    </row>
    <row r="1485" spans="1:10">
      <c r="A1485" t="str" cm="1">
        <f t="array" ref="A1485">INDEX(Vendor_Master!$A$2:$A$401, ROUNDUP((ROW()-1)/4, 0))</f>
        <v>VND-371</v>
      </c>
      <c r="B1485" t="str">
        <f t="shared" si="161"/>
        <v>Sustainability Disclosure</v>
      </c>
      <c r="C1485" t="str">
        <f t="shared" si="162"/>
        <v>Yes</v>
      </c>
      <c r="D1485" t="str">
        <f t="shared" si="163"/>
        <v>No</v>
      </c>
      <c r="E1485" s="1">
        <v>45807</v>
      </c>
      <c r="F1485" s="1">
        <v>45967</v>
      </c>
      <c r="G1485">
        <f t="shared" ca="1" si="164"/>
        <v>-116</v>
      </c>
      <c r="H1485" t="str">
        <f t="shared" ca="1" si="165"/>
        <v>Missing</v>
      </c>
      <c r="I1485">
        <f t="shared" ca="1" si="166"/>
        <v>1</v>
      </c>
      <c r="J1485" t="str">
        <f t="shared" si="167"/>
        <v>Environmental</v>
      </c>
    </row>
    <row r="1486" spans="1:10">
      <c r="A1486" t="str" cm="1">
        <f t="array" ref="A1486">INDEX(Vendor_Master!$A$2:$A$401, ROUNDUP((ROW()-1)/4, 0))</f>
        <v>VND-372</v>
      </c>
      <c r="B1486" t="str">
        <f t="shared" si="161"/>
        <v>ISO 14001</v>
      </c>
      <c r="C1486" t="str">
        <f t="shared" si="162"/>
        <v>Yes</v>
      </c>
      <c r="D1486" t="str">
        <f t="shared" si="163"/>
        <v>No</v>
      </c>
      <c r="E1486" s="1">
        <v>45620</v>
      </c>
      <c r="F1486" s="1">
        <v>45930</v>
      </c>
      <c r="G1486">
        <f t="shared" ca="1" si="164"/>
        <v>-153</v>
      </c>
      <c r="H1486" t="str">
        <f t="shared" ca="1" si="165"/>
        <v>Missing</v>
      </c>
      <c r="I1486">
        <f t="shared" ca="1" si="166"/>
        <v>1</v>
      </c>
      <c r="J1486" t="str">
        <f t="shared" si="167"/>
        <v>Environmental</v>
      </c>
    </row>
    <row r="1487" spans="1:10">
      <c r="A1487" t="str" cm="1">
        <f t="array" ref="A1487">INDEX(Vendor_Master!$A$2:$A$401, ROUNDUP((ROW()-1)/4, 0))</f>
        <v>VND-372</v>
      </c>
      <c r="B1487" t="str">
        <f t="shared" si="161"/>
        <v>Safety Certificate</v>
      </c>
      <c r="C1487" t="str">
        <f t="shared" si="162"/>
        <v>Yes</v>
      </c>
      <c r="D1487" t="str">
        <f t="shared" si="163"/>
        <v>No</v>
      </c>
      <c r="E1487" s="1">
        <v>45440</v>
      </c>
      <c r="F1487" s="1">
        <v>46044</v>
      </c>
      <c r="G1487">
        <f t="shared" ca="1" si="164"/>
        <v>-39</v>
      </c>
      <c r="H1487" t="str">
        <f t="shared" ca="1" si="165"/>
        <v>Missing</v>
      </c>
      <c r="I1487">
        <f t="shared" ca="1" si="166"/>
        <v>1</v>
      </c>
      <c r="J1487" t="str">
        <f t="shared" si="167"/>
        <v>Safety</v>
      </c>
    </row>
    <row r="1488" spans="1:10">
      <c r="A1488" t="str" cm="1">
        <f t="array" ref="A1488">INDEX(Vendor_Master!$A$2:$A$401, ROUNDUP((ROW()-1)/4, 0))</f>
        <v>VND-372</v>
      </c>
      <c r="B1488" t="str">
        <f t="shared" si="161"/>
        <v>Environmental Policy</v>
      </c>
      <c r="C1488" t="str">
        <f t="shared" si="162"/>
        <v>Yes</v>
      </c>
      <c r="D1488" t="str">
        <f t="shared" si="163"/>
        <v>No</v>
      </c>
      <c r="E1488" s="1">
        <v>45449</v>
      </c>
      <c r="F1488" s="1">
        <v>45904</v>
      </c>
      <c r="G1488">
        <f t="shared" ca="1" si="164"/>
        <v>-179</v>
      </c>
      <c r="H1488" t="str">
        <f t="shared" ca="1" si="165"/>
        <v>Missing</v>
      </c>
      <c r="I1488">
        <f t="shared" ca="1" si="166"/>
        <v>1</v>
      </c>
      <c r="J1488" t="str">
        <f t="shared" si="167"/>
        <v>Environmental</v>
      </c>
    </row>
    <row r="1489" spans="1:10">
      <c r="A1489" t="str" cm="1">
        <f t="array" ref="A1489">INDEX(Vendor_Master!$A$2:$A$401, ROUNDUP((ROW()-1)/4, 0))</f>
        <v>VND-372</v>
      </c>
      <c r="B1489" t="str">
        <f t="shared" si="161"/>
        <v>Sustainability Disclosure</v>
      </c>
      <c r="C1489" t="str">
        <f t="shared" si="162"/>
        <v>Yes</v>
      </c>
      <c r="D1489" t="str">
        <f t="shared" si="163"/>
        <v>No</v>
      </c>
      <c r="E1489" s="1">
        <v>45821</v>
      </c>
      <c r="F1489" s="1">
        <v>45910</v>
      </c>
      <c r="G1489">
        <f t="shared" ca="1" si="164"/>
        <v>-173</v>
      </c>
      <c r="H1489" t="str">
        <f t="shared" ca="1" si="165"/>
        <v>Missing</v>
      </c>
      <c r="I1489">
        <f t="shared" ca="1" si="166"/>
        <v>1</v>
      </c>
      <c r="J1489" t="str">
        <f t="shared" si="167"/>
        <v>Environmental</v>
      </c>
    </row>
    <row r="1490" spans="1:10">
      <c r="A1490" t="str" cm="1">
        <f t="array" ref="A1490">INDEX(Vendor_Master!$A$2:$A$401, ROUNDUP((ROW()-1)/4, 0))</f>
        <v>VND-373</v>
      </c>
      <c r="B1490" t="str">
        <f t="shared" si="161"/>
        <v>ISO 14001</v>
      </c>
      <c r="C1490" t="str">
        <f t="shared" si="162"/>
        <v>Yes</v>
      </c>
      <c r="D1490" t="str">
        <f t="shared" si="163"/>
        <v>No</v>
      </c>
      <c r="E1490" s="1">
        <v>45458</v>
      </c>
      <c r="F1490" s="1">
        <v>46008</v>
      </c>
      <c r="G1490">
        <f t="shared" ca="1" si="164"/>
        <v>-75</v>
      </c>
      <c r="H1490" t="str">
        <f t="shared" ca="1" si="165"/>
        <v>Missing</v>
      </c>
      <c r="I1490">
        <f t="shared" ca="1" si="166"/>
        <v>1</v>
      </c>
      <c r="J1490" t="str">
        <f t="shared" si="167"/>
        <v>Environmental</v>
      </c>
    </row>
    <row r="1491" spans="1:10">
      <c r="A1491" t="str" cm="1">
        <f t="array" ref="A1491">INDEX(Vendor_Master!$A$2:$A$401, ROUNDUP((ROW()-1)/4, 0))</f>
        <v>VND-373</v>
      </c>
      <c r="B1491" t="str">
        <f t="shared" si="161"/>
        <v>Safety Certificate</v>
      </c>
      <c r="C1491" t="str">
        <f t="shared" si="162"/>
        <v>Yes</v>
      </c>
      <c r="D1491" t="str">
        <f t="shared" si="163"/>
        <v>No</v>
      </c>
      <c r="E1491" s="1">
        <v>46023</v>
      </c>
      <c r="F1491" s="1">
        <v>45908</v>
      </c>
      <c r="G1491">
        <f t="shared" ca="1" si="164"/>
        <v>-175</v>
      </c>
      <c r="H1491" t="str">
        <f t="shared" ca="1" si="165"/>
        <v>Missing</v>
      </c>
      <c r="I1491">
        <f t="shared" ca="1" si="166"/>
        <v>1</v>
      </c>
      <c r="J1491" t="str">
        <f t="shared" si="167"/>
        <v>Safety</v>
      </c>
    </row>
    <row r="1492" spans="1:10">
      <c r="A1492" t="str" cm="1">
        <f t="array" ref="A1492">INDEX(Vendor_Master!$A$2:$A$401, ROUNDUP((ROW()-1)/4, 0))</f>
        <v>VND-373</v>
      </c>
      <c r="B1492" t="str">
        <f t="shared" si="161"/>
        <v>Environmental Policy</v>
      </c>
      <c r="C1492" t="str">
        <f t="shared" si="162"/>
        <v>Yes</v>
      </c>
      <c r="D1492" t="str">
        <f t="shared" si="163"/>
        <v>No</v>
      </c>
      <c r="E1492" s="1">
        <v>45707</v>
      </c>
      <c r="F1492" s="1">
        <v>45922</v>
      </c>
      <c r="G1492">
        <f t="shared" ca="1" si="164"/>
        <v>-161</v>
      </c>
      <c r="H1492" t="str">
        <f t="shared" ca="1" si="165"/>
        <v>Missing</v>
      </c>
      <c r="I1492">
        <f t="shared" ca="1" si="166"/>
        <v>1</v>
      </c>
      <c r="J1492" t="str">
        <f t="shared" si="167"/>
        <v>Environmental</v>
      </c>
    </row>
    <row r="1493" spans="1:10">
      <c r="A1493" t="str" cm="1">
        <f t="array" ref="A1493">INDEX(Vendor_Master!$A$2:$A$401, ROUNDUP((ROW()-1)/4, 0))</f>
        <v>VND-373</v>
      </c>
      <c r="B1493" t="str">
        <f t="shared" si="161"/>
        <v>Sustainability Disclosure</v>
      </c>
      <c r="C1493" t="str">
        <f t="shared" si="162"/>
        <v>Yes</v>
      </c>
      <c r="D1493" t="str">
        <f t="shared" si="163"/>
        <v>No</v>
      </c>
      <c r="E1493" s="1">
        <v>45747</v>
      </c>
      <c r="F1493" s="1">
        <v>45914</v>
      </c>
      <c r="G1493">
        <f t="shared" ca="1" si="164"/>
        <v>-169</v>
      </c>
      <c r="H1493" t="str">
        <f t="shared" ca="1" si="165"/>
        <v>Missing</v>
      </c>
      <c r="I1493">
        <f t="shared" ca="1" si="166"/>
        <v>1</v>
      </c>
      <c r="J1493" t="str">
        <f t="shared" si="167"/>
        <v>Environmental</v>
      </c>
    </row>
    <row r="1494" spans="1:10">
      <c r="A1494" t="str" cm="1">
        <f t="array" ref="A1494">INDEX(Vendor_Master!$A$2:$A$401, ROUNDUP((ROW()-1)/4, 0))</f>
        <v>VND-374</v>
      </c>
      <c r="B1494" t="str">
        <f t="shared" si="161"/>
        <v>ISO 14001</v>
      </c>
      <c r="C1494" t="str">
        <f t="shared" si="162"/>
        <v>Yes</v>
      </c>
      <c r="D1494" t="str">
        <f t="shared" si="163"/>
        <v>No</v>
      </c>
      <c r="E1494" s="1">
        <v>45661</v>
      </c>
      <c r="F1494" s="1">
        <v>45925</v>
      </c>
      <c r="G1494">
        <f t="shared" ca="1" si="164"/>
        <v>-158</v>
      </c>
      <c r="H1494" t="str">
        <f t="shared" ca="1" si="165"/>
        <v>Missing</v>
      </c>
      <c r="I1494">
        <f t="shared" ca="1" si="166"/>
        <v>1</v>
      </c>
      <c r="J1494" t="str">
        <f t="shared" si="167"/>
        <v>Environmental</v>
      </c>
    </row>
    <row r="1495" spans="1:10">
      <c r="A1495" t="str" cm="1">
        <f t="array" ref="A1495">INDEX(Vendor_Master!$A$2:$A$401, ROUNDUP((ROW()-1)/4, 0))</f>
        <v>VND-374</v>
      </c>
      <c r="B1495" t="str">
        <f t="shared" si="161"/>
        <v>Safety Certificate</v>
      </c>
      <c r="C1495" t="str">
        <f t="shared" si="162"/>
        <v>Yes</v>
      </c>
      <c r="D1495" t="str">
        <f t="shared" si="163"/>
        <v>No</v>
      </c>
      <c r="E1495" s="1">
        <v>45387</v>
      </c>
      <c r="F1495" s="1">
        <v>45966</v>
      </c>
      <c r="G1495">
        <f t="shared" ca="1" si="164"/>
        <v>-117</v>
      </c>
      <c r="H1495" t="str">
        <f t="shared" ca="1" si="165"/>
        <v>Missing</v>
      </c>
      <c r="I1495">
        <f t="shared" ca="1" si="166"/>
        <v>1</v>
      </c>
      <c r="J1495" t="str">
        <f t="shared" si="167"/>
        <v>Safety</v>
      </c>
    </row>
    <row r="1496" spans="1:10">
      <c r="A1496" t="str" cm="1">
        <f t="array" ref="A1496">INDEX(Vendor_Master!$A$2:$A$401, ROUNDUP((ROW()-1)/4, 0))</f>
        <v>VND-374</v>
      </c>
      <c r="B1496" t="str">
        <f t="shared" si="161"/>
        <v>Environmental Policy</v>
      </c>
      <c r="C1496" t="str">
        <f t="shared" si="162"/>
        <v>Yes</v>
      </c>
      <c r="D1496" t="str">
        <f t="shared" si="163"/>
        <v>No</v>
      </c>
      <c r="E1496" s="1">
        <v>45395</v>
      </c>
      <c r="F1496" s="1">
        <v>46009</v>
      </c>
      <c r="G1496">
        <f t="shared" ca="1" si="164"/>
        <v>-74</v>
      </c>
      <c r="H1496" t="str">
        <f t="shared" ca="1" si="165"/>
        <v>Missing</v>
      </c>
      <c r="I1496">
        <f t="shared" ca="1" si="166"/>
        <v>1</v>
      </c>
      <c r="J1496" t="str">
        <f t="shared" si="167"/>
        <v>Environmental</v>
      </c>
    </row>
    <row r="1497" spans="1:10">
      <c r="A1497" t="str" cm="1">
        <f t="array" ref="A1497">INDEX(Vendor_Master!$A$2:$A$401, ROUNDUP((ROW()-1)/4, 0))</f>
        <v>VND-374</v>
      </c>
      <c r="B1497" t="str">
        <f t="shared" si="161"/>
        <v>Sustainability Disclosure</v>
      </c>
      <c r="C1497" t="str">
        <f t="shared" si="162"/>
        <v>Yes</v>
      </c>
      <c r="D1497" t="str">
        <f t="shared" si="163"/>
        <v>No</v>
      </c>
      <c r="E1497" s="1">
        <v>45833</v>
      </c>
      <c r="F1497" s="1">
        <v>45966</v>
      </c>
      <c r="G1497">
        <f t="shared" ca="1" si="164"/>
        <v>-117</v>
      </c>
      <c r="H1497" t="str">
        <f t="shared" ca="1" si="165"/>
        <v>Missing</v>
      </c>
      <c r="I1497">
        <f t="shared" ca="1" si="166"/>
        <v>1</v>
      </c>
      <c r="J1497" t="str">
        <f t="shared" si="167"/>
        <v>Environmental</v>
      </c>
    </row>
    <row r="1498" spans="1:10">
      <c r="A1498" t="str" cm="1">
        <f t="array" ref="A1498">INDEX(Vendor_Master!$A$2:$A$401, ROUNDUP((ROW()-1)/4, 0))</f>
        <v>VND-375</v>
      </c>
      <c r="B1498" t="str">
        <f t="shared" si="161"/>
        <v>ISO 14001</v>
      </c>
      <c r="C1498" t="str">
        <f t="shared" si="162"/>
        <v>Yes</v>
      </c>
      <c r="D1498" t="str">
        <f t="shared" si="163"/>
        <v>No</v>
      </c>
      <c r="E1498" s="1">
        <v>46017</v>
      </c>
      <c r="F1498" s="1">
        <v>45940</v>
      </c>
      <c r="G1498">
        <f t="shared" ca="1" si="164"/>
        <v>-143</v>
      </c>
      <c r="H1498" t="str">
        <f t="shared" ca="1" si="165"/>
        <v>Missing</v>
      </c>
      <c r="I1498">
        <f t="shared" ca="1" si="166"/>
        <v>1</v>
      </c>
      <c r="J1498" t="str">
        <f t="shared" si="167"/>
        <v>Environmental</v>
      </c>
    </row>
    <row r="1499" spans="1:10">
      <c r="A1499" t="str" cm="1">
        <f t="array" ref="A1499">INDEX(Vendor_Master!$A$2:$A$401, ROUNDUP((ROW()-1)/4, 0))</f>
        <v>VND-375</v>
      </c>
      <c r="B1499" t="str">
        <f t="shared" si="161"/>
        <v>Safety Certificate</v>
      </c>
      <c r="C1499" t="str">
        <f t="shared" si="162"/>
        <v>Yes</v>
      </c>
      <c r="D1499" t="str">
        <f t="shared" si="163"/>
        <v>No</v>
      </c>
      <c r="E1499" s="1">
        <v>46065</v>
      </c>
      <c r="F1499" s="1">
        <v>45948</v>
      </c>
      <c r="G1499">
        <f t="shared" ca="1" si="164"/>
        <v>-135</v>
      </c>
      <c r="H1499" t="str">
        <f t="shared" ca="1" si="165"/>
        <v>Missing</v>
      </c>
      <c r="I1499">
        <f t="shared" ca="1" si="166"/>
        <v>1</v>
      </c>
      <c r="J1499" t="str">
        <f t="shared" si="167"/>
        <v>Safety</v>
      </c>
    </row>
    <row r="1500" spans="1:10">
      <c r="A1500" t="str" cm="1">
        <f t="array" ref="A1500">INDEX(Vendor_Master!$A$2:$A$401, ROUNDUP((ROW()-1)/4, 0))</f>
        <v>VND-375</v>
      </c>
      <c r="B1500" t="str">
        <f t="shared" si="161"/>
        <v>Environmental Policy</v>
      </c>
      <c r="C1500" t="str">
        <f t="shared" si="162"/>
        <v>Yes</v>
      </c>
      <c r="D1500" t="str">
        <f t="shared" si="163"/>
        <v>No</v>
      </c>
      <c r="E1500" s="1">
        <v>46018</v>
      </c>
      <c r="F1500" s="1">
        <v>45986</v>
      </c>
      <c r="G1500">
        <f t="shared" ca="1" si="164"/>
        <v>-97</v>
      </c>
      <c r="H1500" t="str">
        <f t="shared" ca="1" si="165"/>
        <v>Missing</v>
      </c>
      <c r="I1500">
        <f t="shared" ca="1" si="166"/>
        <v>1</v>
      </c>
      <c r="J1500" t="str">
        <f t="shared" si="167"/>
        <v>Environmental</v>
      </c>
    </row>
    <row r="1501" spans="1:10">
      <c r="A1501" t="str" cm="1">
        <f t="array" ref="A1501">INDEX(Vendor_Master!$A$2:$A$401, ROUNDUP((ROW()-1)/4, 0))</f>
        <v>VND-375</v>
      </c>
      <c r="B1501" t="str">
        <f t="shared" si="161"/>
        <v>Sustainability Disclosure</v>
      </c>
      <c r="C1501" t="str">
        <f t="shared" si="162"/>
        <v>Yes</v>
      </c>
      <c r="D1501" t="str">
        <f t="shared" si="163"/>
        <v>No</v>
      </c>
      <c r="E1501" s="1">
        <v>45835</v>
      </c>
      <c r="F1501" s="1">
        <v>46028</v>
      </c>
      <c r="G1501">
        <f t="shared" ca="1" si="164"/>
        <v>-55</v>
      </c>
      <c r="H1501" t="str">
        <f t="shared" ca="1" si="165"/>
        <v>Missing</v>
      </c>
      <c r="I1501">
        <f t="shared" ca="1" si="166"/>
        <v>1</v>
      </c>
      <c r="J1501" t="str">
        <f t="shared" si="167"/>
        <v>Environmental</v>
      </c>
    </row>
    <row r="1502" spans="1:10">
      <c r="A1502" t="str" cm="1">
        <f t="array" ref="A1502">INDEX(Vendor_Master!$A$2:$A$401, ROUNDUP((ROW()-1)/4, 0))</f>
        <v>VND-376</v>
      </c>
      <c r="B1502" t="str">
        <f t="shared" si="161"/>
        <v>ISO 14001</v>
      </c>
      <c r="C1502" t="str">
        <f t="shared" si="162"/>
        <v>Yes</v>
      </c>
      <c r="D1502" t="str">
        <f t="shared" si="163"/>
        <v>No</v>
      </c>
      <c r="E1502" s="1">
        <v>45510</v>
      </c>
      <c r="F1502" s="1">
        <v>46003</v>
      </c>
      <c r="G1502">
        <f t="shared" ca="1" si="164"/>
        <v>-80</v>
      </c>
      <c r="H1502" t="str">
        <f t="shared" ca="1" si="165"/>
        <v>Missing</v>
      </c>
      <c r="I1502">
        <f t="shared" ca="1" si="166"/>
        <v>1</v>
      </c>
      <c r="J1502" t="str">
        <f t="shared" si="167"/>
        <v>Environmental</v>
      </c>
    </row>
    <row r="1503" spans="1:10">
      <c r="A1503" t="str" cm="1">
        <f t="array" ref="A1503">INDEX(Vendor_Master!$A$2:$A$401, ROUNDUP((ROW()-1)/4, 0))</f>
        <v>VND-376</v>
      </c>
      <c r="B1503" t="str">
        <f t="shared" si="161"/>
        <v>Safety Certificate</v>
      </c>
      <c r="C1503" t="str">
        <f t="shared" si="162"/>
        <v>Yes</v>
      </c>
      <c r="D1503" t="str">
        <f t="shared" si="163"/>
        <v>No</v>
      </c>
      <c r="E1503" s="1">
        <v>46031</v>
      </c>
      <c r="F1503" s="1">
        <v>45994</v>
      </c>
      <c r="G1503">
        <f t="shared" ca="1" si="164"/>
        <v>-89</v>
      </c>
      <c r="H1503" t="str">
        <f t="shared" ca="1" si="165"/>
        <v>Missing</v>
      </c>
      <c r="I1503">
        <f t="shared" ca="1" si="166"/>
        <v>1</v>
      </c>
      <c r="J1503" t="str">
        <f t="shared" si="167"/>
        <v>Safety</v>
      </c>
    </row>
    <row r="1504" spans="1:10">
      <c r="A1504" t="str" cm="1">
        <f t="array" ref="A1504">INDEX(Vendor_Master!$A$2:$A$401, ROUNDUP((ROW()-1)/4, 0))</f>
        <v>VND-376</v>
      </c>
      <c r="B1504" t="str">
        <f t="shared" si="161"/>
        <v>Environmental Policy</v>
      </c>
      <c r="C1504" t="str">
        <f t="shared" si="162"/>
        <v>Yes</v>
      </c>
      <c r="D1504" t="str">
        <f t="shared" si="163"/>
        <v>No</v>
      </c>
      <c r="E1504" s="1">
        <v>45700</v>
      </c>
      <c r="F1504" s="1">
        <v>45958</v>
      </c>
      <c r="G1504">
        <f t="shared" ca="1" si="164"/>
        <v>-125</v>
      </c>
      <c r="H1504" t="str">
        <f t="shared" ca="1" si="165"/>
        <v>Missing</v>
      </c>
      <c r="I1504">
        <f t="shared" ca="1" si="166"/>
        <v>1</v>
      </c>
      <c r="J1504" t="str">
        <f t="shared" si="167"/>
        <v>Environmental</v>
      </c>
    </row>
    <row r="1505" spans="1:10">
      <c r="A1505" t="str" cm="1">
        <f t="array" ref="A1505">INDEX(Vendor_Master!$A$2:$A$401, ROUNDUP((ROW()-1)/4, 0))</f>
        <v>VND-376</v>
      </c>
      <c r="B1505" t="str">
        <f t="shared" si="161"/>
        <v>Sustainability Disclosure</v>
      </c>
      <c r="C1505" t="str">
        <f t="shared" si="162"/>
        <v>Yes</v>
      </c>
      <c r="D1505" t="str">
        <f t="shared" si="163"/>
        <v>No</v>
      </c>
      <c r="E1505" s="1">
        <v>45586</v>
      </c>
      <c r="F1505" s="1">
        <v>46002</v>
      </c>
      <c r="G1505">
        <f t="shared" ca="1" si="164"/>
        <v>-81</v>
      </c>
      <c r="H1505" t="str">
        <f t="shared" ca="1" si="165"/>
        <v>Missing</v>
      </c>
      <c r="I1505">
        <f t="shared" ca="1" si="166"/>
        <v>1</v>
      </c>
      <c r="J1505" t="str">
        <f t="shared" si="167"/>
        <v>Environmental</v>
      </c>
    </row>
    <row r="1506" spans="1:10">
      <c r="A1506" t="str" cm="1">
        <f t="array" ref="A1506">INDEX(Vendor_Master!$A$2:$A$401, ROUNDUP((ROW()-1)/4, 0))</f>
        <v>VND-377</v>
      </c>
      <c r="B1506" t="str">
        <f t="shared" si="161"/>
        <v>ISO 14001</v>
      </c>
      <c r="C1506" t="str">
        <f t="shared" si="162"/>
        <v>Yes</v>
      </c>
      <c r="D1506" t="str">
        <f t="shared" si="163"/>
        <v>No</v>
      </c>
      <c r="E1506" s="1">
        <v>45679</v>
      </c>
      <c r="F1506" s="1">
        <v>46011</v>
      </c>
      <c r="G1506">
        <f t="shared" ca="1" si="164"/>
        <v>-72</v>
      </c>
      <c r="H1506" t="str">
        <f t="shared" ca="1" si="165"/>
        <v>Missing</v>
      </c>
      <c r="I1506">
        <f t="shared" ca="1" si="166"/>
        <v>1</v>
      </c>
      <c r="J1506" t="str">
        <f t="shared" si="167"/>
        <v>Environmental</v>
      </c>
    </row>
    <row r="1507" spans="1:10">
      <c r="A1507" t="str" cm="1">
        <f t="array" ref="A1507">INDEX(Vendor_Master!$A$2:$A$401, ROUNDUP((ROW()-1)/4, 0))</f>
        <v>VND-377</v>
      </c>
      <c r="B1507" t="str">
        <f t="shared" si="161"/>
        <v>Safety Certificate</v>
      </c>
      <c r="C1507" t="str">
        <f t="shared" si="162"/>
        <v>Yes</v>
      </c>
      <c r="D1507" t="str">
        <f t="shared" si="163"/>
        <v>No</v>
      </c>
      <c r="E1507" s="1">
        <v>45570</v>
      </c>
      <c r="F1507" s="1">
        <v>45933</v>
      </c>
      <c r="G1507">
        <f t="shared" ca="1" si="164"/>
        <v>-150</v>
      </c>
      <c r="H1507" t="str">
        <f t="shared" ca="1" si="165"/>
        <v>Missing</v>
      </c>
      <c r="I1507">
        <f t="shared" ca="1" si="166"/>
        <v>1</v>
      </c>
      <c r="J1507" t="str">
        <f t="shared" si="167"/>
        <v>Safety</v>
      </c>
    </row>
    <row r="1508" spans="1:10">
      <c r="A1508" t="str" cm="1">
        <f t="array" ref="A1508">INDEX(Vendor_Master!$A$2:$A$401, ROUNDUP((ROW()-1)/4, 0))</f>
        <v>VND-377</v>
      </c>
      <c r="B1508" t="str">
        <f t="shared" si="161"/>
        <v>Environmental Policy</v>
      </c>
      <c r="C1508" t="str">
        <f t="shared" si="162"/>
        <v>Yes</v>
      </c>
      <c r="D1508" t="str">
        <f t="shared" si="163"/>
        <v>No</v>
      </c>
      <c r="E1508" s="1">
        <v>45633</v>
      </c>
      <c r="F1508" s="1">
        <v>46026</v>
      </c>
      <c r="G1508">
        <f t="shared" ca="1" si="164"/>
        <v>-57</v>
      </c>
      <c r="H1508" t="str">
        <f t="shared" ca="1" si="165"/>
        <v>Missing</v>
      </c>
      <c r="I1508">
        <f t="shared" ca="1" si="166"/>
        <v>1</v>
      </c>
      <c r="J1508" t="str">
        <f t="shared" si="167"/>
        <v>Environmental</v>
      </c>
    </row>
    <row r="1509" spans="1:10">
      <c r="A1509" t="str" cm="1">
        <f t="array" ref="A1509">INDEX(Vendor_Master!$A$2:$A$401, ROUNDUP((ROW()-1)/4, 0))</f>
        <v>VND-377</v>
      </c>
      <c r="B1509" t="str">
        <f t="shared" si="161"/>
        <v>Sustainability Disclosure</v>
      </c>
      <c r="C1509" t="str">
        <f t="shared" si="162"/>
        <v>Yes</v>
      </c>
      <c r="D1509" t="str">
        <f t="shared" si="163"/>
        <v>No</v>
      </c>
      <c r="E1509" s="1">
        <v>45784</v>
      </c>
      <c r="F1509" s="1">
        <v>46017</v>
      </c>
      <c r="G1509">
        <f t="shared" ca="1" si="164"/>
        <v>-66</v>
      </c>
      <c r="H1509" t="str">
        <f t="shared" ca="1" si="165"/>
        <v>Missing</v>
      </c>
      <c r="I1509">
        <f t="shared" ca="1" si="166"/>
        <v>1</v>
      </c>
      <c r="J1509" t="str">
        <f t="shared" si="167"/>
        <v>Environmental</v>
      </c>
    </row>
    <row r="1510" spans="1:10">
      <c r="A1510" t="str" cm="1">
        <f t="array" ref="A1510">INDEX(Vendor_Master!$A$2:$A$401, ROUNDUP((ROW()-1)/4, 0))</f>
        <v>VND-378</v>
      </c>
      <c r="B1510" t="str">
        <f t="shared" si="161"/>
        <v>ISO 14001</v>
      </c>
      <c r="C1510" t="str">
        <f t="shared" si="162"/>
        <v>Yes</v>
      </c>
      <c r="D1510" t="str">
        <f t="shared" si="163"/>
        <v>No</v>
      </c>
      <c r="E1510" s="1">
        <v>45674</v>
      </c>
      <c r="F1510" s="1">
        <v>45984</v>
      </c>
      <c r="G1510">
        <f t="shared" ca="1" si="164"/>
        <v>-99</v>
      </c>
      <c r="H1510" t="str">
        <f t="shared" ca="1" si="165"/>
        <v>Missing</v>
      </c>
      <c r="I1510">
        <f t="shared" ca="1" si="166"/>
        <v>1</v>
      </c>
      <c r="J1510" t="str">
        <f t="shared" si="167"/>
        <v>Environmental</v>
      </c>
    </row>
    <row r="1511" spans="1:10">
      <c r="A1511" t="str" cm="1">
        <f t="array" ref="A1511">INDEX(Vendor_Master!$A$2:$A$401, ROUNDUP((ROW()-1)/4, 0))</f>
        <v>VND-378</v>
      </c>
      <c r="B1511" t="str">
        <f t="shared" si="161"/>
        <v>Safety Certificate</v>
      </c>
      <c r="C1511" t="str">
        <f t="shared" si="162"/>
        <v>Yes</v>
      </c>
      <c r="D1511" t="str">
        <f t="shared" si="163"/>
        <v>No</v>
      </c>
      <c r="E1511" s="1">
        <v>45404</v>
      </c>
      <c r="F1511" s="1">
        <v>45974</v>
      </c>
      <c r="G1511">
        <f t="shared" ca="1" si="164"/>
        <v>-109</v>
      </c>
      <c r="H1511" t="str">
        <f t="shared" ca="1" si="165"/>
        <v>Missing</v>
      </c>
      <c r="I1511">
        <f t="shared" ca="1" si="166"/>
        <v>1</v>
      </c>
      <c r="J1511" t="str">
        <f t="shared" si="167"/>
        <v>Safety</v>
      </c>
    </row>
    <row r="1512" spans="1:10">
      <c r="A1512" t="str" cm="1">
        <f t="array" ref="A1512">INDEX(Vendor_Master!$A$2:$A$401, ROUNDUP((ROW()-1)/4, 0))</f>
        <v>VND-378</v>
      </c>
      <c r="B1512" t="str">
        <f t="shared" si="161"/>
        <v>Environmental Policy</v>
      </c>
      <c r="C1512" t="str">
        <f t="shared" si="162"/>
        <v>Yes</v>
      </c>
      <c r="D1512" t="str">
        <f t="shared" si="163"/>
        <v>No</v>
      </c>
      <c r="E1512" s="1">
        <v>45728</v>
      </c>
      <c r="F1512" s="1">
        <v>46049</v>
      </c>
      <c r="G1512">
        <f t="shared" ca="1" si="164"/>
        <v>-34</v>
      </c>
      <c r="H1512" t="str">
        <f t="shared" ca="1" si="165"/>
        <v>Missing</v>
      </c>
      <c r="I1512">
        <f t="shared" ca="1" si="166"/>
        <v>1</v>
      </c>
      <c r="J1512" t="str">
        <f t="shared" si="167"/>
        <v>Environmental</v>
      </c>
    </row>
    <row r="1513" spans="1:10">
      <c r="A1513" t="str" cm="1">
        <f t="array" ref="A1513">INDEX(Vendor_Master!$A$2:$A$401, ROUNDUP((ROW()-1)/4, 0))</f>
        <v>VND-378</v>
      </c>
      <c r="B1513" t="str">
        <f t="shared" si="161"/>
        <v>Sustainability Disclosure</v>
      </c>
      <c r="C1513" t="str">
        <f t="shared" si="162"/>
        <v>Yes</v>
      </c>
      <c r="D1513" t="str">
        <f t="shared" si="163"/>
        <v>No</v>
      </c>
      <c r="E1513" s="1">
        <v>45454</v>
      </c>
      <c r="F1513" s="1">
        <v>46023</v>
      </c>
      <c r="G1513">
        <f t="shared" ca="1" si="164"/>
        <v>-60</v>
      </c>
      <c r="H1513" t="str">
        <f t="shared" ca="1" si="165"/>
        <v>Missing</v>
      </c>
      <c r="I1513">
        <f t="shared" ca="1" si="166"/>
        <v>1</v>
      </c>
      <c r="J1513" t="str">
        <f t="shared" si="167"/>
        <v>Environmental</v>
      </c>
    </row>
    <row r="1514" spans="1:10">
      <c r="A1514" t="str" cm="1">
        <f t="array" ref="A1514">INDEX(Vendor_Master!$A$2:$A$401, ROUNDUP((ROW()-1)/4, 0))</f>
        <v>VND-379</v>
      </c>
      <c r="B1514" t="str">
        <f t="shared" si="161"/>
        <v>ISO 14001</v>
      </c>
      <c r="C1514" t="str">
        <f t="shared" si="162"/>
        <v>Yes</v>
      </c>
      <c r="D1514" t="str">
        <f t="shared" si="163"/>
        <v>No</v>
      </c>
      <c r="E1514" s="1">
        <v>45757</v>
      </c>
      <c r="F1514" s="1">
        <v>46053</v>
      </c>
      <c r="G1514">
        <f t="shared" ca="1" si="164"/>
        <v>-30</v>
      </c>
      <c r="H1514" t="str">
        <f t="shared" ca="1" si="165"/>
        <v>Missing</v>
      </c>
      <c r="I1514">
        <f t="shared" ca="1" si="166"/>
        <v>1</v>
      </c>
      <c r="J1514" t="str">
        <f t="shared" si="167"/>
        <v>Environmental</v>
      </c>
    </row>
    <row r="1515" spans="1:10">
      <c r="A1515" t="str" cm="1">
        <f t="array" ref="A1515">INDEX(Vendor_Master!$A$2:$A$401, ROUNDUP((ROW()-1)/4, 0))</f>
        <v>VND-379</v>
      </c>
      <c r="B1515" t="str">
        <f t="shared" si="161"/>
        <v>Safety Certificate</v>
      </c>
      <c r="C1515" t="str">
        <f t="shared" si="162"/>
        <v>Yes</v>
      </c>
      <c r="D1515" t="str">
        <f t="shared" si="163"/>
        <v>No</v>
      </c>
      <c r="E1515" s="1">
        <v>46028</v>
      </c>
      <c r="F1515" s="1">
        <v>45946</v>
      </c>
      <c r="G1515">
        <f t="shared" ca="1" si="164"/>
        <v>-137</v>
      </c>
      <c r="H1515" t="str">
        <f t="shared" ca="1" si="165"/>
        <v>Missing</v>
      </c>
      <c r="I1515">
        <f t="shared" ca="1" si="166"/>
        <v>1</v>
      </c>
      <c r="J1515" t="str">
        <f t="shared" si="167"/>
        <v>Safety</v>
      </c>
    </row>
    <row r="1516" spans="1:10">
      <c r="A1516" t="str" cm="1">
        <f t="array" ref="A1516">INDEX(Vendor_Master!$A$2:$A$401, ROUNDUP((ROW()-1)/4, 0))</f>
        <v>VND-379</v>
      </c>
      <c r="B1516" t="str">
        <f t="shared" si="161"/>
        <v>Environmental Policy</v>
      </c>
      <c r="C1516" t="str">
        <f t="shared" si="162"/>
        <v>Yes</v>
      </c>
      <c r="D1516" t="str">
        <f t="shared" si="163"/>
        <v>No</v>
      </c>
      <c r="E1516" s="1">
        <v>45794</v>
      </c>
      <c r="F1516" s="1">
        <v>46075</v>
      </c>
      <c r="G1516">
        <f t="shared" ca="1" si="164"/>
        <v>-8</v>
      </c>
      <c r="H1516" t="str">
        <f t="shared" ca="1" si="165"/>
        <v>Missing</v>
      </c>
      <c r="I1516">
        <f t="shared" ca="1" si="166"/>
        <v>1</v>
      </c>
      <c r="J1516" t="str">
        <f t="shared" si="167"/>
        <v>Environmental</v>
      </c>
    </row>
    <row r="1517" spans="1:10">
      <c r="A1517" t="str" cm="1">
        <f t="array" ref="A1517">INDEX(Vendor_Master!$A$2:$A$401, ROUNDUP((ROW()-1)/4, 0))</f>
        <v>VND-379</v>
      </c>
      <c r="B1517" t="str">
        <f t="shared" si="161"/>
        <v>Sustainability Disclosure</v>
      </c>
      <c r="C1517" t="str">
        <f t="shared" si="162"/>
        <v>Yes</v>
      </c>
      <c r="D1517" t="str">
        <f t="shared" si="163"/>
        <v>No</v>
      </c>
      <c r="E1517" s="1">
        <v>45897</v>
      </c>
      <c r="F1517" s="1">
        <v>46070</v>
      </c>
      <c r="G1517">
        <f t="shared" ca="1" si="164"/>
        <v>-13</v>
      </c>
      <c r="H1517" t="str">
        <f t="shared" ca="1" si="165"/>
        <v>Missing</v>
      </c>
      <c r="I1517">
        <f t="shared" ca="1" si="166"/>
        <v>1</v>
      </c>
      <c r="J1517" t="str">
        <f t="shared" si="167"/>
        <v>Environmental</v>
      </c>
    </row>
    <row r="1518" spans="1:10">
      <c r="A1518" t="str" cm="1">
        <f t="array" ref="A1518">INDEX(Vendor_Master!$A$2:$A$401, ROUNDUP((ROW()-1)/4, 0))</f>
        <v>VND-380</v>
      </c>
      <c r="B1518" t="str">
        <f t="shared" si="161"/>
        <v>ISO 14001</v>
      </c>
      <c r="C1518" t="str">
        <f t="shared" si="162"/>
        <v>Yes</v>
      </c>
      <c r="D1518" t="str">
        <f t="shared" si="163"/>
        <v>No</v>
      </c>
      <c r="E1518" s="1">
        <v>45949</v>
      </c>
      <c r="F1518" s="1">
        <v>45951</v>
      </c>
      <c r="G1518">
        <f t="shared" ca="1" si="164"/>
        <v>-132</v>
      </c>
      <c r="H1518" t="str">
        <f t="shared" ca="1" si="165"/>
        <v>Missing</v>
      </c>
      <c r="I1518">
        <f t="shared" ca="1" si="166"/>
        <v>1</v>
      </c>
      <c r="J1518" t="str">
        <f t="shared" si="167"/>
        <v>Environmental</v>
      </c>
    </row>
    <row r="1519" spans="1:10">
      <c r="A1519" t="str" cm="1">
        <f t="array" ref="A1519">INDEX(Vendor_Master!$A$2:$A$401, ROUNDUP((ROW()-1)/4, 0))</f>
        <v>VND-380</v>
      </c>
      <c r="B1519" t="str">
        <f t="shared" si="161"/>
        <v>Safety Certificate</v>
      </c>
      <c r="C1519" t="str">
        <f t="shared" si="162"/>
        <v>Yes</v>
      </c>
      <c r="D1519" t="str">
        <f t="shared" si="163"/>
        <v>No</v>
      </c>
      <c r="E1519" s="1">
        <v>45460</v>
      </c>
      <c r="F1519" s="1">
        <v>46037</v>
      </c>
      <c r="G1519">
        <f t="shared" ca="1" si="164"/>
        <v>-46</v>
      </c>
      <c r="H1519" t="str">
        <f t="shared" ca="1" si="165"/>
        <v>Missing</v>
      </c>
      <c r="I1519">
        <f t="shared" ca="1" si="166"/>
        <v>1</v>
      </c>
      <c r="J1519" t="str">
        <f t="shared" si="167"/>
        <v>Safety</v>
      </c>
    </row>
    <row r="1520" spans="1:10">
      <c r="A1520" t="str" cm="1">
        <f t="array" ref="A1520">INDEX(Vendor_Master!$A$2:$A$401, ROUNDUP((ROW()-1)/4, 0))</f>
        <v>VND-380</v>
      </c>
      <c r="B1520" t="str">
        <f t="shared" si="161"/>
        <v>Environmental Policy</v>
      </c>
      <c r="C1520" t="str">
        <f t="shared" si="162"/>
        <v>Yes</v>
      </c>
      <c r="D1520" t="str">
        <f t="shared" si="163"/>
        <v>No</v>
      </c>
      <c r="E1520" s="1">
        <v>46024</v>
      </c>
      <c r="F1520" s="1">
        <v>45934</v>
      </c>
      <c r="G1520">
        <f t="shared" ca="1" si="164"/>
        <v>-149</v>
      </c>
      <c r="H1520" t="str">
        <f t="shared" ca="1" si="165"/>
        <v>Missing</v>
      </c>
      <c r="I1520">
        <f t="shared" ca="1" si="166"/>
        <v>1</v>
      </c>
      <c r="J1520" t="str">
        <f t="shared" si="167"/>
        <v>Environmental</v>
      </c>
    </row>
    <row r="1521" spans="1:10">
      <c r="A1521" t="str" cm="1">
        <f t="array" ref="A1521">INDEX(Vendor_Master!$A$2:$A$401, ROUNDUP((ROW()-1)/4, 0))</f>
        <v>VND-380</v>
      </c>
      <c r="B1521" t="str">
        <f t="shared" si="161"/>
        <v>Sustainability Disclosure</v>
      </c>
      <c r="C1521" t="str">
        <f t="shared" si="162"/>
        <v>Yes</v>
      </c>
      <c r="D1521" t="str">
        <f t="shared" si="163"/>
        <v>No</v>
      </c>
      <c r="E1521" s="1">
        <v>46021</v>
      </c>
      <c r="F1521" s="1">
        <v>46056</v>
      </c>
      <c r="G1521">
        <f t="shared" ca="1" si="164"/>
        <v>-27</v>
      </c>
      <c r="H1521" t="str">
        <f t="shared" ca="1" si="165"/>
        <v>Missing</v>
      </c>
      <c r="I1521">
        <f t="shared" ca="1" si="166"/>
        <v>1</v>
      </c>
      <c r="J1521" t="str">
        <f t="shared" si="167"/>
        <v>Environmental</v>
      </c>
    </row>
    <row r="1522" spans="1:10">
      <c r="A1522" t="str" cm="1">
        <f t="array" ref="A1522">INDEX(Vendor_Master!$A$2:$A$401, ROUNDUP((ROW()-1)/4, 0))</f>
        <v>VND-381</v>
      </c>
      <c r="B1522" t="str">
        <f t="shared" si="161"/>
        <v>ISO 14001</v>
      </c>
      <c r="C1522" t="str">
        <f t="shared" si="162"/>
        <v>Yes</v>
      </c>
      <c r="D1522" t="str">
        <f t="shared" si="163"/>
        <v>No</v>
      </c>
      <c r="E1522" s="1">
        <v>45920</v>
      </c>
      <c r="F1522" s="1">
        <v>45999</v>
      </c>
      <c r="G1522">
        <f t="shared" ca="1" si="164"/>
        <v>-84</v>
      </c>
      <c r="H1522" t="str">
        <f t="shared" ca="1" si="165"/>
        <v>Missing</v>
      </c>
      <c r="I1522">
        <f t="shared" ca="1" si="166"/>
        <v>1</v>
      </c>
      <c r="J1522" t="str">
        <f t="shared" si="167"/>
        <v>Environmental</v>
      </c>
    </row>
    <row r="1523" spans="1:10">
      <c r="A1523" t="str" cm="1">
        <f t="array" ref="A1523">INDEX(Vendor_Master!$A$2:$A$401, ROUNDUP((ROW()-1)/4, 0))</f>
        <v>VND-381</v>
      </c>
      <c r="B1523" t="str">
        <f t="shared" si="161"/>
        <v>Safety Certificate</v>
      </c>
      <c r="C1523" t="str">
        <f t="shared" si="162"/>
        <v>Yes</v>
      </c>
      <c r="D1523" t="str">
        <f t="shared" si="163"/>
        <v>No</v>
      </c>
      <c r="E1523" s="1">
        <v>45653</v>
      </c>
      <c r="F1523" s="1">
        <v>45967</v>
      </c>
      <c r="G1523">
        <f t="shared" ca="1" si="164"/>
        <v>-116</v>
      </c>
      <c r="H1523" t="str">
        <f t="shared" ca="1" si="165"/>
        <v>Missing</v>
      </c>
      <c r="I1523">
        <f t="shared" ca="1" si="166"/>
        <v>1</v>
      </c>
      <c r="J1523" t="str">
        <f t="shared" si="167"/>
        <v>Safety</v>
      </c>
    </row>
    <row r="1524" spans="1:10">
      <c r="A1524" t="str" cm="1">
        <f t="array" ref="A1524">INDEX(Vendor_Master!$A$2:$A$401, ROUNDUP((ROW()-1)/4, 0))</f>
        <v>VND-381</v>
      </c>
      <c r="B1524" t="str">
        <f t="shared" si="161"/>
        <v>Environmental Policy</v>
      </c>
      <c r="C1524" t="str">
        <f t="shared" si="162"/>
        <v>Yes</v>
      </c>
      <c r="D1524" t="str">
        <f t="shared" si="163"/>
        <v>No</v>
      </c>
      <c r="E1524" s="1">
        <v>45989</v>
      </c>
      <c r="F1524" s="1">
        <v>46077</v>
      </c>
      <c r="G1524">
        <f t="shared" ca="1" si="164"/>
        <v>-6</v>
      </c>
      <c r="H1524" t="str">
        <f t="shared" ca="1" si="165"/>
        <v>Missing</v>
      </c>
      <c r="I1524">
        <f t="shared" ca="1" si="166"/>
        <v>1</v>
      </c>
      <c r="J1524" t="str">
        <f t="shared" si="167"/>
        <v>Environmental</v>
      </c>
    </row>
    <row r="1525" spans="1:10">
      <c r="A1525" t="str" cm="1">
        <f t="array" ref="A1525">INDEX(Vendor_Master!$A$2:$A$401, ROUNDUP((ROW()-1)/4, 0))</f>
        <v>VND-381</v>
      </c>
      <c r="B1525" t="str">
        <f t="shared" si="161"/>
        <v>Sustainability Disclosure</v>
      </c>
      <c r="C1525" t="str">
        <f t="shared" si="162"/>
        <v>Yes</v>
      </c>
      <c r="D1525" t="str">
        <f t="shared" si="163"/>
        <v>No</v>
      </c>
      <c r="E1525" s="1">
        <v>45441</v>
      </c>
      <c r="F1525" s="1">
        <v>46017</v>
      </c>
      <c r="G1525">
        <f t="shared" ca="1" si="164"/>
        <v>-66</v>
      </c>
      <c r="H1525" t="str">
        <f t="shared" ca="1" si="165"/>
        <v>Missing</v>
      </c>
      <c r="I1525">
        <f t="shared" ca="1" si="166"/>
        <v>1</v>
      </c>
      <c r="J1525" t="str">
        <f t="shared" si="167"/>
        <v>Environmental</v>
      </c>
    </row>
    <row r="1526" spans="1:10">
      <c r="A1526" t="str" cm="1">
        <f t="array" ref="A1526">INDEX(Vendor_Master!$A$2:$A$401, ROUNDUP((ROW()-1)/4, 0))</f>
        <v>VND-382</v>
      </c>
      <c r="B1526" t="str">
        <f t="shared" si="161"/>
        <v>ISO 14001</v>
      </c>
      <c r="C1526" t="str">
        <f t="shared" si="162"/>
        <v>Yes</v>
      </c>
      <c r="D1526" t="str">
        <f t="shared" si="163"/>
        <v>No</v>
      </c>
      <c r="E1526" s="1">
        <v>45494</v>
      </c>
      <c r="F1526" s="1">
        <v>46007</v>
      </c>
      <c r="G1526">
        <f t="shared" ca="1" si="164"/>
        <v>-76</v>
      </c>
      <c r="H1526" t="str">
        <f t="shared" ca="1" si="165"/>
        <v>Missing</v>
      </c>
      <c r="I1526">
        <f t="shared" ca="1" si="166"/>
        <v>1</v>
      </c>
      <c r="J1526" t="str">
        <f t="shared" si="167"/>
        <v>Environmental</v>
      </c>
    </row>
    <row r="1527" spans="1:10">
      <c r="A1527" t="str" cm="1">
        <f t="array" ref="A1527">INDEX(Vendor_Master!$A$2:$A$401, ROUNDUP((ROW()-1)/4, 0))</f>
        <v>VND-382</v>
      </c>
      <c r="B1527" t="str">
        <f t="shared" si="161"/>
        <v>Safety Certificate</v>
      </c>
      <c r="C1527" t="str">
        <f t="shared" si="162"/>
        <v>Yes</v>
      </c>
      <c r="D1527" t="str">
        <f t="shared" si="163"/>
        <v>No</v>
      </c>
      <c r="E1527" s="1">
        <v>45710</v>
      </c>
      <c r="F1527" s="1">
        <v>45965</v>
      </c>
      <c r="G1527">
        <f t="shared" ca="1" si="164"/>
        <v>-118</v>
      </c>
      <c r="H1527" t="str">
        <f t="shared" ca="1" si="165"/>
        <v>Missing</v>
      </c>
      <c r="I1527">
        <f t="shared" ca="1" si="166"/>
        <v>1</v>
      </c>
      <c r="J1527" t="str">
        <f t="shared" si="167"/>
        <v>Safety</v>
      </c>
    </row>
    <row r="1528" spans="1:10">
      <c r="A1528" t="str" cm="1">
        <f t="array" ref="A1528">INDEX(Vendor_Master!$A$2:$A$401, ROUNDUP((ROW()-1)/4, 0))</f>
        <v>VND-382</v>
      </c>
      <c r="B1528" t="str">
        <f t="shared" si="161"/>
        <v>Environmental Policy</v>
      </c>
      <c r="C1528" t="str">
        <f t="shared" si="162"/>
        <v>Yes</v>
      </c>
      <c r="D1528" t="str">
        <f t="shared" si="163"/>
        <v>No</v>
      </c>
      <c r="E1528" s="1">
        <v>45381</v>
      </c>
      <c r="F1528" s="1">
        <v>46024</v>
      </c>
      <c r="G1528">
        <f t="shared" ca="1" si="164"/>
        <v>-59</v>
      </c>
      <c r="H1528" t="str">
        <f t="shared" ca="1" si="165"/>
        <v>Missing</v>
      </c>
      <c r="I1528">
        <f t="shared" ca="1" si="166"/>
        <v>1</v>
      </c>
      <c r="J1528" t="str">
        <f t="shared" si="167"/>
        <v>Environmental</v>
      </c>
    </row>
    <row r="1529" spans="1:10">
      <c r="A1529" t="str" cm="1">
        <f t="array" ref="A1529">INDEX(Vendor_Master!$A$2:$A$401, ROUNDUP((ROW()-1)/4, 0))</f>
        <v>VND-382</v>
      </c>
      <c r="B1529" t="str">
        <f t="shared" si="161"/>
        <v>Sustainability Disclosure</v>
      </c>
      <c r="C1529" t="str">
        <f t="shared" si="162"/>
        <v>Yes</v>
      </c>
      <c r="D1529" t="str">
        <f t="shared" si="163"/>
        <v>No</v>
      </c>
      <c r="E1529" s="1">
        <v>45484</v>
      </c>
      <c r="F1529" s="1">
        <v>46064</v>
      </c>
      <c r="G1529">
        <f t="shared" ca="1" si="164"/>
        <v>-19</v>
      </c>
      <c r="H1529" t="str">
        <f t="shared" ca="1" si="165"/>
        <v>Missing</v>
      </c>
      <c r="I1529">
        <f t="shared" ca="1" si="166"/>
        <v>1</v>
      </c>
      <c r="J1529" t="str">
        <f t="shared" si="167"/>
        <v>Environmental</v>
      </c>
    </row>
    <row r="1530" spans="1:10">
      <c r="A1530" t="str" cm="1">
        <f t="array" ref="A1530">INDEX(Vendor_Master!$A$2:$A$401, ROUNDUP((ROW()-1)/4, 0))</f>
        <v>VND-383</v>
      </c>
      <c r="B1530" t="str">
        <f t="shared" si="161"/>
        <v>ISO 14001</v>
      </c>
      <c r="C1530" t="str">
        <f t="shared" si="162"/>
        <v>Yes</v>
      </c>
      <c r="D1530" t="str">
        <f t="shared" si="163"/>
        <v>No</v>
      </c>
      <c r="E1530" s="1">
        <v>45460</v>
      </c>
      <c r="F1530" s="1">
        <v>45991</v>
      </c>
      <c r="G1530">
        <f t="shared" ca="1" si="164"/>
        <v>-92</v>
      </c>
      <c r="H1530" t="str">
        <f t="shared" ca="1" si="165"/>
        <v>Missing</v>
      </c>
      <c r="I1530">
        <f t="shared" ca="1" si="166"/>
        <v>1</v>
      </c>
      <c r="J1530" t="str">
        <f t="shared" si="167"/>
        <v>Environmental</v>
      </c>
    </row>
    <row r="1531" spans="1:10">
      <c r="A1531" t="str" cm="1">
        <f t="array" ref="A1531">INDEX(Vendor_Master!$A$2:$A$401, ROUNDUP((ROW()-1)/4, 0))</f>
        <v>VND-383</v>
      </c>
      <c r="B1531" t="str">
        <f t="shared" si="161"/>
        <v>Safety Certificate</v>
      </c>
      <c r="C1531" t="str">
        <f t="shared" si="162"/>
        <v>Yes</v>
      </c>
      <c r="D1531" t="str">
        <f t="shared" si="163"/>
        <v>No</v>
      </c>
      <c r="E1531" s="1">
        <v>45577</v>
      </c>
      <c r="F1531" s="1">
        <v>45976</v>
      </c>
      <c r="G1531">
        <f t="shared" ca="1" si="164"/>
        <v>-107</v>
      </c>
      <c r="H1531" t="str">
        <f t="shared" ca="1" si="165"/>
        <v>Missing</v>
      </c>
      <c r="I1531">
        <f t="shared" ca="1" si="166"/>
        <v>1</v>
      </c>
      <c r="J1531" t="str">
        <f t="shared" si="167"/>
        <v>Safety</v>
      </c>
    </row>
    <row r="1532" spans="1:10">
      <c r="A1532" t="str" cm="1">
        <f t="array" ref="A1532">INDEX(Vendor_Master!$A$2:$A$401, ROUNDUP((ROW()-1)/4, 0))</f>
        <v>VND-383</v>
      </c>
      <c r="B1532" t="str">
        <f t="shared" si="161"/>
        <v>Environmental Policy</v>
      </c>
      <c r="C1532" t="str">
        <f t="shared" si="162"/>
        <v>Yes</v>
      </c>
      <c r="D1532" t="str">
        <f t="shared" si="163"/>
        <v>No</v>
      </c>
      <c r="E1532" s="1">
        <v>45832</v>
      </c>
      <c r="F1532" s="1">
        <v>46034</v>
      </c>
      <c r="G1532">
        <f t="shared" ca="1" si="164"/>
        <v>-49</v>
      </c>
      <c r="H1532" t="str">
        <f t="shared" ca="1" si="165"/>
        <v>Missing</v>
      </c>
      <c r="I1532">
        <f t="shared" ca="1" si="166"/>
        <v>1</v>
      </c>
      <c r="J1532" t="str">
        <f t="shared" si="167"/>
        <v>Environmental</v>
      </c>
    </row>
    <row r="1533" spans="1:10">
      <c r="A1533" t="str" cm="1">
        <f t="array" ref="A1533">INDEX(Vendor_Master!$A$2:$A$401, ROUNDUP((ROW()-1)/4, 0))</f>
        <v>VND-383</v>
      </c>
      <c r="B1533" t="str">
        <f t="shared" si="161"/>
        <v>Sustainability Disclosure</v>
      </c>
      <c r="C1533" t="str">
        <f t="shared" si="162"/>
        <v>Yes</v>
      </c>
      <c r="D1533" t="str">
        <f t="shared" si="163"/>
        <v>No</v>
      </c>
      <c r="E1533" s="1">
        <v>45973</v>
      </c>
      <c r="F1533" s="1">
        <v>45998</v>
      </c>
      <c r="G1533">
        <f t="shared" ca="1" si="164"/>
        <v>-85</v>
      </c>
      <c r="H1533" t="str">
        <f t="shared" ca="1" si="165"/>
        <v>Missing</v>
      </c>
      <c r="I1533">
        <f t="shared" ca="1" si="166"/>
        <v>1</v>
      </c>
      <c r="J1533" t="str">
        <f t="shared" si="167"/>
        <v>Environmental</v>
      </c>
    </row>
    <row r="1534" spans="1:10">
      <c r="A1534" t="str" cm="1">
        <f t="array" ref="A1534">INDEX(Vendor_Master!$A$2:$A$401, ROUNDUP((ROW()-1)/4, 0))</f>
        <v>VND-384</v>
      </c>
      <c r="B1534" t="str">
        <f t="shared" si="161"/>
        <v>ISO 14001</v>
      </c>
      <c r="C1534" t="str">
        <f t="shared" si="162"/>
        <v>Yes</v>
      </c>
      <c r="D1534" t="str">
        <f t="shared" si="163"/>
        <v>No</v>
      </c>
      <c r="E1534" s="1">
        <v>45756</v>
      </c>
      <c r="F1534" s="1">
        <v>45934</v>
      </c>
      <c r="G1534">
        <f t="shared" ca="1" si="164"/>
        <v>-149</v>
      </c>
      <c r="H1534" t="str">
        <f t="shared" ca="1" si="165"/>
        <v>Missing</v>
      </c>
      <c r="I1534">
        <f t="shared" ca="1" si="166"/>
        <v>1</v>
      </c>
      <c r="J1534" t="str">
        <f t="shared" si="167"/>
        <v>Environmental</v>
      </c>
    </row>
    <row r="1535" spans="1:10">
      <c r="A1535" t="str" cm="1">
        <f t="array" ref="A1535">INDEX(Vendor_Master!$A$2:$A$401, ROUNDUP((ROW()-1)/4, 0))</f>
        <v>VND-384</v>
      </c>
      <c r="B1535" t="str">
        <f t="shared" si="161"/>
        <v>Safety Certificate</v>
      </c>
      <c r="C1535" t="str">
        <f t="shared" si="162"/>
        <v>Yes</v>
      </c>
      <c r="D1535" t="str">
        <f t="shared" si="163"/>
        <v>No</v>
      </c>
      <c r="E1535" s="1">
        <v>45704</v>
      </c>
      <c r="F1535" s="1">
        <v>45968</v>
      </c>
      <c r="G1535">
        <f t="shared" ca="1" si="164"/>
        <v>-115</v>
      </c>
      <c r="H1535" t="str">
        <f t="shared" ca="1" si="165"/>
        <v>Missing</v>
      </c>
      <c r="I1535">
        <f t="shared" ca="1" si="166"/>
        <v>1</v>
      </c>
      <c r="J1535" t="str">
        <f t="shared" si="167"/>
        <v>Safety</v>
      </c>
    </row>
    <row r="1536" spans="1:10">
      <c r="A1536" t="str" cm="1">
        <f t="array" ref="A1536">INDEX(Vendor_Master!$A$2:$A$401, ROUNDUP((ROW()-1)/4, 0))</f>
        <v>VND-384</v>
      </c>
      <c r="B1536" t="str">
        <f t="shared" si="161"/>
        <v>Environmental Policy</v>
      </c>
      <c r="C1536" t="str">
        <f t="shared" si="162"/>
        <v>Yes</v>
      </c>
      <c r="D1536" t="str">
        <f t="shared" si="163"/>
        <v>No</v>
      </c>
      <c r="E1536" s="1">
        <v>45560</v>
      </c>
      <c r="F1536" s="1">
        <v>45903</v>
      </c>
      <c r="G1536">
        <f t="shared" ca="1" si="164"/>
        <v>-180</v>
      </c>
      <c r="H1536" t="str">
        <f t="shared" ca="1" si="165"/>
        <v>Missing</v>
      </c>
      <c r="I1536">
        <f t="shared" ca="1" si="166"/>
        <v>1</v>
      </c>
      <c r="J1536" t="str">
        <f t="shared" si="167"/>
        <v>Environmental</v>
      </c>
    </row>
    <row r="1537" spans="1:10">
      <c r="A1537" t="str" cm="1">
        <f t="array" ref="A1537">INDEX(Vendor_Master!$A$2:$A$401, ROUNDUP((ROW()-1)/4, 0))</f>
        <v>VND-384</v>
      </c>
      <c r="B1537" t="str">
        <f t="shared" si="161"/>
        <v>Sustainability Disclosure</v>
      </c>
      <c r="C1537" t="str">
        <f t="shared" si="162"/>
        <v>Yes</v>
      </c>
      <c r="D1537" t="str">
        <f t="shared" si="163"/>
        <v>No</v>
      </c>
      <c r="E1537" s="1">
        <v>45704</v>
      </c>
      <c r="F1537" s="1">
        <v>45980</v>
      </c>
      <c r="G1537">
        <f t="shared" ca="1" si="164"/>
        <v>-103</v>
      </c>
      <c r="H1537" t="str">
        <f t="shared" ca="1" si="165"/>
        <v>Missing</v>
      </c>
      <c r="I1537">
        <f t="shared" ca="1" si="166"/>
        <v>1</v>
      </c>
      <c r="J1537" t="str">
        <f t="shared" si="167"/>
        <v>Environmental</v>
      </c>
    </row>
    <row r="1538" spans="1:10">
      <c r="A1538" t="str" cm="1">
        <f t="array" ref="A1538">INDEX(Vendor_Master!$A$2:$A$401, ROUNDUP((ROW()-1)/4, 0))</f>
        <v>VND-385</v>
      </c>
      <c r="B1538" t="str">
        <f t="shared" ref="B1538:B1601" si="168">CHOOSE(MOD(ROW()-2,4)+1,"ISO 14001","Safety Certificate","Environmental Policy","Sustainability Disclosure")</f>
        <v>ISO 14001</v>
      </c>
      <c r="C1538" t="str">
        <f t="shared" ref="C1538:C1601" si="169">"Yes"</f>
        <v>Yes</v>
      </c>
      <c r="D1538" t="str">
        <f t="shared" ref="D1538:D1601" si="170">IF(ROW()-1&lt;=1280,"Yes","No")</f>
        <v>No</v>
      </c>
      <c r="E1538" s="1">
        <v>45609</v>
      </c>
      <c r="F1538" s="1">
        <v>45935</v>
      </c>
      <c r="G1538">
        <f t="shared" ref="G1538:G1601" ca="1" si="171">IF($F1538="","",$F1538-TODAY())</f>
        <v>-148</v>
      </c>
      <c r="H1538" t="str">
        <f t="shared" ref="H1538:H1601" ca="1" si="172">IF($C1538="No","Not Required",
IF($D1538="No","Missing",
IF($F1538&lt;TODAY(),"Expired",
IF($F1538&lt;=TODAY()+30,"Expiring Soon","Active"))))</f>
        <v>Missing</v>
      </c>
      <c r="I1538">
        <f t="shared" ref="I1538:I1601" ca="1" si="173">IF(OR($H1538="Missing",$H1538="Expired",$H1538="Expiring Soon"),1,0)</f>
        <v>1</v>
      </c>
      <c r="J1538" t="str">
        <f t="shared" si="167"/>
        <v>Environmental</v>
      </c>
    </row>
    <row r="1539" spans="1:10">
      <c r="A1539" t="str" cm="1">
        <f t="array" ref="A1539">INDEX(Vendor_Master!$A$2:$A$401, ROUNDUP((ROW()-1)/4, 0))</f>
        <v>VND-385</v>
      </c>
      <c r="B1539" t="str">
        <f t="shared" si="168"/>
        <v>Safety Certificate</v>
      </c>
      <c r="C1539" t="str">
        <f t="shared" si="169"/>
        <v>Yes</v>
      </c>
      <c r="D1539" t="str">
        <f t="shared" si="170"/>
        <v>No</v>
      </c>
      <c r="E1539" s="1">
        <v>45572</v>
      </c>
      <c r="F1539" s="1">
        <v>45974</v>
      </c>
      <c r="G1539">
        <f t="shared" ca="1" si="171"/>
        <v>-109</v>
      </c>
      <c r="H1539" t="str">
        <f t="shared" ca="1" si="172"/>
        <v>Missing</v>
      </c>
      <c r="I1539">
        <f t="shared" ca="1" si="173"/>
        <v>1</v>
      </c>
      <c r="J1539" t="str">
        <f t="shared" ref="J1539:J1601" si="174">IF(B1539="ISO 14001","Environmental",
 IF(B1539="Environmental Policy","Environmental",
 IF(B1539="Sustainability Disclosure","Environmental",
 IF(B1539="Safety Certificate","Safety","Regulatory"))))</f>
        <v>Safety</v>
      </c>
    </row>
    <row r="1540" spans="1:10">
      <c r="A1540" t="str" cm="1">
        <f t="array" ref="A1540">INDEX(Vendor_Master!$A$2:$A$401, ROUNDUP((ROW()-1)/4, 0))</f>
        <v>VND-385</v>
      </c>
      <c r="B1540" t="str">
        <f t="shared" si="168"/>
        <v>Environmental Policy</v>
      </c>
      <c r="C1540" t="str">
        <f t="shared" si="169"/>
        <v>Yes</v>
      </c>
      <c r="D1540" t="str">
        <f t="shared" si="170"/>
        <v>No</v>
      </c>
      <c r="E1540" s="1">
        <v>46070</v>
      </c>
      <c r="F1540" s="1">
        <v>46029</v>
      </c>
      <c r="G1540">
        <f t="shared" ca="1" si="171"/>
        <v>-54</v>
      </c>
      <c r="H1540" t="str">
        <f t="shared" ca="1" si="172"/>
        <v>Missing</v>
      </c>
      <c r="I1540">
        <f t="shared" ca="1" si="173"/>
        <v>1</v>
      </c>
      <c r="J1540" t="str">
        <f t="shared" si="174"/>
        <v>Environmental</v>
      </c>
    </row>
    <row r="1541" spans="1:10">
      <c r="A1541" t="str" cm="1">
        <f t="array" ref="A1541">INDEX(Vendor_Master!$A$2:$A$401, ROUNDUP((ROW()-1)/4, 0))</f>
        <v>VND-385</v>
      </c>
      <c r="B1541" t="str">
        <f t="shared" si="168"/>
        <v>Sustainability Disclosure</v>
      </c>
      <c r="C1541" t="str">
        <f t="shared" si="169"/>
        <v>Yes</v>
      </c>
      <c r="D1541" t="str">
        <f t="shared" si="170"/>
        <v>No</v>
      </c>
      <c r="E1541" s="1">
        <v>45408</v>
      </c>
      <c r="F1541" s="1">
        <v>45932</v>
      </c>
      <c r="G1541">
        <f t="shared" ca="1" si="171"/>
        <v>-151</v>
      </c>
      <c r="H1541" t="str">
        <f t="shared" ca="1" si="172"/>
        <v>Missing</v>
      </c>
      <c r="I1541">
        <f t="shared" ca="1" si="173"/>
        <v>1</v>
      </c>
      <c r="J1541" t="str">
        <f t="shared" si="174"/>
        <v>Environmental</v>
      </c>
    </row>
    <row r="1542" spans="1:10">
      <c r="A1542" t="str" cm="1">
        <f t="array" ref="A1542">INDEX(Vendor_Master!$A$2:$A$401, ROUNDUP((ROW()-1)/4, 0))</f>
        <v>VND-386</v>
      </c>
      <c r="B1542" t="str">
        <f t="shared" si="168"/>
        <v>ISO 14001</v>
      </c>
      <c r="C1542" t="str">
        <f t="shared" si="169"/>
        <v>Yes</v>
      </c>
      <c r="D1542" t="str">
        <f t="shared" si="170"/>
        <v>No</v>
      </c>
      <c r="E1542" s="1">
        <v>45540</v>
      </c>
      <c r="F1542" s="1">
        <v>45934</v>
      </c>
      <c r="G1542">
        <f t="shared" ca="1" si="171"/>
        <v>-149</v>
      </c>
      <c r="H1542" t="str">
        <f t="shared" ca="1" si="172"/>
        <v>Missing</v>
      </c>
      <c r="I1542">
        <f t="shared" ca="1" si="173"/>
        <v>1</v>
      </c>
      <c r="J1542" t="str">
        <f t="shared" si="174"/>
        <v>Environmental</v>
      </c>
    </row>
    <row r="1543" spans="1:10">
      <c r="A1543" t="str" cm="1">
        <f t="array" ref="A1543">INDEX(Vendor_Master!$A$2:$A$401, ROUNDUP((ROW()-1)/4, 0))</f>
        <v>VND-386</v>
      </c>
      <c r="B1543" t="str">
        <f t="shared" si="168"/>
        <v>Safety Certificate</v>
      </c>
      <c r="C1543" t="str">
        <f t="shared" si="169"/>
        <v>Yes</v>
      </c>
      <c r="D1543" t="str">
        <f t="shared" si="170"/>
        <v>No</v>
      </c>
      <c r="E1543" s="1">
        <v>45876</v>
      </c>
      <c r="F1543" s="1">
        <v>46017</v>
      </c>
      <c r="G1543">
        <f t="shared" ca="1" si="171"/>
        <v>-66</v>
      </c>
      <c r="H1543" t="str">
        <f t="shared" ca="1" si="172"/>
        <v>Missing</v>
      </c>
      <c r="I1543">
        <f t="shared" ca="1" si="173"/>
        <v>1</v>
      </c>
      <c r="J1543" t="str">
        <f t="shared" si="174"/>
        <v>Safety</v>
      </c>
    </row>
    <row r="1544" spans="1:10">
      <c r="A1544" t="str" cm="1">
        <f t="array" ref="A1544">INDEX(Vendor_Master!$A$2:$A$401, ROUNDUP((ROW()-1)/4, 0))</f>
        <v>VND-386</v>
      </c>
      <c r="B1544" t="str">
        <f t="shared" si="168"/>
        <v>Environmental Policy</v>
      </c>
      <c r="C1544" t="str">
        <f t="shared" si="169"/>
        <v>Yes</v>
      </c>
      <c r="D1544" t="str">
        <f t="shared" si="170"/>
        <v>No</v>
      </c>
      <c r="E1544" s="1">
        <v>45458</v>
      </c>
      <c r="F1544" s="1">
        <v>45973</v>
      </c>
      <c r="G1544">
        <f t="shared" ca="1" si="171"/>
        <v>-110</v>
      </c>
      <c r="H1544" t="str">
        <f t="shared" ca="1" si="172"/>
        <v>Missing</v>
      </c>
      <c r="I1544">
        <f t="shared" ca="1" si="173"/>
        <v>1</v>
      </c>
      <c r="J1544" t="str">
        <f t="shared" si="174"/>
        <v>Environmental</v>
      </c>
    </row>
    <row r="1545" spans="1:10">
      <c r="A1545" t="str" cm="1">
        <f t="array" ref="A1545">INDEX(Vendor_Master!$A$2:$A$401, ROUNDUP((ROW()-1)/4, 0))</f>
        <v>VND-386</v>
      </c>
      <c r="B1545" t="str">
        <f t="shared" si="168"/>
        <v>Sustainability Disclosure</v>
      </c>
      <c r="C1545" t="str">
        <f t="shared" si="169"/>
        <v>Yes</v>
      </c>
      <c r="D1545" t="str">
        <f t="shared" si="170"/>
        <v>No</v>
      </c>
      <c r="E1545" s="1">
        <v>45520</v>
      </c>
      <c r="F1545" s="1">
        <v>45961</v>
      </c>
      <c r="G1545">
        <f t="shared" ca="1" si="171"/>
        <v>-122</v>
      </c>
      <c r="H1545" t="str">
        <f t="shared" ca="1" si="172"/>
        <v>Missing</v>
      </c>
      <c r="I1545">
        <f t="shared" ca="1" si="173"/>
        <v>1</v>
      </c>
      <c r="J1545" t="str">
        <f t="shared" si="174"/>
        <v>Environmental</v>
      </c>
    </row>
    <row r="1546" spans="1:10">
      <c r="A1546" t="str" cm="1">
        <f t="array" ref="A1546">INDEX(Vendor_Master!$A$2:$A$401, ROUNDUP((ROW()-1)/4, 0))</f>
        <v>VND-387</v>
      </c>
      <c r="B1546" t="str">
        <f t="shared" si="168"/>
        <v>ISO 14001</v>
      </c>
      <c r="C1546" t="str">
        <f t="shared" si="169"/>
        <v>Yes</v>
      </c>
      <c r="D1546" t="str">
        <f t="shared" si="170"/>
        <v>No</v>
      </c>
      <c r="E1546" s="1">
        <v>45390</v>
      </c>
      <c r="F1546" s="1">
        <v>46005</v>
      </c>
      <c r="G1546">
        <f t="shared" ca="1" si="171"/>
        <v>-78</v>
      </c>
      <c r="H1546" t="str">
        <f t="shared" ca="1" si="172"/>
        <v>Missing</v>
      </c>
      <c r="I1546">
        <f t="shared" ca="1" si="173"/>
        <v>1</v>
      </c>
      <c r="J1546" t="str">
        <f t="shared" si="174"/>
        <v>Environmental</v>
      </c>
    </row>
    <row r="1547" spans="1:10">
      <c r="A1547" t="str" cm="1">
        <f t="array" ref="A1547">INDEX(Vendor_Master!$A$2:$A$401, ROUNDUP((ROW()-1)/4, 0))</f>
        <v>VND-387</v>
      </c>
      <c r="B1547" t="str">
        <f t="shared" si="168"/>
        <v>Safety Certificate</v>
      </c>
      <c r="C1547" t="str">
        <f t="shared" si="169"/>
        <v>Yes</v>
      </c>
      <c r="D1547" t="str">
        <f t="shared" si="170"/>
        <v>No</v>
      </c>
      <c r="E1547" s="1">
        <v>45705</v>
      </c>
      <c r="F1547" s="1">
        <v>45984</v>
      </c>
      <c r="G1547">
        <f t="shared" ca="1" si="171"/>
        <v>-99</v>
      </c>
      <c r="H1547" t="str">
        <f t="shared" ca="1" si="172"/>
        <v>Missing</v>
      </c>
      <c r="I1547">
        <f t="shared" ca="1" si="173"/>
        <v>1</v>
      </c>
      <c r="J1547" t="str">
        <f t="shared" si="174"/>
        <v>Safety</v>
      </c>
    </row>
    <row r="1548" spans="1:10">
      <c r="A1548" t="str" cm="1">
        <f t="array" ref="A1548">INDEX(Vendor_Master!$A$2:$A$401, ROUNDUP((ROW()-1)/4, 0))</f>
        <v>VND-387</v>
      </c>
      <c r="B1548" t="str">
        <f t="shared" si="168"/>
        <v>Environmental Policy</v>
      </c>
      <c r="C1548" t="str">
        <f t="shared" si="169"/>
        <v>Yes</v>
      </c>
      <c r="D1548" t="str">
        <f t="shared" si="170"/>
        <v>No</v>
      </c>
      <c r="E1548" s="1">
        <v>45853</v>
      </c>
      <c r="F1548" s="1">
        <v>45970</v>
      </c>
      <c r="G1548">
        <f t="shared" ca="1" si="171"/>
        <v>-113</v>
      </c>
      <c r="H1548" t="str">
        <f t="shared" ca="1" si="172"/>
        <v>Missing</v>
      </c>
      <c r="I1548">
        <f t="shared" ca="1" si="173"/>
        <v>1</v>
      </c>
      <c r="J1548" t="str">
        <f t="shared" si="174"/>
        <v>Environmental</v>
      </c>
    </row>
    <row r="1549" spans="1:10">
      <c r="A1549" t="str" cm="1">
        <f t="array" ref="A1549">INDEX(Vendor_Master!$A$2:$A$401, ROUNDUP((ROW()-1)/4, 0))</f>
        <v>VND-387</v>
      </c>
      <c r="B1549" t="str">
        <f t="shared" si="168"/>
        <v>Sustainability Disclosure</v>
      </c>
      <c r="C1549" t="str">
        <f t="shared" si="169"/>
        <v>Yes</v>
      </c>
      <c r="D1549" t="str">
        <f t="shared" si="170"/>
        <v>No</v>
      </c>
      <c r="E1549" s="1">
        <v>45608</v>
      </c>
      <c r="F1549" s="1">
        <v>46073</v>
      </c>
      <c r="G1549">
        <f t="shared" ca="1" si="171"/>
        <v>-10</v>
      </c>
      <c r="H1549" t="str">
        <f t="shared" ca="1" si="172"/>
        <v>Missing</v>
      </c>
      <c r="I1549">
        <f t="shared" ca="1" si="173"/>
        <v>1</v>
      </c>
      <c r="J1549" t="str">
        <f t="shared" si="174"/>
        <v>Environmental</v>
      </c>
    </row>
    <row r="1550" spans="1:10">
      <c r="A1550" t="str" cm="1">
        <f t="array" ref="A1550">INDEX(Vendor_Master!$A$2:$A$401, ROUNDUP((ROW()-1)/4, 0))</f>
        <v>VND-388</v>
      </c>
      <c r="B1550" t="str">
        <f t="shared" si="168"/>
        <v>ISO 14001</v>
      </c>
      <c r="C1550" t="str">
        <f t="shared" si="169"/>
        <v>Yes</v>
      </c>
      <c r="D1550" t="str">
        <f t="shared" si="170"/>
        <v>No</v>
      </c>
      <c r="E1550" s="1">
        <v>45496</v>
      </c>
      <c r="F1550" s="1">
        <v>45987</v>
      </c>
      <c r="G1550">
        <f t="shared" ca="1" si="171"/>
        <v>-96</v>
      </c>
      <c r="H1550" t="str">
        <f t="shared" ca="1" si="172"/>
        <v>Missing</v>
      </c>
      <c r="I1550">
        <f t="shared" ca="1" si="173"/>
        <v>1</v>
      </c>
      <c r="J1550" t="str">
        <f t="shared" si="174"/>
        <v>Environmental</v>
      </c>
    </row>
    <row r="1551" spans="1:10">
      <c r="A1551" t="str" cm="1">
        <f t="array" ref="A1551">INDEX(Vendor_Master!$A$2:$A$401, ROUNDUP((ROW()-1)/4, 0))</f>
        <v>VND-388</v>
      </c>
      <c r="B1551" t="str">
        <f t="shared" si="168"/>
        <v>Safety Certificate</v>
      </c>
      <c r="C1551" t="str">
        <f t="shared" si="169"/>
        <v>Yes</v>
      </c>
      <c r="D1551" t="str">
        <f t="shared" si="170"/>
        <v>No</v>
      </c>
      <c r="E1551" s="1">
        <v>45866</v>
      </c>
      <c r="F1551" s="1">
        <v>45938</v>
      </c>
      <c r="G1551">
        <f t="shared" ca="1" si="171"/>
        <v>-145</v>
      </c>
      <c r="H1551" t="str">
        <f t="shared" ca="1" si="172"/>
        <v>Missing</v>
      </c>
      <c r="I1551">
        <f t="shared" ca="1" si="173"/>
        <v>1</v>
      </c>
      <c r="J1551" t="str">
        <f t="shared" si="174"/>
        <v>Safety</v>
      </c>
    </row>
    <row r="1552" spans="1:10">
      <c r="A1552" t="str" cm="1">
        <f t="array" ref="A1552">INDEX(Vendor_Master!$A$2:$A$401, ROUNDUP((ROW()-1)/4, 0))</f>
        <v>VND-388</v>
      </c>
      <c r="B1552" t="str">
        <f t="shared" si="168"/>
        <v>Environmental Policy</v>
      </c>
      <c r="C1552" t="str">
        <f t="shared" si="169"/>
        <v>Yes</v>
      </c>
      <c r="D1552" t="str">
        <f t="shared" si="170"/>
        <v>No</v>
      </c>
      <c r="E1552" s="1">
        <v>45531</v>
      </c>
      <c r="F1552" s="1">
        <v>46013</v>
      </c>
      <c r="G1552">
        <f t="shared" ca="1" si="171"/>
        <v>-70</v>
      </c>
      <c r="H1552" t="str">
        <f t="shared" ca="1" si="172"/>
        <v>Missing</v>
      </c>
      <c r="I1552">
        <f t="shared" ca="1" si="173"/>
        <v>1</v>
      </c>
      <c r="J1552" t="str">
        <f t="shared" si="174"/>
        <v>Environmental</v>
      </c>
    </row>
    <row r="1553" spans="1:10">
      <c r="A1553" t="str" cm="1">
        <f t="array" ref="A1553">INDEX(Vendor_Master!$A$2:$A$401, ROUNDUP((ROW()-1)/4, 0))</f>
        <v>VND-388</v>
      </c>
      <c r="B1553" t="str">
        <f t="shared" si="168"/>
        <v>Sustainability Disclosure</v>
      </c>
      <c r="C1553" t="str">
        <f t="shared" si="169"/>
        <v>Yes</v>
      </c>
      <c r="D1553" t="str">
        <f t="shared" si="170"/>
        <v>No</v>
      </c>
      <c r="E1553" s="1">
        <v>45713</v>
      </c>
      <c r="F1553" s="1">
        <v>45949</v>
      </c>
      <c r="G1553">
        <f t="shared" ca="1" si="171"/>
        <v>-134</v>
      </c>
      <c r="H1553" t="str">
        <f t="shared" ca="1" si="172"/>
        <v>Missing</v>
      </c>
      <c r="I1553">
        <f t="shared" ca="1" si="173"/>
        <v>1</v>
      </c>
      <c r="J1553" t="str">
        <f t="shared" si="174"/>
        <v>Environmental</v>
      </c>
    </row>
    <row r="1554" spans="1:10">
      <c r="A1554" t="str" cm="1">
        <f t="array" ref="A1554">INDEX(Vendor_Master!$A$2:$A$401, ROUNDUP((ROW()-1)/4, 0))</f>
        <v>VND-389</v>
      </c>
      <c r="B1554" t="str">
        <f t="shared" si="168"/>
        <v>ISO 14001</v>
      </c>
      <c r="C1554" t="str">
        <f t="shared" si="169"/>
        <v>Yes</v>
      </c>
      <c r="D1554" t="str">
        <f t="shared" si="170"/>
        <v>No</v>
      </c>
      <c r="E1554" s="1">
        <v>45900</v>
      </c>
      <c r="F1554" s="1">
        <v>45917</v>
      </c>
      <c r="G1554">
        <f t="shared" ca="1" si="171"/>
        <v>-166</v>
      </c>
      <c r="H1554" t="str">
        <f t="shared" ca="1" si="172"/>
        <v>Missing</v>
      </c>
      <c r="I1554">
        <f t="shared" ca="1" si="173"/>
        <v>1</v>
      </c>
      <c r="J1554" t="str">
        <f t="shared" si="174"/>
        <v>Environmental</v>
      </c>
    </row>
    <row r="1555" spans="1:10">
      <c r="A1555" t="str" cm="1">
        <f t="array" ref="A1555">INDEX(Vendor_Master!$A$2:$A$401, ROUNDUP((ROW()-1)/4, 0))</f>
        <v>VND-389</v>
      </c>
      <c r="B1555" t="str">
        <f t="shared" si="168"/>
        <v>Safety Certificate</v>
      </c>
      <c r="C1555" t="str">
        <f t="shared" si="169"/>
        <v>Yes</v>
      </c>
      <c r="D1555" t="str">
        <f t="shared" si="170"/>
        <v>No</v>
      </c>
      <c r="E1555" s="1">
        <v>45934</v>
      </c>
      <c r="F1555" s="1">
        <v>45927</v>
      </c>
      <c r="G1555">
        <f t="shared" ca="1" si="171"/>
        <v>-156</v>
      </c>
      <c r="H1555" t="str">
        <f t="shared" ca="1" si="172"/>
        <v>Missing</v>
      </c>
      <c r="I1555">
        <f t="shared" ca="1" si="173"/>
        <v>1</v>
      </c>
      <c r="J1555" t="str">
        <f t="shared" si="174"/>
        <v>Safety</v>
      </c>
    </row>
    <row r="1556" spans="1:10">
      <c r="A1556" t="str" cm="1">
        <f t="array" ref="A1556">INDEX(Vendor_Master!$A$2:$A$401, ROUNDUP((ROW()-1)/4, 0))</f>
        <v>VND-389</v>
      </c>
      <c r="B1556" t="str">
        <f t="shared" si="168"/>
        <v>Environmental Policy</v>
      </c>
      <c r="C1556" t="str">
        <f t="shared" si="169"/>
        <v>Yes</v>
      </c>
      <c r="D1556" t="str">
        <f t="shared" si="170"/>
        <v>No</v>
      </c>
      <c r="E1556" s="1">
        <v>45734</v>
      </c>
      <c r="F1556" s="1">
        <v>45966</v>
      </c>
      <c r="G1556">
        <f t="shared" ca="1" si="171"/>
        <v>-117</v>
      </c>
      <c r="H1556" t="str">
        <f t="shared" ca="1" si="172"/>
        <v>Missing</v>
      </c>
      <c r="I1556">
        <f t="shared" ca="1" si="173"/>
        <v>1</v>
      </c>
      <c r="J1556" t="str">
        <f t="shared" si="174"/>
        <v>Environmental</v>
      </c>
    </row>
    <row r="1557" spans="1:10">
      <c r="A1557" t="str" cm="1">
        <f t="array" ref="A1557">INDEX(Vendor_Master!$A$2:$A$401, ROUNDUP((ROW()-1)/4, 0))</f>
        <v>VND-389</v>
      </c>
      <c r="B1557" t="str">
        <f t="shared" si="168"/>
        <v>Sustainability Disclosure</v>
      </c>
      <c r="C1557" t="str">
        <f t="shared" si="169"/>
        <v>Yes</v>
      </c>
      <c r="D1557" t="str">
        <f t="shared" si="170"/>
        <v>No</v>
      </c>
      <c r="E1557" s="1">
        <v>45838</v>
      </c>
      <c r="F1557" s="1">
        <v>45917</v>
      </c>
      <c r="G1557">
        <f t="shared" ca="1" si="171"/>
        <v>-166</v>
      </c>
      <c r="H1557" t="str">
        <f t="shared" ca="1" si="172"/>
        <v>Missing</v>
      </c>
      <c r="I1557">
        <f t="shared" ca="1" si="173"/>
        <v>1</v>
      </c>
      <c r="J1557" t="str">
        <f t="shared" si="174"/>
        <v>Environmental</v>
      </c>
    </row>
    <row r="1558" spans="1:10">
      <c r="A1558" t="str" cm="1">
        <f t="array" ref="A1558">INDEX(Vendor_Master!$A$2:$A$401, ROUNDUP((ROW()-1)/4, 0))</f>
        <v>VND-390</v>
      </c>
      <c r="B1558" t="str">
        <f t="shared" si="168"/>
        <v>ISO 14001</v>
      </c>
      <c r="C1558" t="str">
        <f t="shared" si="169"/>
        <v>Yes</v>
      </c>
      <c r="D1558" t="str">
        <f t="shared" si="170"/>
        <v>No</v>
      </c>
      <c r="E1558" s="1">
        <v>45632</v>
      </c>
      <c r="F1558" s="1">
        <v>45937</v>
      </c>
      <c r="G1558">
        <f t="shared" ca="1" si="171"/>
        <v>-146</v>
      </c>
      <c r="H1558" t="str">
        <f t="shared" ca="1" si="172"/>
        <v>Missing</v>
      </c>
      <c r="I1558">
        <f t="shared" ca="1" si="173"/>
        <v>1</v>
      </c>
      <c r="J1558" t="str">
        <f t="shared" si="174"/>
        <v>Environmental</v>
      </c>
    </row>
    <row r="1559" spans="1:10">
      <c r="A1559" t="str" cm="1">
        <f t="array" ref="A1559">INDEX(Vendor_Master!$A$2:$A$401, ROUNDUP((ROW()-1)/4, 0))</f>
        <v>VND-390</v>
      </c>
      <c r="B1559" t="str">
        <f t="shared" si="168"/>
        <v>Safety Certificate</v>
      </c>
      <c r="C1559" t="str">
        <f t="shared" si="169"/>
        <v>Yes</v>
      </c>
      <c r="D1559" t="str">
        <f t="shared" si="170"/>
        <v>No</v>
      </c>
      <c r="E1559" s="1">
        <v>45897</v>
      </c>
      <c r="F1559" s="1">
        <v>46054</v>
      </c>
      <c r="G1559">
        <f t="shared" ca="1" si="171"/>
        <v>-29</v>
      </c>
      <c r="H1559" t="str">
        <f t="shared" ca="1" si="172"/>
        <v>Missing</v>
      </c>
      <c r="I1559">
        <f t="shared" ca="1" si="173"/>
        <v>1</v>
      </c>
      <c r="J1559" t="str">
        <f t="shared" si="174"/>
        <v>Safety</v>
      </c>
    </row>
    <row r="1560" spans="1:10">
      <c r="A1560" t="str" cm="1">
        <f t="array" ref="A1560">INDEX(Vendor_Master!$A$2:$A$401, ROUNDUP((ROW()-1)/4, 0))</f>
        <v>VND-390</v>
      </c>
      <c r="B1560" t="str">
        <f t="shared" si="168"/>
        <v>Environmental Policy</v>
      </c>
      <c r="C1560" t="str">
        <f t="shared" si="169"/>
        <v>Yes</v>
      </c>
      <c r="D1560" t="str">
        <f t="shared" si="170"/>
        <v>No</v>
      </c>
      <c r="E1560" s="1">
        <v>45423</v>
      </c>
      <c r="F1560" s="1">
        <v>46013</v>
      </c>
      <c r="G1560">
        <f t="shared" ca="1" si="171"/>
        <v>-70</v>
      </c>
      <c r="H1560" t="str">
        <f t="shared" ca="1" si="172"/>
        <v>Missing</v>
      </c>
      <c r="I1560">
        <f t="shared" ca="1" si="173"/>
        <v>1</v>
      </c>
      <c r="J1560" t="str">
        <f t="shared" si="174"/>
        <v>Environmental</v>
      </c>
    </row>
    <row r="1561" spans="1:10">
      <c r="A1561" t="str" cm="1">
        <f t="array" ref="A1561">INDEX(Vendor_Master!$A$2:$A$401, ROUNDUP((ROW()-1)/4, 0))</f>
        <v>VND-390</v>
      </c>
      <c r="B1561" t="str">
        <f t="shared" si="168"/>
        <v>Sustainability Disclosure</v>
      </c>
      <c r="C1561" t="str">
        <f t="shared" si="169"/>
        <v>Yes</v>
      </c>
      <c r="D1561" t="str">
        <f t="shared" si="170"/>
        <v>No</v>
      </c>
      <c r="E1561" s="1">
        <v>46016</v>
      </c>
      <c r="F1561" s="1">
        <v>46080</v>
      </c>
      <c r="G1561">
        <f t="shared" ca="1" si="171"/>
        <v>-3</v>
      </c>
      <c r="H1561" t="str">
        <f t="shared" ca="1" si="172"/>
        <v>Missing</v>
      </c>
      <c r="I1561">
        <f t="shared" ca="1" si="173"/>
        <v>1</v>
      </c>
      <c r="J1561" t="str">
        <f t="shared" si="174"/>
        <v>Environmental</v>
      </c>
    </row>
    <row r="1562" spans="1:10">
      <c r="A1562" t="str" cm="1">
        <f t="array" ref="A1562">INDEX(Vendor_Master!$A$2:$A$401, ROUNDUP((ROW()-1)/4, 0))</f>
        <v>VND-391</v>
      </c>
      <c r="B1562" t="str">
        <f t="shared" si="168"/>
        <v>ISO 14001</v>
      </c>
      <c r="C1562" t="str">
        <f t="shared" si="169"/>
        <v>Yes</v>
      </c>
      <c r="D1562" t="str">
        <f t="shared" si="170"/>
        <v>No</v>
      </c>
      <c r="E1562" s="1">
        <v>45779</v>
      </c>
      <c r="F1562" s="1">
        <v>45948</v>
      </c>
      <c r="G1562">
        <f t="shared" ca="1" si="171"/>
        <v>-135</v>
      </c>
      <c r="H1562" t="str">
        <f t="shared" ca="1" si="172"/>
        <v>Missing</v>
      </c>
      <c r="I1562">
        <f t="shared" ca="1" si="173"/>
        <v>1</v>
      </c>
      <c r="J1562" t="str">
        <f t="shared" si="174"/>
        <v>Environmental</v>
      </c>
    </row>
    <row r="1563" spans="1:10">
      <c r="A1563" t="str" cm="1">
        <f t="array" ref="A1563">INDEX(Vendor_Master!$A$2:$A$401, ROUNDUP((ROW()-1)/4, 0))</f>
        <v>VND-391</v>
      </c>
      <c r="B1563" t="str">
        <f t="shared" si="168"/>
        <v>Safety Certificate</v>
      </c>
      <c r="C1563" t="str">
        <f t="shared" si="169"/>
        <v>Yes</v>
      </c>
      <c r="D1563" t="str">
        <f t="shared" si="170"/>
        <v>No</v>
      </c>
      <c r="E1563" s="1">
        <v>45581</v>
      </c>
      <c r="F1563" s="1">
        <v>45973</v>
      </c>
      <c r="G1563">
        <f t="shared" ca="1" si="171"/>
        <v>-110</v>
      </c>
      <c r="H1563" t="str">
        <f t="shared" ca="1" si="172"/>
        <v>Missing</v>
      </c>
      <c r="I1563">
        <f t="shared" ca="1" si="173"/>
        <v>1</v>
      </c>
      <c r="J1563" t="str">
        <f t="shared" si="174"/>
        <v>Safety</v>
      </c>
    </row>
    <row r="1564" spans="1:10">
      <c r="A1564" t="str" cm="1">
        <f t="array" ref="A1564">INDEX(Vendor_Master!$A$2:$A$401, ROUNDUP((ROW()-1)/4, 0))</f>
        <v>VND-391</v>
      </c>
      <c r="B1564" t="str">
        <f t="shared" si="168"/>
        <v>Environmental Policy</v>
      </c>
      <c r="C1564" t="str">
        <f t="shared" si="169"/>
        <v>Yes</v>
      </c>
      <c r="D1564" t="str">
        <f t="shared" si="170"/>
        <v>No</v>
      </c>
      <c r="E1564" s="1">
        <v>45742</v>
      </c>
      <c r="F1564" s="1">
        <v>45917</v>
      </c>
      <c r="G1564">
        <f t="shared" ca="1" si="171"/>
        <v>-166</v>
      </c>
      <c r="H1564" t="str">
        <f t="shared" ca="1" si="172"/>
        <v>Missing</v>
      </c>
      <c r="I1564">
        <f t="shared" ca="1" si="173"/>
        <v>1</v>
      </c>
      <c r="J1564" t="str">
        <f t="shared" si="174"/>
        <v>Environmental</v>
      </c>
    </row>
    <row r="1565" spans="1:10">
      <c r="A1565" t="str" cm="1">
        <f t="array" ref="A1565">INDEX(Vendor_Master!$A$2:$A$401, ROUNDUP((ROW()-1)/4, 0))</f>
        <v>VND-391</v>
      </c>
      <c r="B1565" t="str">
        <f t="shared" si="168"/>
        <v>Sustainability Disclosure</v>
      </c>
      <c r="C1565" t="str">
        <f t="shared" si="169"/>
        <v>Yes</v>
      </c>
      <c r="D1565" t="str">
        <f t="shared" si="170"/>
        <v>No</v>
      </c>
      <c r="E1565" s="1">
        <v>45662</v>
      </c>
      <c r="F1565" s="1">
        <v>46009</v>
      </c>
      <c r="G1565">
        <f t="shared" ca="1" si="171"/>
        <v>-74</v>
      </c>
      <c r="H1565" t="str">
        <f t="shared" ca="1" si="172"/>
        <v>Missing</v>
      </c>
      <c r="I1565">
        <f t="shared" ca="1" si="173"/>
        <v>1</v>
      </c>
      <c r="J1565" t="str">
        <f t="shared" si="174"/>
        <v>Environmental</v>
      </c>
    </row>
    <row r="1566" spans="1:10">
      <c r="A1566" t="str" cm="1">
        <f t="array" ref="A1566">INDEX(Vendor_Master!$A$2:$A$401, ROUNDUP((ROW()-1)/4, 0))</f>
        <v>VND-392</v>
      </c>
      <c r="B1566" t="str">
        <f t="shared" si="168"/>
        <v>ISO 14001</v>
      </c>
      <c r="C1566" t="str">
        <f t="shared" si="169"/>
        <v>Yes</v>
      </c>
      <c r="D1566" t="str">
        <f t="shared" si="170"/>
        <v>No</v>
      </c>
      <c r="E1566" s="1">
        <v>45479</v>
      </c>
      <c r="F1566" s="1">
        <v>46025</v>
      </c>
      <c r="G1566">
        <f t="shared" ca="1" si="171"/>
        <v>-58</v>
      </c>
      <c r="H1566" t="str">
        <f t="shared" ca="1" si="172"/>
        <v>Missing</v>
      </c>
      <c r="I1566">
        <f t="shared" ca="1" si="173"/>
        <v>1</v>
      </c>
      <c r="J1566" t="str">
        <f t="shared" si="174"/>
        <v>Environmental</v>
      </c>
    </row>
    <row r="1567" spans="1:10">
      <c r="A1567" t="str" cm="1">
        <f t="array" ref="A1567">INDEX(Vendor_Master!$A$2:$A$401, ROUNDUP((ROW()-1)/4, 0))</f>
        <v>VND-392</v>
      </c>
      <c r="B1567" t="str">
        <f t="shared" si="168"/>
        <v>Safety Certificate</v>
      </c>
      <c r="C1567" t="str">
        <f t="shared" si="169"/>
        <v>Yes</v>
      </c>
      <c r="D1567" t="str">
        <f t="shared" si="170"/>
        <v>No</v>
      </c>
      <c r="E1567" s="1">
        <v>45387</v>
      </c>
      <c r="F1567" s="1">
        <v>46043</v>
      </c>
      <c r="G1567">
        <f t="shared" ca="1" si="171"/>
        <v>-40</v>
      </c>
      <c r="H1567" t="str">
        <f t="shared" ca="1" si="172"/>
        <v>Missing</v>
      </c>
      <c r="I1567">
        <f t="shared" ca="1" si="173"/>
        <v>1</v>
      </c>
      <c r="J1567" t="str">
        <f t="shared" si="174"/>
        <v>Safety</v>
      </c>
    </row>
    <row r="1568" spans="1:10">
      <c r="A1568" t="str" cm="1">
        <f t="array" ref="A1568">INDEX(Vendor_Master!$A$2:$A$401, ROUNDUP((ROW()-1)/4, 0))</f>
        <v>VND-392</v>
      </c>
      <c r="B1568" t="str">
        <f t="shared" si="168"/>
        <v>Environmental Policy</v>
      </c>
      <c r="C1568" t="str">
        <f t="shared" si="169"/>
        <v>Yes</v>
      </c>
      <c r="D1568" t="str">
        <f t="shared" si="170"/>
        <v>No</v>
      </c>
      <c r="E1568" s="1">
        <v>45487</v>
      </c>
      <c r="F1568" s="1">
        <v>45990</v>
      </c>
      <c r="G1568">
        <f t="shared" ca="1" si="171"/>
        <v>-93</v>
      </c>
      <c r="H1568" t="str">
        <f t="shared" ca="1" si="172"/>
        <v>Missing</v>
      </c>
      <c r="I1568">
        <f t="shared" ca="1" si="173"/>
        <v>1</v>
      </c>
      <c r="J1568" t="str">
        <f t="shared" si="174"/>
        <v>Environmental</v>
      </c>
    </row>
    <row r="1569" spans="1:10">
      <c r="A1569" t="str" cm="1">
        <f t="array" ref="A1569">INDEX(Vendor_Master!$A$2:$A$401, ROUNDUP((ROW()-1)/4, 0))</f>
        <v>VND-392</v>
      </c>
      <c r="B1569" t="str">
        <f t="shared" si="168"/>
        <v>Sustainability Disclosure</v>
      </c>
      <c r="C1569" t="str">
        <f t="shared" si="169"/>
        <v>Yes</v>
      </c>
      <c r="D1569" t="str">
        <f t="shared" si="170"/>
        <v>No</v>
      </c>
      <c r="E1569" s="1">
        <v>45559</v>
      </c>
      <c r="F1569" s="1">
        <v>46001</v>
      </c>
      <c r="G1569">
        <f t="shared" ca="1" si="171"/>
        <v>-82</v>
      </c>
      <c r="H1569" t="str">
        <f t="shared" ca="1" si="172"/>
        <v>Missing</v>
      </c>
      <c r="I1569">
        <f t="shared" ca="1" si="173"/>
        <v>1</v>
      </c>
      <c r="J1569" t="str">
        <f t="shared" si="174"/>
        <v>Environmental</v>
      </c>
    </row>
    <row r="1570" spans="1:10">
      <c r="A1570" t="str" cm="1">
        <f t="array" ref="A1570">INDEX(Vendor_Master!$A$2:$A$401, ROUNDUP((ROW()-1)/4, 0))</f>
        <v>VND-393</v>
      </c>
      <c r="B1570" t="str">
        <f t="shared" si="168"/>
        <v>ISO 14001</v>
      </c>
      <c r="C1570" t="str">
        <f t="shared" si="169"/>
        <v>Yes</v>
      </c>
      <c r="D1570" t="str">
        <f t="shared" si="170"/>
        <v>No</v>
      </c>
      <c r="E1570" s="1">
        <v>45940</v>
      </c>
      <c r="F1570" s="1">
        <v>46020</v>
      </c>
      <c r="G1570">
        <f t="shared" ca="1" si="171"/>
        <v>-63</v>
      </c>
      <c r="H1570" t="str">
        <f t="shared" ca="1" si="172"/>
        <v>Missing</v>
      </c>
      <c r="I1570">
        <f t="shared" ca="1" si="173"/>
        <v>1</v>
      </c>
      <c r="J1570" t="str">
        <f t="shared" si="174"/>
        <v>Environmental</v>
      </c>
    </row>
    <row r="1571" spans="1:10">
      <c r="A1571" t="str" cm="1">
        <f t="array" ref="A1571">INDEX(Vendor_Master!$A$2:$A$401, ROUNDUP((ROW()-1)/4, 0))</f>
        <v>VND-393</v>
      </c>
      <c r="B1571" t="str">
        <f t="shared" si="168"/>
        <v>Safety Certificate</v>
      </c>
      <c r="C1571" t="str">
        <f t="shared" si="169"/>
        <v>Yes</v>
      </c>
      <c r="D1571" t="str">
        <f t="shared" si="170"/>
        <v>No</v>
      </c>
      <c r="E1571" s="1">
        <v>45864</v>
      </c>
      <c r="F1571" s="1">
        <v>45933</v>
      </c>
      <c r="G1571">
        <f t="shared" ca="1" si="171"/>
        <v>-150</v>
      </c>
      <c r="H1571" t="str">
        <f t="shared" ca="1" si="172"/>
        <v>Missing</v>
      </c>
      <c r="I1571">
        <f t="shared" ca="1" si="173"/>
        <v>1</v>
      </c>
      <c r="J1571" t="str">
        <f t="shared" si="174"/>
        <v>Safety</v>
      </c>
    </row>
    <row r="1572" spans="1:10">
      <c r="A1572" t="str" cm="1">
        <f t="array" ref="A1572">INDEX(Vendor_Master!$A$2:$A$401, ROUNDUP((ROW()-1)/4, 0))</f>
        <v>VND-393</v>
      </c>
      <c r="B1572" t="str">
        <f t="shared" si="168"/>
        <v>Environmental Policy</v>
      </c>
      <c r="C1572" t="str">
        <f t="shared" si="169"/>
        <v>Yes</v>
      </c>
      <c r="D1572" t="str">
        <f t="shared" si="170"/>
        <v>No</v>
      </c>
      <c r="E1572" s="1">
        <v>45631</v>
      </c>
      <c r="F1572" s="1">
        <v>45998</v>
      </c>
      <c r="G1572">
        <f t="shared" ca="1" si="171"/>
        <v>-85</v>
      </c>
      <c r="H1572" t="str">
        <f t="shared" ca="1" si="172"/>
        <v>Missing</v>
      </c>
      <c r="I1572">
        <f t="shared" ca="1" si="173"/>
        <v>1</v>
      </c>
      <c r="J1572" t="str">
        <f t="shared" si="174"/>
        <v>Environmental</v>
      </c>
    </row>
    <row r="1573" spans="1:10">
      <c r="A1573" t="str" cm="1">
        <f t="array" ref="A1573">INDEX(Vendor_Master!$A$2:$A$401, ROUNDUP((ROW()-1)/4, 0))</f>
        <v>VND-393</v>
      </c>
      <c r="B1573" t="str">
        <f t="shared" si="168"/>
        <v>Sustainability Disclosure</v>
      </c>
      <c r="C1573" t="str">
        <f t="shared" si="169"/>
        <v>Yes</v>
      </c>
      <c r="D1573" t="str">
        <f t="shared" si="170"/>
        <v>No</v>
      </c>
      <c r="E1573" s="1">
        <v>45616</v>
      </c>
      <c r="F1573" s="1">
        <v>45910</v>
      </c>
      <c r="G1573">
        <f t="shared" ca="1" si="171"/>
        <v>-173</v>
      </c>
      <c r="H1573" t="str">
        <f t="shared" ca="1" si="172"/>
        <v>Missing</v>
      </c>
      <c r="I1573">
        <f t="shared" ca="1" si="173"/>
        <v>1</v>
      </c>
      <c r="J1573" t="str">
        <f t="shared" si="174"/>
        <v>Environmental</v>
      </c>
    </row>
    <row r="1574" spans="1:10">
      <c r="A1574" t="str" cm="1">
        <f t="array" ref="A1574">INDEX(Vendor_Master!$A$2:$A$401, ROUNDUP((ROW()-1)/4, 0))</f>
        <v>VND-394</v>
      </c>
      <c r="B1574" t="str">
        <f t="shared" si="168"/>
        <v>ISO 14001</v>
      </c>
      <c r="C1574" t="str">
        <f t="shared" si="169"/>
        <v>Yes</v>
      </c>
      <c r="D1574" t="str">
        <f t="shared" si="170"/>
        <v>No</v>
      </c>
      <c r="E1574" s="1">
        <v>45543</v>
      </c>
      <c r="F1574" s="1">
        <v>46042</v>
      </c>
      <c r="G1574">
        <f t="shared" ca="1" si="171"/>
        <v>-41</v>
      </c>
      <c r="H1574" t="str">
        <f t="shared" ca="1" si="172"/>
        <v>Missing</v>
      </c>
      <c r="I1574">
        <f t="shared" ca="1" si="173"/>
        <v>1</v>
      </c>
      <c r="J1574" t="str">
        <f t="shared" si="174"/>
        <v>Environmental</v>
      </c>
    </row>
    <row r="1575" spans="1:10">
      <c r="A1575" t="str" cm="1">
        <f t="array" ref="A1575">INDEX(Vendor_Master!$A$2:$A$401, ROUNDUP((ROW()-1)/4, 0))</f>
        <v>VND-394</v>
      </c>
      <c r="B1575" t="str">
        <f t="shared" si="168"/>
        <v>Safety Certificate</v>
      </c>
      <c r="C1575" t="str">
        <f t="shared" si="169"/>
        <v>Yes</v>
      </c>
      <c r="D1575" t="str">
        <f t="shared" si="170"/>
        <v>No</v>
      </c>
      <c r="E1575" s="1">
        <v>45619</v>
      </c>
      <c r="F1575" s="1">
        <v>45959</v>
      </c>
      <c r="G1575">
        <f t="shared" ca="1" si="171"/>
        <v>-124</v>
      </c>
      <c r="H1575" t="str">
        <f t="shared" ca="1" si="172"/>
        <v>Missing</v>
      </c>
      <c r="I1575">
        <f t="shared" ca="1" si="173"/>
        <v>1</v>
      </c>
      <c r="J1575" t="str">
        <f t="shared" si="174"/>
        <v>Safety</v>
      </c>
    </row>
    <row r="1576" spans="1:10">
      <c r="A1576" t="str" cm="1">
        <f t="array" ref="A1576">INDEX(Vendor_Master!$A$2:$A$401, ROUNDUP((ROW()-1)/4, 0))</f>
        <v>VND-394</v>
      </c>
      <c r="B1576" t="str">
        <f t="shared" si="168"/>
        <v>Environmental Policy</v>
      </c>
      <c r="C1576" t="str">
        <f t="shared" si="169"/>
        <v>Yes</v>
      </c>
      <c r="D1576" t="str">
        <f t="shared" si="170"/>
        <v>No</v>
      </c>
      <c r="E1576" s="1">
        <v>45864</v>
      </c>
      <c r="F1576" s="1">
        <v>46062</v>
      </c>
      <c r="G1576">
        <f t="shared" ca="1" si="171"/>
        <v>-21</v>
      </c>
      <c r="H1576" t="str">
        <f t="shared" ca="1" si="172"/>
        <v>Missing</v>
      </c>
      <c r="I1576">
        <f t="shared" ca="1" si="173"/>
        <v>1</v>
      </c>
      <c r="J1576" t="str">
        <f t="shared" si="174"/>
        <v>Environmental</v>
      </c>
    </row>
    <row r="1577" spans="1:10">
      <c r="A1577" t="str" cm="1">
        <f t="array" ref="A1577">INDEX(Vendor_Master!$A$2:$A$401, ROUNDUP((ROW()-1)/4, 0))</f>
        <v>VND-394</v>
      </c>
      <c r="B1577" t="str">
        <f t="shared" si="168"/>
        <v>Sustainability Disclosure</v>
      </c>
      <c r="C1577" t="str">
        <f t="shared" si="169"/>
        <v>Yes</v>
      </c>
      <c r="D1577" t="str">
        <f t="shared" si="170"/>
        <v>No</v>
      </c>
      <c r="E1577" s="1">
        <v>45986</v>
      </c>
      <c r="F1577" s="1">
        <v>46002</v>
      </c>
      <c r="G1577">
        <f t="shared" ca="1" si="171"/>
        <v>-81</v>
      </c>
      <c r="H1577" t="str">
        <f t="shared" ca="1" si="172"/>
        <v>Missing</v>
      </c>
      <c r="I1577">
        <f t="shared" ca="1" si="173"/>
        <v>1</v>
      </c>
      <c r="J1577" t="str">
        <f t="shared" si="174"/>
        <v>Environmental</v>
      </c>
    </row>
    <row r="1578" spans="1:10">
      <c r="A1578" t="str" cm="1">
        <f t="array" ref="A1578">INDEX(Vendor_Master!$A$2:$A$401, ROUNDUP((ROW()-1)/4, 0))</f>
        <v>VND-395</v>
      </c>
      <c r="B1578" t="str">
        <f t="shared" si="168"/>
        <v>ISO 14001</v>
      </c>
      <c r="C1578" t="str">
        <f t="shared" si="169"/>
        <v>Yes</v>
      </c>
      <c r="D1578" t="str">
        <f t="shared" si="170"/>
        <v>No</v>
      </c>
      <c r="E1578" s="1">
        <v>45854</v>
      </c>
      <c r="F1578" s="1">
        <v>46053</v>
      </c>
      <c r="G1578">
        <f t="shared" ca="1" si="171"/>
        <v>-30</v>
      </c>
      <c r="H1578" t="str">
        <f t="shared" ca="1" si="172"/>
        <v>Missing</v>
      </c>
      <c r="I1578">
        <f t="shared" ca="1" si="173"/>
        <v>1</v>
      </c>
      <c r="J1578" t="str">
        <f t="shared" si="174"/>
        <v>Environmental</v>
      </c>
    </row>
    <row r="1579" spans="1:10">
      <c r="A1579" t="str" cm="1">
        <f t="array" ref="A1579">INDEX(Vendor_Master!$A$2:$A$401, ROUNDUP((ROW()-1)/4, 0))</f>
        <v>VND-395</v>
      </c>
      <c r="B1579" t="str">
        <f t="shared" si="168"/>
        <v>Safety Certificate</v>
      </c>
      <c r="C1579" t="str">
        <f t="shared" si="169"/>
        <v>Yes</v>
      </c>
      <c r="D1579" t="str">
        <f t="shared" si="170"/>
        <v>No</v>
      </c>
      <c r="E1579" s="1">
        <v>45679</v>
      </c>
      <c r="F1579" s="1">
        <v>45942</v>
      </c>
      <c r="G1579">
        <f t="shared" ca="1" si="171"/>
        <v>-141</v>
      </c>
      <c r="H1579" t="str">
        <f t="shared" ca="1" si="172"/>
        <v>Missing</v>
      </c>
      <c r="I1579">
        <f t="shared" ca="1" si="173"/>
        <v>1</v>
      </c>
      <c r="J1579" t="str">
        <f t="shared" si="174"/>
        <v>Safety</v>
      </c>
    </row>
    <row r="1580" spans="1:10">
      <c r="A1580" t="str" cm="1">
        <f t="array" ref="A1580">INDEX(Vendor_Master!$A$2:$A$401, ROUNDUP((ROW()-1)/4, 0))</f>
        <v>VND-395</v>
      </c>
      <c r="B1580" t="str">
        <f t="shared" si="168"/>
        <v>Environmental Policy</v>
      </c>
      <c r="C1580" t="str">
        <f t="shared" si="169"/>
        <v>Yes</v>
      </c>
      <c r="D1580" t="str">
        <f t="shared" si="170"/>
        <v>No</v>
      </c>
      <c r="E1580" s="1">
        <v>45704</v>
      </c>
      <c r="F1580" s="1">
        <v>46031</v>
      </c>
      <c r="G1580">
        <f t="shared" ca="1" si="171"/>
        <v>-52</v>
      </c>
      <c r="H1580" t="str">
        <f t="shared" ca="1" si="172"/>
        <v>Missing</v>
      </c>
      <c r="I1580">
        <f t="shared" ca="1" si="173"/>
        <v>1</v>
      </c>
      <c r="J1580" t="str">
        <f t="shared" si="174"/>
        <v>Environmental</v>
      </c>
    </row>
    <row r="1581" spans="1:10">
      <c r="A1581" t="str" cm="1">
        <f t="array" ref="A1581">INDEX(Vendor_Master!$A$2:$A$401, ROUNDUP((ROW()-1)/4, 0))</f>
        <v>VND-395</v>
      </c>
      <c r="B1581" t="str">
        <f t="shared" si="168"/>
        <v>Sustainability Disclosure</v>
      </c>
      <c r="C1581" t="str">
        <f t="shared" si="169"/>
        <v>Yes</v>
      </c>
      <c r="D1581" t="str">
        <f t="shared" si="170"/>
        <v>No</v>
      </c>
      <c r="E1581" s="1">
        <v>45784</v>
      </c>
      <c r="F1581" s="1">
        <v>46080</v>
      </c>
      <c r="G1581">
        <f t="shared" ca="1" si="171"/>
        <v>-3</v>
      </c>
      <c r="H1581" t="str">
        <f t="shared" ca="1" si="172"/>
        <v>Missing</v>
      </c>
      <c r="I1581">
        <f t="shared" ca="1" si="173"/>
        <v>1</v>
      </c>
      <c r="J1581" t="str">
        <f t="shared" si="174"/>
        <v>Environmental</v>
      </c>
    </row>
    <row r="1582" spans="1:10">
      <c r="A1582" t="str" cm="1">
        <f t="array" ref="A1582">INDEX(Vendor_Master!$A$2:$A$401, ROUNDUP((ROW()-1)/4, 0))</f>
        <v>VND-396</v>
      </c>
      <c r="B1582" t="str">
        <f t="shared" si="168"/>
        <v>ISO 14001</v>
      </c>
      <c r="C1582" t="str">
        <f t="shared" si="169"/>
        <v>Yes</v>
      </c>
      <c r="D1582" t="str">
        <f t="shared" si="170"/>
        <v>No</v>
      </c>
      <c r="E1582" s="1">
        <v>45782</v>
      </c>
      <c r="F1582" s="1">
        <v>45943</v>
      </c>
      <c r="G1582">
        <f t="shared" ca="1" si="171"/>
        <v>-140</v>
      </c>
      <c r="H1582" t="str">
        <f t="shared" ca="1" si="172"/>
        <v>Missing</v>
      </c>
      <c r="I1582">
        <f t="shared" ca="1" si="173"/>
        <v>1</v>
      </c>
      <c r="J1582" t="str">
        <f t="shared" si="174"/>
        <v>Environmental</v>
      </c>
    </row>
    <row r="1583" spans="1:10">
      <c r="A1583" t="str" cm="1">
        <f t="array" ref="A1583">INDEX(Vendor_Master!$A$2:$A$401, ROUNDUP((ROW()-1)/4, 0))</f>
        <v>VND-396</v>
      </c>
      <c r="B1583" t="str">
        <f t="shared" si="168"/>
        <v>Safety Certificate</v>
      </c>
      <c r="C1583" t="str">
        <f t="shared" si="169"/>
        <v>Yes</v>
      </c>
      <c r="D1583" t="str">
        <f t="shared" si="170"/>
        <v>No</v>
      </c>
      <c r="E1583" s="1">
        <v>45647</v>
      </c>
      <c r="F1583" s="1">
        <v>45927</v>
      </c>
      <c r="G1583">
        <f t="shared" ca="1" si="171"/>
        <v>-156</v>
      </c>
      <c r="H1583" t="str">
        <f t="shared" ca="1" si="172"/>
        <v>Missing</v>
      </c>
      <c r="I1583">
        <f t="shared" ca="1" si="173"/>
        <v>1</v>
      </c>
      <c r="J1583" t="str">
        <f t="shared" si="174"/>
        <v>Safety</v>
      </c>
    </row>
    <row r="1584" spans="1:10">
      <c r="A1584" t="str" cm="1">
        <f t="array" ref="A1584">INDEX(Vendor_Master!$A$2:$A$401, ROUNDUP((ROW()-1)/4, 0))</f>
        <v>VND-396</v>
      </c>
      <c r="B1584" t="str">
        <f t="shared" si="168"/>
        <v>Environmental Policy</v>
      </c>
      <c r="C1584" t="str">
        <f t="shared" si="169"/>
        <v>Yes</v>
      </c>
      <c r="D1584" t="str">
        <f t="shared" si="170"/>
        <v>No</v>
      </c>
      <c r="E1584" s="1">
        <v>45654</v>
      </c>
      <c r="F1584" s="1">
        <v>46067</v>
      </c>
      <c r="G1584">
        <f t="shared" ca="1" si="171"/>
        <v>-16</v>
      </c>
      <c r="H1584" t="str">
        <f t="shared" ca="1" si="172"/>
        <v>Missing</v>
      </c>
      <c r="I1584">
        <f t="shared" ca="1" si="173"/>
        <v>1</v>
      </c>
      <c r="J1584" t="str">
        <f t="shared" si="174"/>
        <v>Environmental</v>
      </c>
    </row>
    <row r="1585" spans="1:10">
      <c r="A1585" t="str" cm="1">
        <f t="array" ref="A1585">INDEX(Vendor_Master!$A$2:$A$401, ROUNDUP((ROW()-1)/4, 0))</f>
        <v>VND-396</v>
      </c>
      <c r="B1585" t="str">
        <f t="shared" si="168"/>
        <v>Sustainability Disclosure</v>
      </c>
      <c r="C1585" t="str">
        <f t="shared" si="169"/>
        <v>Yes</v>
      </c>
      <c r="D1585" t="str">
        <f t="shared" si="170"/>
        <v>No</v>
      </c>
      <c r="E1585" s="1">
        <v>45449</v>
      </c>
      <c r="F1585" s="1">
        <v>46030</v>
      </c>
      <c r="G1585">
        <f t="shared" ca="1" si="171"/>
        <v>-53</v>
      </c>
      <c r="H1585" t="str">
        <f t="shared" ca="1" si="172"/>
        <v>Missing</v>
      </c>
      <c r="I1585">
        <f t="shared" ca="1" si="173"/>
        <v>1</v>
      </c>
      <c r="J1585" t="str">
        <f t="shared" si="174"/>
        <v>Environmental</v>
      </c>
    </row>
    <row r="1586" spans="1:10">
      <c r="A1586" t="str" cm="1">
        <f t="array" ref="A1586">INDEX(Vendor_Master!$A$2:$A$401, ROUNDUP((ROW()-1)/4, 0))</f>
        <v>VND-397</v>
      </c>
      <c r="B1586" t="str">
        <f t="shared" si="168"/>
        <v>ISO 14001</v>
      </c>
      <c r="C1586" t="str">
        <f t="shared" si="169"/>
        <v>Yes</v>
      </c>
      <c r="D1586" t="str">
        <f t="shared" si="170"/>
        <v>No</v>
      </c>
      <c r="E1586" s="1">
        <v>45473</v>
      </c>
      <c r="F1586" s="1">
        <v>46025</v>
      </c>
      <c r="G1586">
        <f t="shared" ca="1" si="171"/>
        <v>-58</v>
      </c>
      <c r="H1586" t="str">
        <f t="shared" ca="1" si="172"/>
        <v>Missing</v>
      </c>
      <c r="I1586">
        <f t="shared" ca="1" si="173"/>
        <v>1</v>
      </c>
      <c r="J1586" t="str">
        <f t="shared" si="174"/>
        <v>Environmental</v>
      </c>
    </row>
    <row r="1587" spans="1:10">
      <c r="A1587" t="str" cm="1">
        <f t="array" ref="A1587">INDEX(Vendor_Master!$A$2:$A$401, ROUNDUP((ROW()-1)/4, 0))</f>
        <v>VND-397</v>
      </c>
      <c r="B1587" t="str">
        <f t="shared" si="168"/>
        <v>Safety Certificate</v>
      </c>
      <c r="C1587" t="str">
        <f t="shared" si="169"/>
        <v>Yes</v>
      </c>
      <c r="D1587" t="str">
        <f t="shared" si="170"/>
        <v>No</v>
      </c>
      <c r="E1587" s="1">
        <v>45719</v>
      </c>
      <c r="F1587" s="1">
        <v>45957</v>
      </c>
      <c r="G1587">
        <f t="shared" ca="1" si="171"/>
        <v>-126</v>
      </c>
      <c r="H1587" t="str">
        <f t="shared" ca="1" si="172"/>
        <v>Missing</v>
      </c>
      <c r="I1587">
        <f t="shared" ca="1" si="173"/>
        <v>1</v>
      </c>
      <c r="J1587" t="str">
        <f t="shared" si="174"/>
        <v>Safety</v>
      </c>
    </row>
    <row r="1588" spans="1:10">
      <c r="A1588" t="str" cm="1">
        <f t="array" ref="A1588">INDEX(Vendor_Master!$A$2:$A$401, ROUNDUP((ROW()-1)/4, 0))</f>
        <v>VND-397</v>
      </c>
      <c r="B1588" t="str">
        <f t="shared" si="168"/>
        <v>Environmental Policy</v>
      </c>
      <c r="C1588" t="str">
        <f t="shared" si="169"/>
        <v>Yes</v>
      </c>
      <c r="D1588" t="str">
        <f t="shared" si="170"/>
        <v>No</v>
      </c>
      <c r="E1588" s="1">
        <v>45884</v>
      </c>
      <c r="F1588" s="1">
        <v>46029</v>
      </c>
      <c r="G1588">
        <f t="shared" ca="1" si="171"/>
        <v>-54</v>
      </c>
      <c r="H1588" t="str">
        <f t="shared" ca="1" si="172"/>
        <v>Missing</v>
      </c>
      <c r="I1588">
        <f t="shared" ca="1" si="173"/>
        <v>1</v>
      </c>
      <c r="J1588" t="str">
        <f t="shared" si="174"/>
        <v>Environmental</v>
      </c>
    </row>
    <row r="1589" spans="1:10">
      <c r="A1589" t="str" cm="1">
        <f t="array" ref="A1589">INDEX(Vendor_Master!$A$2:$A$401, ROUNDUP((ROW()-1)/4, 0))</f>
        <v>VND-397</v>
      </c>
      <c r="B1589" t="str">
        <f t="shared" si="168"/>
        <v>Sustainability Disclosure</v>
      </c>
      <c r="C1589" t="str">
        <f t="shared" si="169"/>
        <v>Yes</v>
      </c>
      <c r="D1589" t="str">
        <f t="shared" si="170"/>
        <v>No</v>
      </c>
      <c r="E1589" s="1">
        <v>45831</v>
      </c>
      <c r="F1589" s="1">
        <v>46037</v>
      </c>
      <c r="G1589">
        <f t="shared" ca="1" si="171"/>
        <v>-46</v>
      </c>
      <c r="H1589" t="str">
        <f t="shared" ca="1" si="172"/>
        <v>Missing</v>
      </c>
      <c r="I1589">
        <f t="shared" ca="1" si="173"/>
        <v>1</v>
      </c>
      <c r="J1589" t="str">
        <f t="shared" si="174"/>
        <v>Environmental</v>
      </c>
    </row>
    <row r="1590" spans="1:10">
      <c r="A1590" t="str" cm="1">
        <f t="array" ref="A1590">INDEX(Vendor_Master!$A$2:$A$401, ROUNDUP((ROW()-1)/4, 0))</f>
        <v>VND-398</v>
      </c>
      <c r="B1590" t="str">
        <f t="shared" si="168"/>
        <v>ISO 14001</v>
      </c>
      <c r="C1590" t="str">
        <f t="shared" si="169"/>
        <v>Yes</v>
      </c>
      <c r="D1590" t="str">
        <f t="shared" si="170"/>
        <v>No</v>
      </c>
      <c r="E1590" s="1">
        <v>45870</v>
      </c>
      <c r="F1590" s="1">
        <v>45957</v>
      </c>
      <c r="G1590">
        <f t="shared" ca="1" si="171"/>
        <v>-126</v>
      </c>
      <c r="H1590" t="str">
        <f t="shared" ca="1" si="172"/>
        <v>Missing</v>
      </c>
      <c r="I1590">
        <f t="shared" ca="1" si="173"/>
        <v>1</v>
      </c>
      <c r="J1590" t="str">
        <f t="shared" si="174"/>
        <v>Environmental</v>
      </c>
    </row>
    <row r="1591" spans="1:10">
      <c r="A1591" t="str" cm="1">
        <f t="array" ref="A1591">INDEX(Vendor_Master!$A$2:$A$401, ROUNDUP((ROW()-1)/4, 0))</f>
        <v>VND-398</v>
      </c>
      <c r="B1591" t="str">
        <f t="shared" si="168"/>
        <v>Safety Certificate</v>
      </c>
      <c r="C1591" t="str">
        <f t="shared" si="169"/>
        <v>Yes</v>
      </c>
      <c r="D1591" t="str">
        <f t="shared" si="170"/>
        <v>No</v>
      </c>
      <c r="E1591" s="1">
        <v>45782</v>
      </c>
      <c r="F1591" s="1">
        <v>45906</v>
      </c>
      <c r="G1591">
        <f t="shared" ca="1" si="171"/>
        <v>-177</v>
      </c>
      <c r="H1591" t="str">
        <f t="shared" ca="1" si="172"/>
        <v>Missing</v>
      </c>
      <c r="I1591">
        <f t="shared" ca="1" si="173"/>
        <v>1</v>
      </c>
      <c r="J1591" t="str">
        <f t="shared" si="174"/>
        <v>Safety</v>
      </c>
    </row>
    <row r="1592" spans="1:10">
      <c r="A1592" t="str" cm="1">
        <f t="array" ref="A1592">INDEX(Vendor_Master!$A$2:$A$401, ROUNDUP((ROW()-1)/4, 0))</f>
        <v>VND-398</v>
      </c>
      <c r="B1592" t="str">
        <f t="shared" si="168"/>
        <v>Environmental Policy</v>
      </c>
      <c r="C1592" t="str">
        <f t="shared" si="169"/>
        <v>Yes</v>
      </c>
      <c r="D1592" t="str">
        <f t="shared" si="170"/>
        <v>No</v>
      </c>
      <c r="E1592" s="1">
        <v>45754</v>
      </c>
      <c r="F1592" s="1">
        <v>45913</v>
      </c>
      <c r="G1592">
        <f t="shared" ca="1" si="171"/>
        <v>-170</v>
      </c>
      <c r="H1592" t="str">
        <f t="shared" ca="1" si="172"/>
        <v>Missing</v>
      </c>
      <c r="I1592">
        <f t="shared" ca="1" si="173"/>
        <v>1</v>
      </c>
      <c r="J1592" t="str">
        <f t="shared" si="174"/>
        <v>Environmental</v>
      </c>
    </row>
    <row r="1593" spans="1:10">
      <c r="A1593" t="str" cm="1">
        <f t="array" ref="A1593">INDEX(Vendor_Master!$A$2:$A$401, ROUNDUP((ROW()-1)/4, 0))</f>
        <v>VND-398</v>
      </c>
      <c r="B1593" t="str">
        <f t="shared" si="168"/>
        <v>Sustainability Disclosure</v>
      </c>
      <c r="C1593" t="str">
        <f t="shared" si="169"/>
        <v>Yes</v>
      </c>
      <c r="D1593" t="str">
        <f t="shared" si="170"/>
        <v>No</v>
      </c>
      <c r="E1593" s="1">
        <v>45413</v>
      </c>
      <c r="F1593" s="1">
        <v>46042</v>
      </c>
      <c r="G1593">
        <f t="shared" ca="1" si="171"/>
        <v>-41</v>
      </c>
      <c r="H1593" t="str">
        <f t="shared" ca="1" si="172"/>
        <v>Missing</v>
      </c>
      <c r="I1593">
        <f t="shared" ca="1" si="173"/>
        <v>1</v>
      </c>
      <c r="J1593" t="str">
        <f t="shared" si="174"/>
        <v>Environmental</v>
      </c>
    </row>
    <row r="1594" spans="1:10">
      <c r="A1594" t="str" cm="1">
        <f t="array" ref="A1594">INDEX(Vendor_Master!$A$2:$A$401, ROUNDUP((ROW()-1)/4, 0))</f>
        <v>VND-399</v>
      </c>
      <c r="B1594" t="str">
        <f t="shared" si="168"/>
        <v>ISO 14001</v>
      </c>
      <c r="C1594" t="str">
        <f t="shared" si="169"/>
        <v>Yes</v>
      </c>
      <c r="D1594" t="str">
        <f t="shared" si="170"/>
        <v>No</v>
      </c>
      <c r="E1594" s="1">
        <v>45390</v>
      </c>
      <c r="F1594" s="1">
        <v>46065</v>
      </c>
      <c r="G1594">
        <f t="shared" ca="1" si="171"/>
        <v>-18</v>
      </c>
      <c r="H1594" t="str">
        <f t="shared" ca="1" si="172"/>
        <v>Missing</v>
      </c>
      <c r="I1594">
        <f t="shared" ca="1" si="173"/>
        <v>1</v>
      </c>
      <c r="J1594" t="str">
        <f t="shared" si="174"/>
        <v>Environmental</v>
      </c>
    </row>
    <row r="1595" spans="1:10">
      <c r="A1595" t="str" cm="1">
        <f t="array" ref="A1595">INDEX(Vendor_Master!$A$2:$A$401, ROUNDUP((ROW()-1)/4, 0))</f>
        <v>VND-399</v>
      </c>
      <c r="B1595" t="str">
        <f t="shared" si="168"/>
        <v>Safety Certificate</v>
      </c>
      <c r="C1595" t="str">
        <f t="shared" si="169"/>
        <v>Yes</v>
      </c>
      <c r="D1595" t="str">
        <f t="shared" si="170"/>
        <v>No</v>
      </c>
      <c r="E1595" s="1">
        <v>45715</v>
      </c>
      <c r="F1595" s="1">
        <v>46049</v>
      </c>
      <c r="G1595">
        <f t="shared" ca="1" si="171"/>
        <v>-34</v>
      </c>
      <c r="H1595" t="str">
        <f t="shared" ca="1" si="172"/>
        <v>Missing</v>
      </c>
      <c r="I1595">
        <f t="shared" ca="1" si="173"/>
        <v>1</v>
      </c>
      <c r="J1595" t="str">
        <f t="shared" si="174"/>
        <v>Safety</v>
      </c>
    </row>
    <row r="1596" spans="1:10">
      <c r="A1596" t="str" cm="1">
        <f t="array" ref="A1596">INDEX(Vendor_Master!$A$2:$A$401, ROUNDUP((ROW()-1)/4, 0))</f>
        <v>VND-399</v>
      </c>
      <c r="B1596" t="str">
        <f t="shared" si="168"/>
        <v>Environmental Policy</v>
      </c>
      <c r="C1596" t="str">
        <f t="shared" si="169"/>
        <v>Yes</v>
      </c>
      <c r="D1596" t="str">
        <f t="shared" si="170"/>
        <v>No</v>
      </c>
      <c r="E1596" s="1">
        <v>45647</v>
      </c>
      <c r="F1596" s="1">
        <v>46008</v>
      </c>
      <c r="G1596">
        <f t="shared" ca="1" si="171"/>
        <v>-75</v>
      </c>
      <c r="H1596" t="str">
        <f t="shared" ca="1" si="172"/>
        <v>Missing</v>
      </c>
      <c r="I1596">
        <f t="shared" ca="1" si="173"/>
        <v>1</v>
      </c>
      <c r="J1596" t="str">
        <f t="shared" si="174"/>
        <v>Environmental</v>
      </c>
    </row>
    <row r="1597" spans="1:10">
      <c r="A1597" t="str" cm="1">
        <f t="array" ref="A1597">INDEX(Vendor_Master!$A$2:$A$401, ROUNDUP((ROW()-1)/4, 0))</f>
        <v>VND-399</v>
      </c>
      <c r="B1597" t="str">
        <f t="shared" si="168"/>
        <v>Sustainability Disclosure</v>
      </c>
      <c r="C1597" t="str">
        <f t="shared" si="169"/>
        <v>Yes</v>
      </c>
      <c r="D1597" t="str">
        <f t="shared" si="170"/>
        <v>No</v>
      </c>
      <c r="E1597" s="1">
        <v>45971</v>
      </c>
      <c r="F1597" s="1">
        <v>45926</v>
      </c>
      <c r="G1597">
        <f t="shared" ca="1" si="171"/>
        <v>-157</v>
      </c>
      <c r="H1597" t="str">
        <f t="shared" ca="1" si="172"/>
        <v>Missing</v>
      </c>
      <c r="I1597">
        <f t="shared" ca="1" si="173"/>
        <v>1</v>
      </c>
      <c r="J1597" t="str">
        <f t="shared" si="174"/>
        <v>Environmental</v>
      </c>
    </row>
    <row r="1598" spans="1:10">
      <c r="A1598" t="str" cm="1">
        <f t="array" ref="A1598">INDEX(Vendor_Master!$A$2:$A$401, ROUNDUP((ROW()-1)/4, 0))</f>
        <v>VND-400</v>
      </c>
      <c r="B1598" t="str">
        <f t="shared" si="168"/>
        <v>ISO 14001</v>
      </c>
      <c r="C1598" t="str">
        <f t="shared" si="169"/>
        <v>Yes</v>
      </c>
      <c r="D1598" t="str">
        <f t="shared" si="170"/>
        <v>No</v>
      </c>
      <c r="E1598" s="1">
        <v>45412</v>
      </c>
      <c r="F1598" s="1">
        <v>45963</v>
      </c>
      <c r="G1598">
        <f t="shared" ca="1" si="171"/>
        <v>-120</v>
      </c>
      <c r="H1598" t="str">
        <f t="shared" ca="1" si="172"/>
        <v>Missing</v>
      </c>
      <c r="I1598">
        <f t="shared" ca="1" si="173"/>
        <v>1</v>
      </c>
      <c r="J1598" t="str">
        <f t="shared" si="174"/>
        <v>Environmental</v>
      </c>
    </row>
    <row r="1599" spans="1:10">
      <c r="A1599" t="str" cm="1">
        <f t="array" ref="A1599">INDEX(Vendor_Master!$A$2:$A$401, ROUNDUP((ROW()-1)/4, 0))</f>
        <v>VND-400</v>
      </c>
      <c r="B1599" t="str">
        <f t="shared" si="168"/>
        <v>Safety Certificate</v>
      </c>
      <c r="C1599" t="str">
        <f t="shared" si="169"/>
        <v>Yes</v>
      </c>
      <c r="D1599" t="str">
        <f t="shared" si="170"/>
        <v>No</v>
      </c>
      <c r="E1599" s="1">
        <v>45930</v>
      </c>
      <c r="F1599" s="1">
        <v>46047</v>
      </c>
      <c r="G1599">
        <f t="shared" ca="1" si="171"/>
        <v>-36</v>
      </c>
      <c r="H1599" t="str">
        <f t="shared" ca="1" si="172"/>
        <v>Missing</v>
      </c>
      <c r="I1599">
        <f t="shared" ca="1" si="173"/>
        <v>1</v>
      </c>
      <c r="J1599" t="str">
        <f t="shared" si="174"/>
        <v>Safety</v>
      </c>
    </row>
    <row r="1600" spans="1:10">
      <c r="A1600" t="str" cm="1">
        <f t="array" ref="A1600">INDEX(Vendor_Master!$A$2:$A$401, ROUNDUP((ROW()-1)/4, 0))</f>
        <v>VND-400</v>
      </c>
      <c r="B1600" t="str">
        <f t="shared" si="168"/>
        <v>Environmental Policy</v>
      </c>
      <c r="C1600" t="str">
        <f t="shared" si="169"/>
        <v>Yes</v>
      </c>
      <c r="D1600" t="str">
        <f t="shared" si="170"/>
        <v>No</v>
      </c>
      <c r="E1600" s="1">
        <v>45897</v>
      </c>
      <c r="F1600" s="1">
        <v>45955</v>
      </c>
      <c r="G1600">
        <f t="shared" ca="1" si="171"/>
        <v>-128</v>
      </c>
      <c r="H1600" t="str">
        <f t="shared" ca="1" si="172"/>
        <v>Missing</v>
      </c>
      <c r="I1600">
        <f t="shared" ca="1" si="173"/>
        <v>1</v>
      </c>
      <c r="J1600" t="str">
        <f t="shared" si="174"/>
        <v>Environmental</v>
      </c>
    </row>
    <row r="1601" spans="1:10">
      <c r="A1601" t="str" cm="1">
        <f t="array" ref="A1601">INDEX(Vendor_Master!$A$2:$A$401, ROUNDUP((ROW()-1)/4, 0))</f>
        <v>VND-400</v>
      </c>
      <c r="B1601" t="str">
        <f t="shared" si="168"/>
        <v>Sustainability Disclosure</v>
      </c>
      <c r="C1601" t="str">
        <f t="shared" si="169"/>
        <v>Yes</v>
      </c>
      <c r="D1601" t="str">
        <f t="shared" si="170"/>
        <v>No</v>
      </c>
      <c r="E1601" s="1">
        <v>45857</v>
      </c>
      <c r="F1601" s="1">
        <v>46043</v>
      </c>
      <c r="G1601">
        <f t="shared" ca="1" si="171"/>
        <v>-40</v>
      </c>
      <c r="H1601" t="str">
        <f t="shared" ca="1" si="172"/>
        <v>Missing</v>
      </c>
      <c r="I1601">
        <f t="shared" ca="1" si="173"/>
        <v>1</v>
      </c>
      <c r="J1601" t="str">
        <f t="shared" si="174"/>
        <v>Environmental</v>
      </c>
    </row>
  </sheetData>
  <autoFilter ref="A1:J1601" xr:uid="{A505F02B-756C-46B0-8D9B-7548113D8FF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8B74-5B68-44BC-A08A-D77C41DEAFD4}">
  <dimension ref="A1:F181"/>
  <sheetViews>
    <sheetView topLeftCell="A162" workbookViewId="0">
      <selection activeCell="H4" sqref="H4"/>
    </sheetView>
  </sheetViews>
  <sheetFormatPr defaultRowHeight="14.5"/>
  <cols>
    <col min="1" max="1" width="12.7265625" customWidth="1"/>
    <col min="2" max="2" width="18.26953125" customWidth="1"/>
    <col min="3" max="3" width="18.08984375" customWidth="1"/>
    <col min="4" max="4" width="16.36328125" customWidth="1"/>
    <col min="5" max="5" width="13.7265625" customWidth="1"/>
    <col min="6" max="6" width="18.90625" customWidth="1"/>
  </cols>
  <sheetData>
    <row r="1" spans="1:6">
      <c r="A1" t="s">
        <v>0</v>
      </c>
      <c r="B1" t="s">
        <v>420</v>
      </c>
      <c r="C1" t="s">
        <v>421</v>
      </c>
      <c r="D1" t="s">
        <v>422</v>
      </c>
      <c r="E1" t="s">
        <v>423</v>
      </c>
      <c r="F1" t="s">
        <v>440</v>
      </c>
    </row>
    <row r="2" spans="1:6">
      <c r="A2" t="s">
        <v>116</v>
      </c>
      <c r="B2" t="s">
        <v>430</v>
      </c>
      <c r="C2" t="s">
        <v>434</v>
      </c>
      <c r="D2" s="1">
        <v>45657</v>
      </c>
      <c r="E2" t="s">
        <v>437</v>
      </c>
      <c r="F2">
        <f>IF(AND($C2="High",$E2="No"),1,0)</f>
        <v>0</v>
      </c>
    </row>
    <row r="3" spans="1:6">
      <c r="A3" t="s">
        <v>69</v>
      </c>
      <c r="B3" t="s">
        <v>431</v>
      </c>
      <c r="C3" t="s">
        <v>434</v>
      </c>
      <c r="D3" s="1">
        <v>45757</v>
      </c>
      <c r="E3" t="s">
        <v>437</v>
      </c>
      <c r="F3">
        <f t="shared" ref="F3:F66" si="0">IF(AND($C3="High",$E3="No"),1,0)</f>
        <v>0</v>
      </c>
    </row>
    <row r="4" spans="1:6">
      <c r="A4" t="s">
        <v>197</v>
      </c>
      <c r="B4" t="s">
        <v>430</v>
      </c>
      <c r="C4" t="s">
        <v>435</v>
      </c>
      <c r="D4" s="1">
        <v>45647</v>
      </c>
      <c r="E4" t="s">
        <v>437</v>
      </c>
      <c r="F4">
        <f t="shared" si="0"/>
        <v>0</v>
      </c>
    </row>
    <row r="5" spans="1:6">
      <c r="A5" t="s">
        <v>402</v>
      </c>
      <c r="B5" t="s">
        <v>431</v>
      </c>
      <c r="C5" t="s">
        <v>435</v>
      </c>
      <c r="D5" s="1">
        <v>45720</v>
      </c>
      <c r="E5" t="s">
        <v>437</v>
      </c>
      <c r="F5">
        <f t="shared" si="0"/>
        <v>0</v>
      </c>
    </row>
    <row r="6" spans="1:6">
      <c r="A6" t="s">
        <v>327</v>
      </c>
      <c r="B6" t="s">
        <v>431</v>
      </c>
      <c r="C6" t="s">
        <v>434</v>
      </c>
      <c r="D6" s="1">
        <v>45544</v>
      </c>
      <c r="E6" t="s">
        <v>438</v>
      </c>
      <c r="F6">
        <f t="shared" si="0"/>
        <v>0</v>
      </c>
    </row>
    <row r="7" spans="1:6">
      <c r="A7" t="s">
        <v>237</v>
      </c>
      <c r="B7" t="s">
        <v>432</v>
      </c>
      <c r="C7" t="s">
        <v>435</v>
      </c>
      <c r="D7" s="1">
        <v>45967</v>
      </c>
      <c r="E7" t="s">
        <v>437</v>
      </c>
      <c r="F7">
        <f t="shared" si="0"/>
        <v>0</v>
      </c>
    </row>
    <row r="8" spans="1:6">
      <c r="A8" t="s">
        <v>110</v>
      </c>
      <c r="B8" t="s">
        <v>433</v>
      </c>
      <c r="C8" t="s">
        <v>435</v>
      </c>
      <c r="D8" s="1">
        <v>45678</v>
      </c>
      <c r="E8" t="s">
        <v>437</v>
      </c>
      <c r="F8">
        <f t="shared" si="0"/>
        <v>0</v>
      </c>
    </row>
    <row r="9" spans="1:6">
      <c r="A9" t="s">
        <v>243</v>
      </c>
      <c r="B9" t="s">
        <v>432</v>
      </c>
      <c r="C9" t="s">
        <v>434</v>
      </c>
      <c r="D9" s="1">
        <v>45452</v>
      </c>
      <c r="E9" t="s">
        <v>437</v>
      </c>
      <c r="F9">
        <f t="shared" si="0"/>
        <v>0</v>
      </c>
    </row>
    <row r="10" spans="1:6">
      <c r="A10" t="s">
        <v>386</v>
      </c>
      <c r="B10" t="s">
        <v>431</v>
      </c>
      <c r="C10" t="s">
        <v>436</v>
      </c>
      <c r="D10" s="1">
        <v>45861</v>
      </c>
      <c r="E10" t="s">
        <v>437</v>
      </c>
      <c r="F10">
        <f t="shared" si="0"/>
        <v>0</v>
      </c>
    </row>
    <row r="11" spans="1:6">
      <c r="A11" t="s">
        <v>123</v>
      </c>
      <c r="B11" t="s">
        <v>431</v>
      </c>
      <c r="C11" t="s">
        <v>435</v>
      </c>
      <c r="D11" s="1">
        <v>45812</v>
      </c>
      <c r="E11" t="s">
        <v>437</v>
      </c>
      <c r="F11">
        <f t="shared" si="0"/>
        <v>0</v>
      </c>
    </row>
    <row r="12" spans="1:6">
      <c r="A12" t="s">
        <v>42</v>
      </c>
      <c r="B12" t="s">
        <v>431</v>
      </c>
      <c r="C12" t="s">
        <v>434</v>
      </c>
      <c r="D12" s="1">
        <v>45732</v>
      </c>
      <c r="E12" t="s">
        <v>437</v>
      </c>
      <c r="F12">
        <f t="shared" si="0"/>
        <v>0</v>
      </c>
    </row>
    <row r="13" spans="1:6">
      <c r="A13" t="s">
        <v>357</v>
      </c>
      <c r="B13" t="s">
        <v>433</v>
      </c>
      <c r="C13" t="s">
        <v>434</v>
      </c>
      <c r="D13" s="1">
        <v>45953</v>
      </c>
      <c r="E13" t="s">
        <v>437</v>
      </c>
      <c r="F13">
        <f t="shared" si="0"/>
        <v>0</v>
      </c>
    </row>
    <row r="14" spans="1:6">
      <c r="A14" t="s">
        <v>85</v>
      </c>
      <c r="B14" t="s">
        <v>430</v>
      </c>
      <c r="C14" t="s">
        <v>434</v>
      </c>
      <c r="D14" s="1">
        <v>45456</v>
      </c>
      <c r="E14" t="s">
        <v>437</v>
      </c>
      <c r="F14">
        <f t="shared" si="0"/>
        <v>0</v>
      </c>
    </row>
    <row r="15" spans="1:6">
      <c r="A15" t="s">
        <v>64</v>
      </c>
      <c r="B15" t="s">
        <v>432</v>
      </c>
      <c r="C15" t="s">
        <v>434</v>
      </c>
      <c r="D15" s="1">
        <v>45667</v>
      </c>
      <c r="E15" t="s">
        <v>437</v>
      </c>
      <c r="F15">
        <f t="shared" si="0"/>
        <v>0</v>
      </c>
    </row>
    <row r="16" spans="1:6">
      <c r="A16" t="s">
        <v>139</v>
      </c>
      <c r="B16" t="s">
        <v>433</v>
      </c>
      <c r="C16" t="s">
        <v>435</v>
      </c>
      <c r="D16" s="1">
        <v>45549</v>
      </c>
      <c r="E16" t="s">
        <v>437</v>
      </c>
      <c r="F16">
        <f t="shared" si="0"/>
        <v>0</v>
      </c>
    </row>
    <row r="17" spans="1:6">
      <c r="A17" t="s">
        <v>331</v>
      </c>
      <c r="B17" t="s">
        <v>432</v>
      </c>
      <c r="C17" t="s">
        <v>436</v>
      </c>
      <c r="D17" s="1">
        <v>45693</v>
      </c>
      <c r="E17" t="s">
        <v>438</v>
      </c>
      <c r="F17">
        <f t="shared" si="0"/>
        <v>1</v>
      </c>
    </row>
    <row r="18" spans="1:6">
      <c r="A18" t="s">
        <v>60</v>
      </c>
      <c r="B18" t="s">
        <v>433</v>
      </c>
      <c r="C18" t="s">
        <v>435</v>
      </c>
      <c r="D18" s="1">
        <v>45480</v>
      </c>
      <c r="E18" t="s">
        <v>437</v>
      </c>
      <c r="F18">
        <f t="shared" si="0"/>
        <v>0</v>
      </c>
    </row>
    <row r="19" spans="1:6">
      <c r="A19" t="s">
        <v>67</v>
      </c>
      <c r="B19" t="s">
        <v>431</v>
      </c>
      <c r="C19" t="s">
        <v>436</v>
      </c>
      <c r="D19" s="1">
        <v>45854</v>
      </c>
      <c r="E19" t="s">
        <v>438</v>
      </c>
      <c r="F19">
        <f t="shared" si="0"/>
        <v>1</v>
      </c>
    </row>
    <row r="20" spans="1:6">
      <c r="A20" t="s">
        <v>63</v>
      </c>
      <c r="B20" t="s">
        <v>431</v>
      </c>
      <c r="C20" t="s">
        <v>435</v>
      </c>
      <c r="D20" s="1">
        <v>45912</v>
      </c>
      <c r="E20" t="s">
        <v>437</v>
      </c>
      <c r="F20">
        <f t="shared" si="0"/>
        <v>0</v>
      </c>
    </row>
    <row r="21" spans="1:6">
      <c r="A21" t="s">
        <v>203</v>
      </c>
      <c r="B21" t="s">
        <v>430</v>
      </c>
      <c r="C21" t="s">
        <v>434</v>
      </c>
      <c r="D21" s="1">
        <v>45503</v>
      </c>
      <c r="E21" t="s">
        <v>437</v>
      </c>
      <c r="F21">
        <f t="shared" si="0"/>
        <v>0</v>
      </c>
    </row>
    <row r="22" spans="1:6">
      <c r="A22" t="s">
        <v>134</v>
      </c>
      <c r="B22" t="s">
        <v>430</v>
      </c>
      <c r="C22" t="s">
        <v>434</v>
      </c>
      <c r="D22" s="1">
        <v>45793</v>
      </c>
      <c r="E22" t="s">
        <v>438</v>
      </c>
      <c r="F22">
        <f t="shared" si="0"/>
        <v>0</v>
      </c>
    </row>
    <row r="23" spans="1:6">
      <c r="A23" t="s">
        <v>113</v>
      </c>
      <c r="B23" t="s">
        <v>432</v>
      </c>
      <c r="C23" t="s">
        <v>435</v>
      </c>
      <c r="D23" s="1">
        <v>45810</v>
      </c>
      <c r="E23" t="s">
        <v>437</v>
      </c>
      <c r="F23">
        <f t="shared" si="0"/>
        <v>0</v>
      </c>
    </row>
    <row r="24" spans="1:6">
      <c r="A24" t="s">
        <v>62</v>
      </c>
      <c r="B24" t="s">
        <v>432</v>
      </c>
      <c r="C24" t="s">
        <v>435</v>
      </c>
      <c r="D24" s="1">
        <v>45370</v>
      </c>
      <c r="E24" t="s">
        <v>437</v>
      </c>
      <c r="F24">
        <f t="shared" si="0"/>
        <v>0</v>
      </c>
    </row>
    <row r="25" spans="1:6">
      <c r="A25" t="s">
        <v>399</v>
      </c>
      <c r="B25" t="s">
        <v>433</v>
      </c>
      <c r="C25" t="s">
        <v>435</v>
      </c>
      <c r="D25" s="1">
        <v>45931</v>
      </c>
      <c r="E25" t="s">
        <v>437</v>
      </c>
      <c r="F25">
        <f t="shared" si="0"/>
        <v>0</v>
      </c>
    </row>
    <row r="26" spans="1:6">
      <c r="A26" t="s">
        <v>351</v>
      </c>
      <c r="B26" t="s">
        <v>430</v>
      </c>
      <c r="C26" t="s">
        <v>435</v>
      </c>
      <c r="D26" s="1">
        <v>45749</v>
      </c>
      <c r="E26" t="s">
        <v>437</v>
      </c>
      <c r="F26">
        <f t="shared" si="0"/>
        <v>0</v>
      </c>
    </row>
    <row r="27" spans="1:6">
      <c r="A27" t="s">
        <v>110</v>
      </c>
      <c r="B27" t="s">
        <v>432</v>
      </c>
      <c r="C27" t="s">
        <v>434</v>
      </c>
      <c r="D27" s="1">
        <v>45661</v>
      </c>
      <c r="E27" t="s">
        <v>437</v>
      </c>
      <c r="F27">
        <f t="shared" si="0"/>
        <v>0</v>
      </c>
    </row>
    <row r="28" spans="1:6">
      <c r="A28" t="s">
        <v>363</v>
      </c>
      <c r="B28" t="s">
        <v>433</v>
      </c>
      <c r="C28" t="s">
        <v>435</v>
      </c>
      <c r="D28" s="1">
        <v>45988</v>
      </c>
      <c r="E28" t="s">
        <v>437</v>
      </c>
      <c r="F28">
        <f t="shared" si="0"/>
        <v>0</v>
      </c>
    </row>
    <row r="29" spans="1:6">
      <c r="A29" t="s">
        <v>27</v>
      </c>
      <c r="B29" t="s">
        <v>430</v>
      </c>
      <c r="C29" t="s">
        <v>435</v>
      </c>
      <c r="D29" s="1">
        <v>46053</v>
      </c>
      <c r="E29" t="s">
        <v>437</v>
      </c>
      <c r="F29">
        <f t="shared" si="0"/>
        <v>0</v>
      </c>
    </row>
    <row r="30" spans="1:6">
      <c r="A30" t="s">
        <v>338</v>
      </c>
      <c r="B30" t="s">
        <v>432</v>
      </c>
      <c r="C30" t="s">
        <v>435</v>
      </c>
      <c r="D30" s="1">
        <v>46003</v>
      </c>
      <c r="E30" t="s">
        <v>437</v>
      </c>
      <c r="F30">
        <f t="shared" si="0"/>
        <v>0</v>
      </c>
    </row>
    <row r="31" spans="1:6">
      <c r="A31" t="s">
        <v>178</v>
      </c>
      <c r="B31" t="s">
        <v>430</v>
      </c>
      <c r="C31" t="s">
        <v>434</v>
      </c>
      <c r="D31" s="1">
        <v>45687</v>
      </c>
      <c r="E31" t="s">
        <v>437</v>
      </c>
      <c r="F31">
        <f t="shared" si="0"/>
        <v>0</v>
      </c>
    </row>
    <row r="32" spans="1:6">
      <c r="A32" t="s">
        <v>106</v>
      </c>
      <c r="B32" t="s">
        <v>431</v>
      </c>
      <c r="C32" t="s">
        <v>435</v>
      </c>
      <c r="D32" s="1">
        <v>45983</v>
      </c>
      <c r="E32" t="s">
        <v>437</v>
      </c>
      <c r="F32">
        <f t="shared" si="0"/>
        <v>0</v>
      </c>
    </row>
    <row r="33" spans="1:6">
      <c r="A33" t="s">
        <v>264</v>
      </c>
      <c r="B33" t="s">
        <v>431</v>
      </c>
      <c r="C33" t="s">
        <v>434</v>
      </c>
      <c r="D33" s="1">
        <v>45641</v>
      </c>
      <c r="E33" t="s">
        <v>437</v>
      </c>
      <c r="F33">
        <f t="shared" si="0"/>
        <v>0</v>
      </c>
    </row>
    <row r="34" spans="1:6">
      <c r="A34" t="s">
        <v>15</v>
      </c>
      <c r="B34" t="s">
        <v>433</v>
      </c>
      <c r="C34" t="s">
        <v>435</v>
      </c>
      <c r="D34" s="1">
        <v>45746</v>
      </c>
      <c r="E34" t="s">
        <v>437</v>
      </c>
      <c r="F34">
        <f t="shared" si="0"/>
        <v>0</v>
      </c>
    </row>
    <row r="35" spans="1:6">
      <c r="A35" t="s">
        <v>390</v>
      </c>
      <c r="B35" t="s">
        <v>433</v>
      </c>
      <c r="C35" t="s">
        <v>434</v>
      </c>
      <c r="D35" s="1">
        <v>45719</v>
      </c>
      <c r="E35" t="s">
        <v>437</v>
      </c>
      <c r="F35">
        <f t="shared" si="0"/>
        <v>0</v>
      </c>
    </row>
    <row r="36" spans="1:6">
      <c r="A36" t="s">
        <v>173</v>
      </c>
      <c r="B36" t="s">
        <v>433</v>
      </c>
      <c r="C36" t="s">
        <v>435</v>
      </c>
      <c r="D36" s="1">
        <v>45885</v>
      </c>
      <c r="E36" t="s">
        <v>437</v>
      </c>
      <c r="F36">
        <f t="shared" si="0"/>
        <v>0</v>
      </c>
    </row>
    <row r="37" spans="1:6">
      <c r="A37" t="s">
        <v>359</v>
      </c>
      <c r="B37" t="s">
        <v>432</v>
      </c>
      <c r="C37" t="s">
        <v>435</v>
      </c>
      <c r="D37" s="1">
        <v>45423</v>
      </c>
      <c r="E37" t="s">
        <v>437</v>
      </c>
      <c r="F37">
        <f t="shared" si="0"/>
        <v>0</v>
      </c>
    </row>
    <row r="38" spans="1:6">
      <c r="A38" t="s">
        <v>136</v>
      </c>
      <c r="B38" t="s">
        <v>431</v>
      </c>
      <c r="C38" t="s">
        <v>435</v>
      </c>
      <c r="D38" s="1">
        <v>45787</v>
      </c>
      <c r="E38" t="s">
        <v>437</v>
      </c>
      <c r="F38">
        <f t="shared" si="0"/>
        <v>0</v>
      </c>
    </row>
    <row r="39" spans="1:6">
      <c r="A39" t="s">
        <v>362</v>
      </c>
      <c r="B39" t="s">
        <v>432</v>
      </c>
      <c r="C39" t="s">
        <v>435</v>
      </c>
      <c r="D39" s="1">
        <v>45951</v>
      </c>
      <c r="E39" t="s">
        <v>437</v>
      </c>
      <c r="F39">
        <f t="shared" si="0"/>
        <v>0</v>
      </c>
    </row>
    <row r="40" spans="1:6">
      <c r="A40" t="s">
        <v>192</v>
      </c>
      <c r="B40" t="s">
        <v>432</v>
      </c>
      <c r="C40" t="s">
        <v>436</v>
      </c>
      <c r="D40" s="1">
        <v>46040</v>
      </c>
      <c r="E40" t="s">
        <v>438</v>
      </c>
      <c r="F40">
        <f t="shared" si="0"/>
        <v>1</v>
      </c>
    </row>
    <row r="41" spans="1:6">
      <c r="A41" t="s">
        <v>126</v>
      </c>
      <c r="B41" t="s">
        <v>432</v>
      </c>
      <c r="C41" t="s">
        <v>435</v>
      </c>
      <c r="D41" s="1">
        <v>45911</v>
      </c>
      <c r="E41" t="s">
        <v>437</v>
      </c>
      <c r="F41">
        <f t="shared" si="0"/>
        <v>0</v>
      </c>
    </row>
    <row r="42" spans="1:6">
      <c r="A42" t="s">
        <v>47</v>
      </c>
      <c r="B42" t="s">
        <v>432</v>
      </c>
      <c r="C42" t="s">
        <v>435</v>
      </c>
      <c r="D42" s="1">
        <v>45363</v>
      </c>
      <c r="E42" t="s">
        <v>438</v>
      </c>
      <c r="F42">
        <f t="shared" si="0"/>
        <v>0</v>
      </c>
    </row>
    <row r="43" spans="1:6">
      <c r="A43" t="s">
        <v>202</v>
      </c>
      <c r="B43" t="s">
        <v>433</v>
      </c>
      <c r="C43" t="s">
        <v>436</v>
      </c>
      <c r="D43" s="1">
        <v>45938</v>
      </c>
      <c r="E43" t="s">
        <v>438</v>
      </c>
      <c r="F43">
        <f t="shared" si="0"/>
        <v>1</v>
      </c>
    </row>
    <row r="44" spans="1:6">
      <c r="A44" t="s">
        <v>197</v>
      </c>
      <c r="B44" t="s">
        <v>432</v>
      </c>
      <c r="C44" t="s">
        <v>435</v>
      </c>
      <c r="D44" s="1">
        <v>45876</v>
      </c>
      <c r="E44" t="s">
        <v>437</v>
      </c>
      <c r="F44">
        <f t="shared" si="0"/>
        <v>0</v>
      </c>
    </row>
    <row r="45" spans="1:6">
      <c r="A45" t="s">
        <v>298</v>
      </c>
      <c r="B45" t="s">
        <v>432</v>
      </c>
      <c r="C45" t="s">
        <v>435</v>
      </c>
      <c r="D45" s="1">
        <v>45809</v>
      </c>
      <c r="E45" t="s">
        <v>437</v>
      </c>
      <c r="F45">
        <f t="shared" si="0"/>
        <v>0</v>
      </c>
    </row>
    <row r="46" spans="1:6">
      <c r="A46" t="s">
        <v>63</v>
      </c>
      <c r="B46" t="s">
        <v>432</v>
      </c>
      <c r="C46" t="s">
        <v>435</v>
      </c>
      <c r="D46" s="1">
        <v>45830</v>
      </c>
      <c r="E46" t="s">
        <v>437</v>
      </c>
      <c r="F46">
        <f t="shared" si="0"/>
        <v>0</v>
      </c>
    </row>
    <row r="47" spans="1:6">
      <c r="A47" t="s">
        <v>94</v>
      </c>
      <c r="B47" t="s">
        <v>430</v>
      </c>
      <c r="C47" t="s">
        <v>435</v>
      </c>
      <c r="D47" s="1">
        <v>46055</v>
      </c>
      <c r="E47" t="s">
        <v>437</v>
      </c>
      <c r="F47">
        <f t="shared" si="0"/>
        <v>0</v>
      </c>
    </row>
    <row r="48" spans="1:6">
      <c r="A48" t="s">
        <v>28</v>
      </c>
      <c r="B48" t="s">
        <v>431</v>
      </c>
      <c r="C48" t="s">
        <v>435</v>
      </c>
      <c r="D48" s="1">
        <v>45460</v>
      </c>
      <c r="E48" t="s">
        <v>437</v>
      </c>
      <c r="F48">
        <f t="shared" si="0"/>
        <v>0</v>
      </c>
    </row>
    <row r="49" spans="1:6">
      <c r="A49" t="s">
        <v>287</v>
      </c>
      <c r="B49" t="s">
        <v>431</v>
      </c>
      <c r="C49" t="s">
        <v>434</v>
      </c>
      <c r="D49" s="1">
        <v>45472</v>
      </c>
      <c r="E49" t="s">
        <v>438</v>
      </c>
      <c r="F49">
        <f t="shared" si="0"/>
        <v>0</v>
      </c>
    </row>
    <row r="50" spans="1:6">
      <c r="A50" t="s">
        <v>52</v>
      </c>
      <c r="B50" t="s">
        <v>433</v>
      </c>
      <c r="C50" t="s">
        <v>434</v>
      </c>
      <c r="D50" s="1">
        <v>45842</v>
      </c>
      <c r="E50" t="s">
        <v>437</v>
      </c>
      <c r="F50">
        <f t="shared" si="0"/>
        <v>0</v>
      </c>
    </row>
    <row r="51" spans="1:6">
      <c r="A51" t="s">
        <v>301</v>
      </c>
      <c r="B51" t="s">
        <v>430</v>
      </c>
      <c r="C51" t="s">
        <v>434</v>
      </c>
      <c r="D51" s="1">
        <v>46049</v>
      </c>
      <c r="E51" t="s">
        <v>437</v>
      </c>
      <c r="F51">
        <f t="shared" si="0"/>
        <v>0</v>
      </c>
    </row>
    <row r="52" spans="1:6">
      <c r="A52" t="s">
        <v>353</v>
      </c>
      <c r="B52" t="s">
        <v>431</v>
      </c>
      <c r="C52" t="s">
        <v>435</v>
      </c>
      <c r="D52" s="1">
        <v>45922</v>
      </c>
      <c r="E52" t="s">
        <v>438</v>
      </c>
      <c r="F52">
        <f t="shared" si="0"/>
        <v>0</v>
      </c>
    </row>
    <row r="53" spans="1:6">
      <c r="A53" t="s">
        <v>177</v>
      </c>
      <c r="B53" t="s">
        <v>433</v>
      </c>
      <c r="C53" t="s">
        <v>435</v>
      </c>
      <c r="D53" s="1">
        <v>45753</v>
      </c>
      <c r="E53" t="s">
        <v>437</v>
      </c>
      <c r="F53">
        <f t="shared" si="0"/>
        <v>0</v>
      </c>
    </row>
    <row r="54" spans="1:6">
      <c r="A54" t="s">
        <v>346</v>
      </c>
      <c r="B54" t="s">
        <v>431</v>
      </c>
      <c r="C54" t="s">
        <v>435</v>
      </c>
      <c r="D54" s="1">
        <v>45876</v>
      </c>
      <c r="E54" t="s">
        <v>438</v>
      </c>
      <c r="F54">
        <f t="shared" si="0"/>
        <v>0</v>
      </c>
    </row>
    <row r="55" spans="1:6">
      <c r="A55" t="s">
        <v>242</v>
      </c>
      <c r="B55" t="s">
        <v>430</v>
      </c>
      <c r="C55" t="s">
        <v>435</v>
      </c>
      <c r="D55" s="1">
        <v>45545</v>
      </c>
      <c r="E55" t="s">
        <v>437</v>
      </c>
      <c r="F55">
        <f t="shared" si="0"/>
        <v>0</v>
      </c>
    </row>
    <row r="56" spans="1:6">
      <c r="A56" t="s">
        <v>93</v>
      </c>
      <c r="B56" t="s">
        <v>432</v>
      </c>
      <c r="C56" t="s">
        <v>435</v>
      </c>
      <c r="D56" s="1">
        <v>45466</v>
      </c>
      <c r="E56" t="s">
        <v>437</v>
      </c>
      <c r="F56">
        <f t="shared" si="0"/>
        <v>0</v>
      </c>
    </row>
    <row r="57" spans="1:6">
      <c r="A57" t="s">
        <v>334</v>
      </c>
      <c r="B57" t="s">
        <v>432</v>
      </c>
      <c r="C57" t="s">
        <v>435</v>
      </c>
      <c r="D57" s="1">
        <v>45479</v>
      </c>
      <c r="E57" t="s">
        <v>437</v>
      </c>
      <c r="F57">
        <f t="shared" si="0"/>
        <v>0</v>
      </c>
    </row>
    <row r="58" spans="1:6">
      <c r="A58" t="s">
        <v>155</v>
      </c>
      <c r="B58" t="s">
        <v>433</v>
      </c>
      <c r="C58" t="s">
        <v>435</v>
      </c>
      <c r="D58" s="1">
        <v>45980</v>
      </c>
      <c r="E58" t="s">
        <v>437</v>
      </c>
      <c r="F58">
        <f t="shared" si="0"/>
        <v>0</v>
      </c>
    </row>
    <row r="59" spans="1:6">
      <c r="A59" t="s">
        <v>164</v>
      </c>
      <c r="B59" t="s">
        <v>431</v>
      </c>
      <c r="C59" t="s">
        <v>435</v>
      </c>
      <c r="D59" s="1">
        <v>45917</v>
      </c>
      <c r="E59" t="s">
        <v>437</v>
      </c>
      <c r="F59">
        <f t="shared" si="0"/>
        <v>0</v>
      </c>
    </row>
    <row r="60" spans="1:6">
      <c r="A60" t="s">
        <v>356</v>
      </c>
      <c r="B60" t="s">
        <v>433</v>
      </c>
      <c r="C60" t="s">
        <v>434</v>
      </c>
      <c r="D60" s="1">
        <v>45957</v>
      </c>
      <c r="E60" t="s">
        <v>437</v>
      </c>
      <c r="F60">
        <f t="shared" si="0"/>
        <v>0</v>
      </c>
    </row>
    <row r="61" spans="1:6">
      <c r="A61" t="s">
        <v>112</v>
      </c>
      <c r="B61" t="s">
        <v>432</v>
      </c>
      <c r="C61" t="s">
        <v>434</v>
      </c>
      <c r="D61" s="1">
        <v>45860</v>
      </c>
      <c r="E61" t="s">
        <v>437</v>
      </c>
      <c r="F61">
        <f t="shared" si="0"/>
        <v>0</v>
      </c>
    </row>
    <row r="62" spans="1:6">
      <c r="A62" t="s">
        <v>336</v>
      </c>
      <c r="B62" t="s">
        <v>433</v>
      </c>
      <c r="C62" t="s">
        <v>436</v>
      </c>
      <c r="D62" s="1">
        <v>45433</v>
      </c>
      <c r="E62" t="s">
        <v>437</v>
      </c>
      <c r="F62">
        <f t="shared" si="0"/>
        <v>0</v>
      </c>
    </row>
    <row r="63" spans="1:6">
      <c r="A63" t="s">
        <v>44</v>
      </c>
      <c r="B63" t="s">
        <v>430</v>
      </c>
      <c r="C63" t="s">
        <v>434</v>
      </c>
      <c r="D63" s="1">
        <v>45936</v>
      </c>
      <c r="E63" t="s">
        <v>438</v>
      </c>
      <c r="F63">
        <f t="shared" si="0"/>
        <v>0</v>
      </c>
    </row>
    <row r="64" spans="1:6">
      <c r="A64" t="s">
        <v>16</v>
      </c>
      <c r="B64" t="s">
        <v>430</v>
      </c>
      <c r="C64" t="s">
        <v>435</v>
      </c>
      <c r="D64" s="1">
        <v>45398</v>
      </c>
      <c r="E64" t="s">
        <v>437</v>
      </c>
      <c r="F64">
        <f t="shared" si="0"/>
        <v>0</v>
      </c>
    </row>
    <row r="65" spans="1:6">
      <c r="A65" t="s">
        <v>35</v>
      </c>
      <c r="B65" t="s">
        <v>433</v>
      </c>
      <c r="C65" t="s">
        <v>435</v>
      </c>
      <c r="D65" s="1">
        <v>45667</v>
      </c>
      <c r="E65" t="s">
        <v>437</v>
      </c>
      <c r="F65">
        <f t="shared" si="0"/>
        <v>0</v>
      </c>
    </row>
    <row r="66" spans="1:6">
      <c r="A66" t="s">
        <v>52</v>
      </c>
      <c r="B66" t="s">
        <v>433</v>
      </c>
      <c r="C66" t="s">
        <v>435</v>
      </c>
      <c r="D66" s="1">
        <v>45521</v>
      </c>
      <c r="E66" t="s">
        <v>438</v>
      </c>
      <c r="F66">
        <f t="shared" si="0"/>
        <v>0</v>
      </c>
    </row>
    <row r="67" spans="1:6">
      <c r="A67" t="s">
        <v>61</v>
      </c>
      <c r="B67" t="s">
        <v>430</v>
      </c>
      <c r="C67" t="s">
        <v>435</v>
      </c>
      <c r="D67" s="1">
        <v>46029</v>
      </c>
      <c r="E67" t="s">
        <v>437</v>
      </c>
      <c r="F67">
        <f t="shared" ref="F67:F130" si="1">IF(AND($C67="High",$E67="No"),1,0)</f>
        <v>0</v>
      </c>
    </row>
    <row r="68" spans="1:6">
      <c r="A68" t="s">
        <v>90</v>
      </c>
      <c r="B68" t="s">
        <v>433</v>
      </c>
      <c r="C68" t="s">
        <v>435</v>
      </c>
      <c r="D68" s="1">
        <v>45594</v>
      </c>
      <c r="E68" t="s">
        <v>437</v>
      </c>
      <c r="F68">
        <f t="shared" si="1"/>
        <v>0</v>
      </c>
    </row>
    <row r="69" spans="1:6">
      <c r="A69" t="s">
        <v>376</v>
      </c>
      <c r="B69" t="s">
        <v>430</v>
      </c>
      <c r="C69" t="s">
        <v>435</v>
      </c>
      <c r="D69" s="1">
        <v>45602</v>
      </c>
      <c r="E69" t="s">
        <v>437</v>
      </c>
      <c r="F69">
        <f t="shared" si="1"/>
        <v>0</v>
      </c>
    </row>
    <row r="70" spans="1:6">
      <c r="A70" t="s">
        <v>78</v>
      </c>
      <c r="B70" t="s">
        <v>432</v>
      </c>
      <c r="C70" t="s">
        <v>434</v>
      </c>
      <c r="D70" s="1">
        <v>45968</v>
      </c>
      <c r="E70" t="s">
        <v>437</v>
      </c>
      <c r="F70">
        <f t="shared" si="1"/>
        <v>0</v>
      </c>
    </row>
    <row r="71" spans="1:6">
      <c r="A71" t="s">
        <v>398</v>
      </c>
      <c r="B71" t="s">
        <v>431</v>
      </c>
      <c r="C71" t="s">
        <v>435</v>
      </c>
      <c r="D71" s="1">
        <v>45860</v>
      </c>
      <c r="E71" t="s">
        <v>437</v>
      </c>
      <c r="F71">
        <f t="shared" si="1"/>
        <v>0</v>
      </c>
    </row>
    <row r="72" spans="1:6">
      <c r="A72" t="s">
        <v>383</v>
      </c>
      <c r="B72" t="s">
        <v>431</v>
      </c>
      <c r="C72" t="s">
        <v>435</v>
      </c>
      <c r="D72" s="1">
        <v>45868</v>
      </c>
      <c r="E72" t="s">
        <v>437</v>
      </c>
      <c r="F72">
        <f t="shared" si="1"/>
        <v>0</v>
      </c>
    </row>
    <row r="73" spans="1:6">
      <c r="A73" t="s">
        <v>297</v>
      </c>
      <c r="B73" t="s">
        <v>433</v>
      </c>
      <c r="C73" t="s">
        <v>434</v>
      </c>
      <c r="D73" s="1">
        <v>46062</v>
      </c>
      <c r="E73" t="s">
        <v>437</v>
      </c>
      <c r="F73">
        <f t="shared" si="1"/>
        <v>0</v>
      </c>
    </row>
    <row r="74" spans="1:6">
      <c r="A74" t="s">
        <v>73</v>
      </c>
      <c r="B74" t="s">
        <v>432</v>
      </c>
      <c r="C74" t="s">
        <v>434</v>
      </c>
      <c r="D74" s="1">
        <v>45506</v>
      </c>
      <c r="E74" t="s">
        <v>437</v>
      </c>
      <c r="F74">
        <f t="shared" si="1"/>
        <v>0</v>
      </c>
    </row>
    <row r="75" spans="1:6">
      <c r="A75" t="s">
        <v>390</v>
      </c>
      <c r="B75" t="s">
        <v>430</v>
      </c>
      <c r="C75" t="s">
        <v>434</v>
      </c>
      <c r="D75" s="1">
        <v>45916</v>
      </c>
      <c r="E75" t="s">
        <v>437</v>
      </c>
      <c r="F75">
        <f t="shared" si="1"/>
        <v>0</v>
      </c>
    </row>
    <row r="76" spans="1:6">
      <c r="A76" t="s">
        <v>294</v>
      </c>
      <c r="B76" t="s">
        <v>432</v>
      </c>
      <c r="C76" t="s">
        <v>434</v>
      </c>
      <c r="D76" s="1">
        <v>45808</v>
      </c>
      <c r="E76" t="s">
        <v>437</v>
      </c>
      <c r="F76">
        <f t="shared" si="1"/>
        <v>0</v>
      </c>
    </row>
    <row r="77" spans="1:6">
      <c r="A77" t="s">
        <v>85</v>
      </c>
      <c r="B77" t="s">
        <v>432</v>
      </c>
      <c r="C77" t="s">
        <v>435</v>
      </c>
      <c r="D77" s="1">
        <v>45728</v>
      </c>
      <c r="E77" t="s">
        <v>437</v>
      </c>
      <c r="F77">
        <f t="shared" si="1"/>
        <v>0</v>
      </c>
    </row>
    <row r="78" spans="1:6">
      <c r="A78" t="s">
        <v>177</v>
      </c>
      <c r="B78" t="s">
        <v>430</v>
      </c>
      <c r="C78" t="s">
        <v>435</v>
      </c>
      <c r="D78" s="1">
        <v>45454</v>
      </c>
      <c r="E78" t="s">
        <v>437</v>
      </c>
      <c r="F78">
        <f t="shared" si="1"/>
        <v>0</v>
      </c>
    </row>
    <row r="79" spans="1:6">
      <c r="A79" t="s">
        <v>328</v>
      </c>
      <c r="B79" t="s">
        <v>431</v>
      </c>
      <c r="C79" t="s">
        <v>434</v>
      </c>
      <c r="D79" s="1">
        <v>45745</v>
      </c>
      <c r="E79" t="s">
        <v>438</v>
      </c>
      <c r="F79">
        <f t="shared" si="1"/>
        <v>0</v>
      </c>
    </row>
    <row r="80" spans="1:6">
      <c r="A80" t="s">
        <v>404</v>
      </c>
      <c r="B80" t="s">
        <v>433</v>
      </c>
      <c r="C80" t="s">
        <v>435</v>
      </c>
      <c r="D80" s="1">
        <v>45658</v>
      </c>
      <c r="E80" t="s">
        <v>437</v>
      </c>
      <c r="F80">
        <f t="shared" si="1"/>
        <v>0</v>
      </c>
    </row>
    <row r="81" spans="1:6">
      <c r="A81" t="s">
        <v>414</v>
      </c>
      <c r="B81" t="s">
        <v>432</v>
      </c>
      <c r="C81" t="s">
        <v>434</v>
      </c>
      <c r="D81" s="1">
        <v>45896</v>
      </c>
      <c r="E81" t="s">
        <v>437</v>
      </c>
      <c r="F81">
        <f t="shared" si="1"/>
        <v>0</v>
      </c>
    </row>
    <row r="82" spans="1:6">
      <c r="A82" t="s">
        <v>416</v>
      </c>
      <c r="B82" t="s">
        <v>430</v>
      </c>
      <c r="C82" t="s">
        <v>435</v>
      </c>
      <c r="D82" s="1">
        <v>45856</v>
      </c>
      <c r="E82" t="s">
        <v>437</v>
      </c>
      <c r="F82">
        <f t="shared" si="1"/>
        <v>0</v>
      </c>
    </row>
    <row r="83" spans="1:6">
      <c r="A83" t="s">
        <v>148</v>
      </c>
      <c r="B83" t="s">
        <v>430</v>
      </c>
      <c r="C83" t="s">
        <v>434</v>
      </c>
      <c r="D83" s="1">
        <v>45670</v>
      </c>
      <c r="E83" t="s">
        <v>437</v>
      </c>
      <c r="F83">
        <f t="shared" si="1"/>
        <v>0</v>
      </c>
    </row>
    <row r="84" spans="1:6">
      <c r="A84" t="s">
        <v>51</v>
      </c>
      <c r="B84" t="s">
        <v>430</v>
      </c>
      <c r="C84" t="s">
        <v>435</v>
      </c>
      <c r="D84" s="1">
        <v>45751</v>
      </c>
      <c r="E84" t="s">
        <v>438</v>
      </c>
      <c r="F84">
        <f t="shared" si="1"/>
        <v>0</v>
      </c>
    </row>
    <row r="85" spans="1:6">
      <c r="A85" t="s">
        <v>59</v>
      </c>
      <c r="B85" t="s">
        <v>430</v>
      </c>
      <c r="C85" t="s">
        <v>434</v>
      </c>
      <c r="D85" s="1">
        <v>45569</v>
      </c>
      <c r="E85" t="s">
        <v>438</v>
      </c>
      <c r="F85">
        <f t="shared" si="1"/>
        <v>0</v>
      </c>
    </row>
    <row r="86" spans="1:6">
      <c r="A86" t="s">
        <v>30</v>
      </c>
      <c r="B86" t="s">
        <v>431</v>
      </c>
      <c r="C86" t="s">
        <v>435</v>
      </c>
      <c r="D86" s="1">
        <v>45491</v>
      </c>
      <c r="E86" t="s">
        <v>437</v>
      </c>
      <c r="F86">
        <f t="shared" si="1"/>
        <v>0</v>
      </c>
    </row>
    <row r="87" spans="1:6">
      <c r="A87" t="s">
        <v>352</v>
      </c>
      <c r="B87" t="s">
        <v>430</v>
      </c>
      <c r="C87" t="s">
        <v>435</v>
      </c>
      <c r="D87" s="1">
        <v>45910</v>
      </c>
      <c r="E87" t="s">
        <v>437</v>
      </c>
      <c r="F87">
        <f t="shared" si="1"/>
        <v>0</v>
      </c>
    </row>
    <row r="88" spans="1:6">
      <c r="A88" t="s">
        <v>42</v>
      </c>
      <c r="B88" t="s">
        <v>431</v>
      </c>
      <c r="C88" t="s">
        <v>435</v>
      </c>
      <c r="D88" s="1">
        <v>45365</v>
      </c>
      <c r="E88" t="s">
        <v>437</v>
      </c>
      <c r="F88">
        <f t="shared" si="1"/>
        <v>0</v>
      </c>
    </row>
    <row r="89" spans="1:6">
      <c r="A89" t="s">
        <v>205</v>
      </c>
      <c r="B89" t="s">
        <v>433</v>
      </c>
      <c r="C89" t="s">
        <v>434</v>
      </c>
      <c r="D89" s="1">
        <v>45668</v>
      </c>
      <c r="E89" t="s">
        <v>437</v>
      </c>
      <c r="F89">
        <f t="shared" si="1"/>
        <v>0</v>
      </c>
    </row>
    <row r="90" spans="1:6">
      <c r="A90" t="s">
        <v>213</v>
      </c>
      <c r="B90" t="s">
        <v>430</v>
      </c>
      <c r="C90" t="s">
        <v>435</v>
      </c>
      <c r="D90" s="1">
        <v>45930</v>
      </c>
      <c r="E90" t="s">
        <v>438</v>
      </c>
      <c r="F90">
        <f t="shared" si="1"/>
        <v>0</v>
      </c>
    </row>
    <row r="91" spans="1:6">
      <c r="A91" t="s">
        <v>92</v>
      </c>
      <c r="B91" t="s">
        <v>431</v>
      </c>
      <c r="C91" t="s">
        <v>435</v>
      </c>
      <c r="D91" s="1">
        <v>45589</v>
      </c>
      <c r="E91" t="s">
        <v>437</v>
      </c>
      <c r="F91">
        <f t="shared" si="1"/>
        <v>0</v>
      </c>
    </row>
    <row r="92" spans="1:6">
      <c r="A92" t="s">
        <v>213</v>
      </c>
      <c r="B92" t="s">
        <v>431</v>
      </c>
      <c r="C92" t="s">
        <v>434</v>
      </c>
      <c r="D92" s="1">
        <v>45404</v>
      </c>
      <c r="E92" t="s">
        <v>438</v>
      </c>
      <c r="F92">
        <f t="shared" si="1"/>
        <v>0</v>
      </c>
    </row>
    <row r="93" spans="1:6">
      <c r="A93" t="s">
        <v>252</v>
      </c>
      <c r="B93" t="s">
        <v>431</v>
      </c>
      <c r="C93" t="s">
        <v>434</v>
      </c>
      <c r="D93" s="1">
        <v>45629</v>
      </c>
      <c r="E93" t="s">
        <v>437</v>
      </c>
      <c r="F93">
        <f t="shared" si="1"/>
        <v>0</v>
      </c>
    </row>
    <row r="94" spans="1:6">
      <c r="A94" t="s">
        <v>329</v>
      </c>
      <c r="B94" t="s">
        <v>433</v>
      </c>
      <c r="C94" t="s">
        <v>435</v>
      </c>
      <c r="D94" s="1">
        <v>45749</v>
      </c>
      <c r="E94" t="s">
        <v>438</v>
      </c>
      <c r="F94">
        <f t="shared" si="1"/>
        <v>0</v>
      </c>
    </row>
    <row r="95" spans="1:6">
      <c r="A95" t="s">
        <v>396</v>
      </c>
      <c r="B95" t="s">
        <v>433</v>
      </c>
      <c r="C95" t="s">
        <v>434</v>
      </c>
      <c r="D95" s="1">
        <v>45675</v>
      </c>
      <c r="E95" t="s">
        <v>437</v>
      </c>
      <c r="F95">
        <f t="shared" si="1"/>
        <v>0</v>
      </c>
    </row>
    <row r="96" spans="1:6">
      <c r="A96" t="s">
        <v>111</v>
      </c>
      <c r="B96" t="s">
        <v>432</v>
      </c>
      <c r="C96" t="s">
        <v>434</v>
      </c>
      <c r="D96" s="1">
        <v>45620</v>
      </c>
      <c r="E96" t="s">
        <v>437</v>
      </c>
      <c r="F96">
        <f t="shared" si="1"/>
        <v>0</v>
      </c>
    </row>
    <row r="97" spans="1:6">
      <c r="A97" t="s">
        <v>66</v>
      </c>
      <c r="B97" t="s">
        <v>433</v>
      </c>
      <c r="C97" t="s">
        <v>435</v>
      </c>
      <c r="D97" s="1">
        <v>45478</v>
      </c>
      <c r="E97" t="s">
        <v>437</v>
      </c>
      <c r="F97">
        <f t="shared" si="1"/>
        <v>0</v>
      </c>
    </row>
    <row r="98" spans="1:6">
      <c r="A98" t="s">
        <v>9</v>
      </c>
      <c r="B98" t="s">
        <v>433</v>
      </c>
      <c r="C98" t="s">
        <v>435</v>
      </c>
      <c r="D98" s="1">
        <v>45703</v>
      </c>
      <c r="E98" t="s">
        <v>438</v>
      </c>
      <c r="F98">
        <f t="shared" si="1"/>
        <v>0</v>
      </c>
    </row>
    <row r="99" spans="1:6">
      <c r="A99" t="s">
        <v>235</v>
      </c>
      <c r="B99" t="s">
        <v>431</v>
      </c>
      <c r="C99" t="s">
        <v>435</v>
      </c>
      <c r="D99" s="1">
        <v>45973</v>
      </c>
      <c r="E99" t="s">
        <v>437</v>
      </c>
      <c r="F99">
        <f t="shared" si="1"/>
        <v>0</v>
      </c>
    </row>
    <row r="100" spans="1:6">
      <c r="A100" t="s">
        <v>369</v>
      </c>
      <c r="B100" t="s">
        <v>432</v>
      </c>
      <c r="C100" t="s">
        <v>434</v>
      </c>
      <c r="D100" s="1">
        <v>45996</v>
      </c>
      <c r="E100" t="s">
        <v>437</v>
      </c>
      <c r="F100">
        <f t="shared" si="1"/>
        <v>0</v>
      </c>
    </row>
    <row r="101" spans="1:6">
      <c r="A101" t="s">
        <v>163</v>
      </c>
      <c r="B101" t="s">
        <v>433</v>
      </c>
      <c r="C101" t="s">
        <v>435</v>
      </c>
      <c r="D101" s="1">
        <v>45900</v>
      </c>
      <c r="E101" t="s">
        <v>437</v>
      </c>
      <c r="F101">
        <f t="shared" si="1"/>
        <v>0</v>
      </c>
    </row>
    <row r="102" spans="1:6">
      <c r="A102" t="s">
        <v>204</v>
      </c>
      <c r="B102" t="s">
        <v>432</v>
      </c>
      <c r="C102" t="s">
        <v>434</v>
      </c>
      <c r="D102" s="1">
        <v>45588</v>
      </c>
      <c r="E102" t="s">
        <v>438</v>
      </c>
      <c r="F102">
        <f t="shared" si="1"/>
        <v>0</v>
      </c>
    </row>
    <row r="103" spans="1:6">
      <c r="A103" t="s">
        <v>354</v>
      </c>
      <c r="B103" t="s">
        <v>430</v>
      </c>
      <c r="C103" t="s">
        <v>434</v>
      </c>
      <c r="D103" s="1">
        <v>45728</v>
      </c>
      <c r="E103" t="s">
        <v>437</v>
      </c>
      <c r="F103">
        <f t="shared" si="1"/>
        <v>0</v>
      </c>
    </row>
    <row r="104" spans="1:6">
      <c r="A104" t="s">
        <v>396</v>
      </c>
      <c r="B104" t="s">
        <v>430</v>
      </c>
      <c r="C104" t="s">
        <v>434</v>
      </c>
      <c r="D104" s="1">
        <v>45740</v>
      </c>
      <c r="E104" t="s">
        <v>437</v>
      </c>
      <c r="F104">
        <f t="shared" si="1"/>
        <v>0</v>
      </c>
    </row>
    <row r="105" spans="1:6">
      <c r="A105" t="s">
        <v>228</v>
      </c>
      <c r="B105" t="s">
        <v>432</v>
      </c>
      <c r="C105" t="s">
        <v>435</v>
      </c>
      <c r="D105" s="1">
        <v>45915</v>
      </c>
      <c r="E105" t="s">
        <v>437</v>
      </c>
      <c r="F105">
        <f t="shared" si="1"/>
        <v>0</v>
      </c>
    </row>
    <row r="106" spans="1:6">
      <c r="A106" t="s">
        <v>214</v>
      </c>
      <c r="B106" t="s">
        <v>433</v>
      </c>
      <c r="C106" t="s">
        <v>435</v>
      </c>
      <c r="D106" s="1">
        <v>45553</v>
      </c>
      <c r="E106" t="s">
        <v>437</v>
      </c>
      <c r="F106">
        <f t="shared" si="1"/>
        <v>0</v>
      </c>
    </row>
    <row r="107" spans="1:6">
      <c r="A107" t="s">
        <v>40</v>
      </c>
      <c r="B107" t="s">
        <v>432</v>
      </c>
      <c r="C107" t="s">
        <v>435</v>
      </c>
      <c r="D107" s="1">
        <v>45816</v>
      </c>
      <c r="E107" t="s">
        <v>438</v>
      </c>
      <c r="F107">
        <f t="shared" si="1"/>
        <v>0</v>
      </c>
    </row>
    <row r="108" spans="1:6">
      <c r="A108" t="s">
        <v>342</v>
      </c>
      <c r="B108" t="s">
        <v>431</v>
      </c>
      <c r="C108" t="s">
        <v>435</v>
      </c>
      <c r="D108" s="1">
        <v>45502</v>
      </c>
      <c r="E108" t="s">
        <v>437</v>
      </c>
      <c r="F108">
        <f t="shared" si="1"/>
        <v>0</v>
      </c>
    </row>
    <row r="109" spans="1:6">
      <c r="A109" t="s">
        <v>193</v>
      </c>
      <c r="B109" t="s">
        <v>432</v>
      </c>
      <c r="C109" t="s">
        <v>435</v>
      </c>
      <c r="D109" s="1">
        <v>45954</v>
      </c>
      <c r="E109" t="s">
        <v>437</v>
      </c>
      <c r="F109">
        <f t="shared" si="1"/>
        <v>0</v>
      </c>
    </row>
    <row r="110" spans="1:6">
      <c r="A110" t="s">
        <v>275</v>
      </c>
      <c r="B110" t="s">
        <v>431</v>
      </c>
      <c r="C110" t="s">
        <v>434</v>
      </c>
      <c r="D110" s="1">
        <v>45388</v>
      </c>
      <c r="E110" t="s">
        <v>437</v>
      </c>
      <c r="F110">
        <f t="shared" si="1"/>
        <v>0</v>
      </c>
    </row>
    <row r="111" spans="1:6">
      <c r="A111" t="s">
        <v>14</v>
      </c>
      <c r="B111" t="s">
        <v>430</v>
      </c>
      <c r="C111" t="s">
        <v>436</v>
      </c>
      <c r="D111" s="1">
        <v>46056</v>
      </c>
      <c r="E111" t="s">
        <v>437</v>
      </c>
      <c r="F111">
        <f t="shared" si="1"/>
        <v>0</v>
      </c>
    </row>
    <row r="112" spans="1:6">
      <c r="A112" t="s">
        <v>114</v>
      </c>
      <c r="B112" t="s">
        <v>430</v>
      </c>
      <c r="C112" t="s">
        <v>435</v>
      </c>
      <c r="D112" s="1">
        <v>45968</v>
      </c>
      <c r="E112" t="s">
        <v>437</v>
      </c>
      <c r="F112">
        <f t="shared" si="1"/>
        <v>0</v>
      </c>
    </row>
    <row r="113" spans="1:6">
      <c r="A113" t="s">
        <v>295</v>
      </c>
      <c r="B113" t="s">
        <v>430</v>
      </c>
      <c r="C113" t="s">
        <v>435</v>
      </c>
      <c r="D113" s="1">
        <v>45834</v>
      </c>
      <c r="E113" t="s">
        <v>437</v>
      </c>
      <c r="F113">
        <f t="shared" si="1"/>
        <v>0</v>
      </c>
    </row>
    <row r="114" spans="1:6">
      <c r="A114" t="s">
        <v>330</v>
      </c>
      <c r="B114" t="s">
        <v>432</v>
      </c>
      <c r="C114" t="s">
        <v>435</v>
      </c>
      <c r="D114" s="1">
        <v>46033</v>
      </c>
      <c r="E114" t="s">
        <v>437</v>
      </c>
      <c r="F114">
        <f t="shared" si="1"/>
        <v>0</v>
      </c>
    </row>
    <row r="115" spans="1:6">
      <c r="A115" t="s">
        <v>8</v>
      </c>
      <c r="B115" t="s">
        <v>431</v>
      </c>
      <c r="C115" t="s">
        <v>435</v>
      </c>
      <c r="D115" s="1">
        <v>45798</v>
      </c>
      <c r="E115" t="s">
        <v>437</v>
      </c>
      <c r="F115">
        <f t="shared" si="1"/>
        <v>0</v>
      </c>
    </row>
    <row r="116" spans="1:6">
      <c r="A116" t="s">
        <v>368</v>
      </c>
      <c r="B116" t="s">
        <v>430</v>
      </c>
      <c r="C116" t="s">
        <v>435</v>
      </c>
      <c r="D116" s="1">
        <v>45498</v>
      </c>
      <c r="E116" t="s">
        <v>437</v>
      </c>
      <c r="F116">
        <f t="shared" si="1"/>
        <v>0</v>
      </c>
    </row>
    <row r="117" spans="1:6">
      <c r="A117" t="s">
        <v>252</v>
      </c>
      <c r="B117" t="s">
        <v>430</v>
      </c>
      <c r="C117" t="s">
        <v>435</v>
      </c>
      <c r="D117" s="1">
        <v>45639</v>
      </c>
      <c r="E117" t="s">
        <v>437</v>
      </c>
      <c r="F117">
        <f t="shared" si="1"/>
        <v>0</v>
      </c>
    </row>
    <row r="118" spans="1:6">
      <c r="A118" t="s">
        <v>378</v>
      </c>
      <c r="B118" t="s">
        <v>431</v>
      </c>
      <c r="C118" t="s">
        <v>435</v>
      </c>
      <c r="D118" s="1">
        <v>45413</v>
      </c>
      <c r="E118" t="s">
        <v>438</v>
      </c>
      <c r="F118">
        <f t="shared" si="1"/>
        <v>0</v>
      </c>
    </row>
    <row r="119" spans="1:6">
      <c r="A119" t="s">
        <v>224</v>
      </c>
      <c r="B119" t="s">
        <v>433</v>
      </c>
      <c r="C119" t="s">
        <v>435</v>
      </c>
      <c r="D119" s="1">
        <v>45532</v>
      </c>
      <c r="E119" t="s">
        <v>437</v>
      </c>
      <c r="F119">
        <f t="shared" si="1"/>
        <v>0</v>
      </c>
    </row>
    <row r="120" spans="1:6">
      <c r="A120" t="s">
        <v>351</v>
      </c>
      <c r="B120" t="s">
        <v>430</v>
      </c>
      <c r="C120" t="s">
        <v>435</v>
      </c>
      <c r="D120" s="1">
        <v>45424</v>
      </c>
      <c r="E120" t="s">
        <v>437</v>
      </c>
      <c r="F120">
        <f t="shared" si="1"/>
        <v>0</v>
      </c>
    </row>
    <row r="121" spans="1:6">
      <c r="A121" t="s">
        <v>39</v>
      </c>
      <c r="B121" t="s">
        <v>430</v>
      </c>
      <c r="C121" t="s">
        <v>434</v>
      </c>
      <c r="D121" s="1">
        <v>45510</v>
      </c>
      <c r="E121" t="s">
        <v>437</v>
      </c>
      <c r="F121">
        <f t="shared" si="1"/>
        <v>0</v>
      </c>
    </row>
    <row r="122" spans="1:6">
      <c r="A122" t="s">
        <v>159</v>
      </c>
      <c r="B122" t="s">
        <v>430</v>
      </c>
      <c r="C122" t="s">
        <v>435</v>
      </c>
      <c r="D122" s="1">
        <v>45816</v>
      </c>
      <c r="E122" t="s">
        <v>437</v>
      </c>
      <c r="F122">
        <f t="shared" si="1"/>
        <v>0</v>
      </c>
    </row>
    <row r="123" spans="1:6">
      <c r="A123" t="s">
        <v>344</v>
      </c>
      <c r="B123" t="s">
        <v>433</v>
      </c>
      <c r="C123" t="s">
        <v>434</v>
      </c>
      <c r="D123" s="1">
        <v>45430</v>
      </c>
      <c r="E123" t="s">
        <v>437</v>
      </c>
      <c r="F123">
        <f t="shared" si="1"/>
        <v>0</v>
      </c>
    </row>
    <row r="124" spans="1:6">
      <c r="A124" t="s">
        <v>146</v>
      </c>
      <c r="B124" t="s">
        <v>430</v>
      </c>
      <c r="C124" t="s">
        <v>434</v>
      </c>
      <c r="D124" s="1">
        <v>45531</v>
      </c>
      <c r="E124" t="s">
        <v>437</v>
      </c>
      <c r="F124">
        <f t="shared" si="1"/>
        <v>0</v>
      </c>
    </row>
    <row r="125" spans="1:6">
      <c r="A125" t="s">
        <v>384</v>
      </c>
      <c r="B125" t="s">
        <v>433</v>
      </c>
      <c r="C125" t="s">
        <v>435</v>
      </c>
      <c r="D125" s="1">
        <v>45654</v>
      </c>
      <c r="E125" t="s">
        <v>438</v>
      </c>
      <c r="F125">
        <f t="shared" si="1"/>
        <v>0</v>
      </c>
    </row>
    <row r="126" spans="1:6">
      <c r="A126" t="s">
        <v>23</v>
      </c>
      <c r="B126" t="s">
        <v>432</v>
      </c>
      <c r="C126" t="s">
        <v>434</v>
      </c>
      <c r="D126" s="1">
        <v>45990</v>
      </c>
      <c r="E126" t="s">
        <v>437</v>
      </c>
      <c r="F126">
        <f t="shared" si="1"/>
        <v>0</v>
      </c>
    </row>
    <row r="127" spans="1:6">
      <c r="A127" t="s">
        <v>356</v>
      </c>
      <c r="B127" t="s">
        <v>433</v>
      </c>
      <c r="C127" t="s">
        <v>434</v>
      </c>
      <c r="D127" s="1">
        <v>45372</v>
      </c>
      <c r="E127" t="s">
        <v>437</v>
      </c>
      <c r="F127">
        <f t="shared" si="1"/>
        <v>0</v>
      </c>
    </row>
    <row r="128" spans="1:6">
      <c r="A128" t="s">
        <v>111</v>
      </c>
      <c r="B128" t="s">
        <v>433</v>
      </c>
      <c r="C128" t="s">
        <v>435</v>
      </c>
      <c r="D128" s="1">
        <v>45381</v>
      </c>
      <c r="E128" t="s">
        <v>437</v>
      </c>
      <c r="F128">
        <f t="shared" si="1"/>
        <v>0</v>
      </c>
    </row>
    <row r="129" spans="1:6">
      <c r="A129" t="s">
        <v>46</v>
      </c>
      <c r="B129" t="s">
        <v>432</v>
      </c>
      <c r="C129" t="s">
        <v>435</v>
      </c>
      <c r="D129" s="1">
        <v>45938</v>
      </c>
      <c r="E129" t="s">
        <v>437</v>
      </c>
      <c r="F129">
        <f t="shared" si="1"/>
        <v>0</v>
      </c>
    </row>
    <row r="130" spans="1:6">
      <c r="A130" t="s">
        <v>233</v>
      </c>
      <c r="B130" t="s">
        <v>432</v>
      </c>
      <c r="C130" t="s">
        <v>436</v>
      </c>
      <c r="D130" s="1">
        <v>45548</v>
      </c>
      <c r="E130" t="s">
        <v>438</v>
      </c>
      <c r="F130">
        <f t="shared" si="1"/>
        <v>1</v>
      </c>
    </row>
    <row r="131" spans="1:6">
      <c r="A131" t="s">
        <v>97</v>
      </c>
      <c r="B131" t="s">
        <v>432</v>
      </c>
      <c r="C131" t="s">
        <v>435</v>
      </c>
      <c r="D131" s="1">
        <v>45508</v>
      </c>
      <c r="E131" t="s">
        <v>437</v>
      </c>
      <c r="F131">
        <f t="shared" ref="F131:F181" si="2">IF(AND($C131="High",$E131="No"),1,0)</f>
        <v>0</v>
      </c>
    </row>
    <row r="132" spans="1:6">
      <c r="A132" t="s">
        <v>206</v>
      </c>
      <c r="B132" t="s">
        <v>433</v>
      </c>
      <c r="C132" t="s">
        <v>435</v>
      </c>
      <c r="D132" s="1">
        <v>45708</v>
      </c>
      <c r="E132" t="s">
        <v>437</v>
      </c>
      <c r="F132">
        <f t="shared" si="2"/>
        <v>0</v>
      </c>
    </row>
    <row r="133" spans="1:6">
      <c r="A133" t="s">
        <v>408</v>
      </c>
      <c r="B133" t="s">
        <v>432</v>
      </c>
      <c r="C133" t="s">
        <v>435</v>
      </c>
      <c r="D133" s="1">
        <v>45574</v>
      </c>
      <c r="E133" t="s">
        <v>437</v>
      </c>
      <c r="F133">
        <f t="shared" si="2"/>
        <v>0</v>
      </c>
    </row>
    <row r="134" spans="1:6">
      <c r="A134" t="s">
        <v>300</v>
      </c>
      <c r="B134" t="s">
        <v>432</v>
      </c>
      <c r="C134" t="s">
        <v>434</v>
      </c>
      <c r="D134" s="1">
        <v>45485</v>
      </c>
      <c r="E134" t="s">
        <v>437</v>
      </c>
      <c r="F134">
        <f t="shared" si="2"/>
        <v>0</v>
      </c>
    </row>
    <row r="135" spans="1:6">
      <c r="A135" t="s">
        <v>17</v>
      </c>
      <c r="B135" t="s">
        <v>430</v>
      </c>
      <c r="C135" t="s">
        <v>435</v>
      </c>
      <c r="D135" s="1">
        <v>45726</v>
      </c>
      <c r="E135" t="s">
        <v>437</v>
      </c>
      <c r="F135">
        <f t="shared" si="2"/>
        <v>0</v>
      </c>
    </row>
    <row r="136" spans="1:6">
      <c r="A136" t="s">
        <v>330</v>
      </c>
      <c r="B136" t="s">
        <v>433</v>
      </c>
      <c r="C136" t="s">
        <v>435</v>
      </c>
      <c r="D136" s="1">
        <v>45362</v>
      </c>
      <c r="E136" t="s">
        <v>437</v>
      </c>
      <c r="F136">
        <f t="shared" si="2"/>
        <v>0</v>
      </c>
    </row>
    <row r="137" spans="1:6">
      <c r="A137" t="s">
        <v>152</v>
      </c>
      <c r="B137" t="s">
        <v>430</v>
      </c>
      <c r="C137" t="s">
        <v>434</v>
      </c>
      <c r="D137" s="1">
        <v>45805</v>
      </c>
      <c r="E137" t="s">
        <v>437</v>
      </c>
      <c r="F137">
        <f t="shared" si="2"/>
        <v>0</v>
      </c>
    </row>
    <row r="138" spans="1:6">
      <c r="A138" t="s">
        <v>404</v>
      </c>
      <c r="B138" t="s">
        <v>433</v>
      </c>
      <c r="C138" t="s">
        <v>434</v>
      </c>
      <c r="D138" s="1">
        <v>45494</v>
      </c>
      <c r="E138" t="s">
        <v>437</v>
      </c>
      <c r="F138">
        <f t="shared" si="2"/>
        <v>0</v>
      </c>
    </row>
    <row r="139" spans="1:6">
      <c r="A139" t="s">
        <v>356</v>
      </c>
      <c r="B139" t="s">
        <v>433</v>
      </c>
      <c r="C139" t="s">
        <v>435</v>
      </c>
      <c r="D139" s="1">
        <v>45533</v>
      </c>
      <c r="E139" t="s">
        <v>437</v>
      </c>
      <c r="F139">
        <f t="shared" si="2"/>
        <v>0</v>
      </c>
    </row>
    <row r="140" spans="1:6">
      <c r="A140" t="s">
        <v>306</v>
      </c>
      <c r="B140" t="s">
        <v>430</v>
      </c>
      <c r="C140" t="s">
        <v>435</v>
      </c>
      <c r="D140" s="1">
        <v>45790</v>
      </c>
      <c r="E140" t="s">
        <v>437</v>
      </c>
      <c r="F140">
        <f t="shared" si="2"/>
        <v>0</v>
      </c>
    </row>
    <row r="141" spans="1:6">
      <c r="A141" t="s">
        <v>392</v>
      </c>
      <c r="B141" t="s">
        <v>433</v>
      </c>
      <c r="C141" t="s">
        <v>435</v>
      </c>
      <c r="D141" s="1">
        <v>45765</v>
      </c>
      <c r="E141" t="s">
        <v>437</v>
      </c>
      <c r="F141">
        <f t="shared" si="2"/>
        <v>0</v>
      </c>
    </row>
    <row r="142" spans="1:6">
      <c r="A142" t="s">
        <v>413</v>
      </c>
      <c r="B142" t="s">
        <v>433</v>
      </c>
      <c r="C142" t="s">
        <v>434</v>
      </c>
      <c r="D142" s="1">
        <v>45629</v>
      </c>
      <c r="E142" t="s">
        <v>437</v>
      </c>
      <c r="F142">
        <f t="shared" si="2"/>
        <v>0</v>
      </c>
    </row>
    <row r="143" spans="1:6">
      <c r="A143" t="s">
        <v>141</v>
      </c>
      <c r="B143" t="s">
        <v>432</v>
      </c>
      <c r="C143" t="s">
        <v>435</v>
      </c>
      <c r="D143" s="1">
        <v>45933</v>
      </c>
      <c r="E143" t="s">
        <v>437</v>
      </c>
      <c r="F143">
        <f t="shared" si="2"/>
        <v>0</v>
      </c>
    </row>
    <row r="144" spans="1:6">
      <c r="A144" t="s">
        <v>77</v>
      </c>
      <c r="B144" t="s">
        <v>433</v>
      </c>
      <c r="C144" t="s">
        <v>435</v>
      </c>
      <c r="D144" s="1">
        <v>45938</v>
      </c>
      <c r="E144" t="s">
        <v>437</v>
      </c>
      <c r="F144">
        <f t="shared" si="2"/>
        <v>0</v>
      </c>
    </row>
    <row r="145" spans="1:6">
      <c r="A145" t="s">
        <v>349</v>
      </c>
      <c r="B145" t="s">
        <v>432</v>
      </c>
      <c r="C145" t="s">
        <v>434</v>
      </c>
      <c r="D145" s="1">
        <v>46054</v>
      </c>
      <c r="E145" t="s">
        <v>437</v>
      </c>
      <c r="F145">
        <f t="shared" si="2"/>
        <v>0</v>
      </c>
    </row>
    <row r="146" spans="1:6">
      <c r="A146" t="s">
        <v>404</v>
      </c>
      <c r="B146" t="s">
        <v>431</v>
      </c>
      <c r="C146" t="s">
        <v>434</v>
      </c>
      <c r="D146" s="1">
        <v>46062</v>
      </c>
      <c r="E146" t="s">
        <v>437</v>
      </c>
      <c r="F146">
        <f t="shared" si="2"/>
        <v>0</v>
      </c>
    </row>
    <row r="147" spans="1:6">
      <c r="A147" t="s">
        <v>171</v>
      </c>
      <c r="B147" t="s">
        <v>433</v>
      </c>
      <c r="C147" t="s">
        <v>434</v>
      </c>
      <c r="D147" s="1">
        <v>45429</v>
      </c>
      <c r="E147" t="s">
        <v>437</v>
      </c>
      <c r="F147">
        <f t="shared" si="2"/>
        <v>0</v>
      </c>
    </row>
    <row r="148" spans="1:6">
      <c r="A148" t="s">
        <v>184</v>
      </c>
      <c r="B148" t="s">
        <v>433</v>
      </c>
      <c r="C148" t="s">
        <v>434</v>
      </c>
      <c r="D148" s="1">
        <v>45596</v>
      </c>
      <c r="E148" t="s">
        <v>437</v>
      </c>
      <c r="F148">
        <f t="shared" si="2"/>
        <v>0</v>
      </c>
    </row>
    <row r="149" spans="1:6">
      <c r="A149" t="s">
        <v>350</v>
      </c>
      <c r="B149" t="s">
        <v>431</v>
      </c>
      <c r="C149" t="s">
        <v>435</v>
      </c>
      <c r="D149" s="1">
        <v>45955</v>
      </c>
      <c r="E149" t="s">
        <v>437</v>
      </c>
      <c r="F149">
        <f t="shared" si="2"/>
        <v>0</v>
      </c>
    </row>
    <row r="150" spans="1:6">
      <c r="A150" t="s">
        <v>364</v>
      </c>
      <c r="B150" t="s">
        <v>432</v>
      </c>
      <c r="C150" t="s">
        <v>434</v>
      </c>
      <c r="D150" s="1">
        <v>46001</v>
      </c>
      <c r="E150" t="s">
        <v>437</v>
      </c>
      <c r="F150">
        <f t="shared" si="2"/>
        <v>0</v>
      </c>
    </row>
    <row r="151" spans="1:6">
      <c r="A151" t="s">
        <v>85</v>
      </c>
      <c r="B151" t="s">
        <v>433</v>
      </c>
      <c r="C151" t="s">
        <v>435</v>
      </c>
      <c r="D151" s="1">
        <v>46062</v>
      </c>
      <c r="E151" t="s">
        <v>437</v>
      </c>
      <c r="F151">
        <f t="shared" si="2"/>
        <v>0</v>
      </c>
    </row>
    <row r="152" spans="1:6">
      <c r="A152" t="s">
        <v>84</v>
      </c>
      <c r="B152" t="s">
        <v>432</v>
      </c>
      <c r="C152" t="s">
        <v>435</v>
      </c>
      <c r="D152" s="1">
        <v>45478</v>
      </c>
      <c r="E152" t="s">
        <v>437</v>
      </c>
      <c r="F152">
        <f t="shared" si="2"/>
        <v>0</v>
      </c>
    </row>
    <row r="153" spans="1:6">
      <c r="A153" t="s">
        <v>346</v>
      </c>
      <c r="B153" t="s">
        <v>430</v>
      </c>
      <c r="C153" t="s">
        <v>435</v>
      </c>
      <c r="D153" s="1">
        <v>45940</v>
      </c>
      <c r="E153" t="s">
        <v>437</v>
      </c>
      <c r="F153">
        <f t="shared" si="2"/>
        <v>0</v>
      </c>
    </row>
    <row r="154" spans="1:6">
      <c r="A154" t="s">
        <v>355</v>
      </c>
      <c r="B154" t="s">
        <v>431</v>
      </c>
      <c r="C154" t="s">
        <v>435</v>
      </c>
      <c r="D154" s="1">
        <v>45465</v>
      </c>
      <c r="E154" t="s">
        <v>437</v>
      </c>
      <c r="F154">
        <f t="shared" si="2"/>
        <v>0</v>
      </c>
    </row>
    <row r="155" spans="1:6">
      <c r="A155" t="s">
        <v>122</v>
      </c>
      <c r="B155" t="s">
        <v>433</v>
      </c>
      <c r="C155" t="s">
        <v>434</v>
      </c>
      <c r="D155" s="1">
        <v>45607</v>
      </c>
      <c r="E155" t="s">
        <v>438</v>
      </c>
      <c r="F155">
        <f t="shared" si="2"/>
        <v>0</v>
      </c>
    </row>
    <row r="156" spans="1:6">
      <c r="A156" t="s">
        <v>32</v>
      </c>
      <c r="B156" t="s">
        <v>433</v>
      </c>
      <c r="C156" t="s">
        <v>434</v>
      </c>
      <c r="D156" s="1">
        <v>45989</v>
      </c>
      <c r="E156" t="s">
        <v>437</v>
      </c>
      <c r="F156">
        <f t="shared" si="2"/>
        <v>0</v>
      </c>
    </row>
    <row r="157" spans="1:6">
      <c r="A157" t="s">
        <v>167</v>
      </c>
      <c r="B157" t="s">
        <v>431</v>
      </c>
      <c r="C157" t="s">
        <v>434</v>
      </c>
      <c r="D157" s="1">
        <v>45387</v>
      </c>
      <c r="E157" t="s">
        <v>437</v>
      </c>
      <c r="F157">
        <f t="shared" si="2"/>
        <v>0</v>
      </c>
    </row>
    <row r="158" spans="1:6">
      <c r="A158" t="s">
        <v>20</v>
      </c>
      <c r="B158" t="s">
        <v>433</v>
      </c>
      <c r="C158" t="s">
        <v>434</v>
      </c>
      <c r="D158" s="1">
        <v>45504</v>
      </c>
      <c r="E158" t="s">
        <v>437</v>
      </c>
      <c r="F158">
        <f t="shared" si="2"/>
        <v>0</v>
      </c>
    </row>
    <row r="159" spans="1:6">
      <c r="A159" t="s">
        <v>282</v>
      </c>
      <c r="B159" t="s">
        <v>432</v>
      </c>
      <c r="C159" t="s">
        <v>435</v>
      </c>
      <c r="D159" s="1">
        <v>46076</v>
      </c>
      <c r="E159" t="s">
        <v>437</v>
      </c>
      <c r="F159">
        <f t="shared" si="2"/>
        <v>0</v>
      </c>
    </row>
    <row r="160" spans="1:6">
      <c r="A160" t="s">
        <v>413</v>
      </c>
      <c r="B160" t="s">
        <v>430</v>
      </c>
      <c r="C160" t="s">
        <v>434</v>
      </c>
      <c r="D160" s="1">
        <v>45603</v>
      </c>
      <c r="E160" t="s">
        <v>437</v>
      </c>
      <c r="F160">
        <f t="shared" si="2"/>
        <v>0</v>
      </c>
    </row>
    <row r="161" spans="1:6">
      <c r="A161" t="s">
        <v>293</v>
      </c>
      <c r="B161" t="s">
        <v>430</v>
      </c>
      <c r="C161" t="s">
        <v>435</v>
      </c>
      <c r="D161" s="1">
        <v>45745</v>
      </c>
      <c r="E161" t="s">
        <v>437</v>
      </c>
      <c r="F161">
        <f t="shared" si="2"/>
        <v>0</v>
      </c>
    </row>
    <row r="162" spans="1:6">
      <c r="A162" t="s">
        <v>55</v>
      </c>
      <c r="B162" t="s">
        <v>432</v>
      </c>
      <c r="C162" t="s">
        <v>434</v>
      </c>
      <c r="D162" s="1">
        <v>45589</v>
      </c>
      <c r="E162" t="s">
        <v>438</v>
      </c>
      <c r="F162">
        <f t="shared" si="2"/>
        <v>0</v>
      </c>
    </row>
    <row r="163" spans="1:6">
      <c r="A163" t="s">
        <v>120</v>
      </c>
      <c r="B163" t="s">
        <v>432</v>
      </c>
      <c r="C163" t="s">
        <v>434</v>
      </c>
      <c r="D163" s="1">
        <v>46031</v>
      </c>
      <c r="E163" t="s">
        <v>437</v>
      </c>
      <c r="F163">
        <f t="shared" si="2"/>
        <v>0</v>
      </c>
    </row>
    <row r="164" spans="1:6">
      <c r="A164" t="s">
        <v>74</v>
      </c>
      <c r="B164" t="s">
        <v>432</v>
      </c>
      <c r="C164" t="s">
        <v>435</v>
      </c>
      <c r="D164" s="1">
        <v>45533</v>
      </c>
      <c r="E164" t="s">
        <v>437</v>
      </c>
      <c r="F164">
        <f t="shared" si="2"/>
        <v>0</v>
      </c>
    </row>
    <row r="165" spans="1:6">
      <c r="A165" t="s">
        <v>224</v>
      </c>
      <c r="B165" t="s">
        <v>431</v>
      </c>
      <c r="C165" t="s">
        <v>434</v>
      </c>
      <c r="D165" s="1">
        <v>45951</v>
      </c>
      <c r="E165" t="s">
        <v>437</v>
      </c>
      <c r="F165">
        <f t="shared" si="2"/>
        <v>0</v>
      </c>
    </row>
    <row r="166" spans="1:6">
      <c r="A166" t="s">
        <v>291</v>
      </c>
      <c r="B166" t="s">
        <v>432</v>
      </c>
      <c r="C166" t="s">
        <v>434</v>
      </c>
      <c r="D166" s="1">
        <v>45553</v>
      </c>
      <c r="E166" t="s">
        <v>437</v>
      </c>
      <c r="F166">
        <f t="shared" si="2"/>
        <v>0</v>
      </c>
    </row>
    <row r="167" spans="1:6">
      <c r="A167" t="s">
        <v>376</v>
      </c>
      <c r="B167" t="s">
        <v>433</v>
      </c>
      <c r="C167" t="s">
        <v>435</v>
      </c>
      <c r="D167" s="1">
        <v>45976</v>
      </c>
      <c r="E167" t="s">
        <v>437</v>
      </c>
      <c r="F167">
        <f t="shared" si="2"/>
        <v>0</v>
      </c>
    </row>
    <row r="168" spans="1:6">
      <c r="A168" t="s">
        <v>54</v>
      </c>
      <c r="B168" t="s">
        <v>433</v>
      </c>
      <c r="C168" t="s">
        <v>435</v>
      </c>
      <c r="D168" s="1">
        <v>45812</v>
      </c>
      <c r="E168" t="s">
        <v>437</v>
      </c>
      <c r="F168">
        <f t="shared" si="2"/>
        <v>0</v>
      </c>
    </row>
    <row r="169" spans="1:6">
      <c r="A169" t="s">
        <v>406</v>
      </c>
      <c r="B169" t="s">
        <v>431</v>
      </c>
      <c r="C169" t="s">
        <v>435</v>
      </c>
      <c r="D169" s="1">
        <v>45701</v>
      </c>
      <c r="E169" t="s">
        <v>437</v>
      </c>
      <c r="F169">
        <f t="shared" si="2"/>
        <v>0</v>
      </c>
    </row>
    <row r="170" spans="1:6">
      <c r="A170" t="s">
        <v>19</v>
      </c>
      <c r="B170" t="s">
        <v>433</v>
      </c>
      <c r="C170" t="s">
        <v>435</v>
      </c>
      <c r="D170" s="1">
        <v>45386</v>
      </c>
      <c r="E170" t="s">
        <v>438</v>
      </c>
      <c r="F170">
        <f t="shared" si="2"/>
        <v>0</v>
      </c>
    </row>
    <row r="171" spans="1:6">
      <c r="A171" t="s">
        <v>386</v>
      </c>
      <c r="B171" t="s">
        <v>430</v>
      </c>
      <c r="C171" t="s">
        <v>436</v>
      </c>
      <c r="D171" s="1">
        <v>45417</v>
      </c>
      <c r="E171" t="s">
        <v>438</v>
      </c>
      <c r="F171">
        <f t="shared" si="2"/>
        <v>1</v>
      </c>
    </row>
    <row r="172" spans="1:6">
      <c r="A172" t="s">
        <v>356</v>
      </c>
      <c r="B172" t="s">
        <v>433</v>
      </c>
      <c r="C172" t="s">
        <v>435</v>
      </c>
      <c r="D172" s="1">
        <v>45882</v>
      </c>
      <c r="E172" t="s">
        <v>437</v>
      </c>
      <c r="F172">
        <f t="shared" si="2"/>
        <v>0</v>
      </c>
    </row>
    <row r="173" spans="1:6">
      <c r="A173" t="s">
        <v>395</v>
      </c>
      <c r="B173" t="s">
        <v>431</v>
      </c>
      <c r="C173" t="s">
        <v>434</v>
      </c>
      <c r="D173" s="1">
        <v>45885</v>
      </c>
      <c r="E173" t="s">
        <v>438</v>
      </c>
      <c r="F173">
        <f t="shared" si="2"/>
        <v>0</v>
      </c>
    </row>
    <row r="174" spans="1:6">
      <c r="A174" t="s">
        <v>218</v>
      </c>
      <c r="B174" t="s">
        <v>432</v>
      </c>
      <c r="C174" t="s">
        <v>435</v>
      </c>
      <c r="D174" s="1">
        <v>45827</v>
      </c>
      <c r="E174" t="s">
        <v>437</v>
      </c>
      <c r="F174">
        <f t="shared" si="2"/>
        <v>0</v>
      </c>
    </row>
    <row r="175" spans="1:6">
      <c r="A175" t="s">
        <v>90</v>
      </c>
      <c r="B175" t="s">
        <v>431</v>
      </c>
      <c r="C175" t="s">
        <v>434</v>
      </c>
      <c r="D175" s="1">
        <v>45659</v>
      </c>
      <c r="E175" t="s">
        <v>438</v>
      </c>
      <c r="F175">
        <f t="shared" si="2"/>
        <v>0</v>
      </c>
    </row>
    <row r="176" spans="1:6">
      <c r="A176" t="s">
        <v>181</v>
      </c>
      <c r="B176" t="s">
        <v>430</v>
      </c>
      <c r="C176" t="s">
        <v>434</v>
      </c>
      <c r="D176" s="1">
        <v>46001</v>
      </c>
      <c r="E176" t="s">
        <v>437</v>
      </c>
      <c r="F176">
        <f t="shared" si="2"/>
        <v>0</v>
      </c>
    </row>
    <row r="177" spans="1:6">
      <c r="A177" t="s">
        <v>68</v>
      </c>
      <c r="B177" t="s">
        <v>430</v>
      </c>
      <c r="C177" t="s">
        <v>435</v>
      </c>
      <c r="D177" s="1">
        <v>45418</v>
      </c>
      <c r="E177" t="s">
        <v>437</v>
      </c>
      <c r="F177">
        <f t="shared" si="2"/>
        <v>0</v>
      </c>
    </row>
    <row r="178" spans="1:6">
      <c r="A178" t="s">
        <v>25</v>
      </c>
      <c r="B178" t="s">
        <v>433</v>
      </c>
      <c r="C178" t="s">
        <v>435</v>
      </c>
      <c r="D178" s="1">
        <v>45892</v>
      </c>
      <c r="E178" t="s">
        <v>437</v>
      </c>
      <c r="F178">
        <f t="shared" si="2"/>
        <v>0</v>
      </c>
    </row>
    <row r="179" spans="1:6">
      <c r="A179" t="s">
        <v>400</v>
      </c>
      <c r="B179" t="s">
        <v>431</v>
      </c>
      <c r="C179" t="s">
        <v>435</v>
      </c>
      <c r="D179" s="1">
        <v>45399</v>
      </c>
      <c r="E179" t="s">
        <v>437</v>
      </c>
      <c r="F179">
        <f t="shared" si="2"/>
        <v>0</v>
      </c>
    </row>
    <row r="180" spans="1:6">
      <c r="A180" t="s">
        <v>63</v>
      </c>
      <c r="B180" t="s">
        <v>432</v>
      </c>
      <c r="C180" t="s">
        <v>435</v>
      </c>
      <c r="D180" s="1">
        <v>45621</v>
      </c>
      <c r="E180" t="s">
        <v>437</v>
      </c>
      <c r="F180">
        <f t="shared" si="2"/>
        <v>0</v>
      </c>
    </row>
    <row r="181" spans="1:6">
      <c r="A181" t="s">
        <v>256</v>
      </c>
      <c r="B181" t="s">
        <v>431</v>
      </c>
      <c r="C181" t="s">
        <v>435</v>
      </c>
      <c r="D181" s="1">
        <v>45535</v>
      </c>
      <c r="E181" t="s">
        <v>437</v>
      </c>
      <c r="F181">
        <f t="shared" si="2"/>
        <v>0</v>
      </c>
    </row>
  </sheetData>
  <autoFilter ref="A1:F181" xr:uid="{D5588B74-5B68-44BC-A08A-D77C41DEAFD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4B4C-B3D7-4EF3-84E0-AEF9D7D5421F}">
  <dimension ref="A1:I200"/>
  <sheetViews>
    <sheetView workbookViewId="0">
      <selection activeCell="L8" sqref="L8"/>
    </sheetView>
  </sheetViews>
  <sheetFormatPr defaultRowHeight="14.5"/>
  <cols>
    <col min="1" max="1" width="11.7265625" bestFit="1" customWidth="1"/>
    <col min="2" max="2" width="21.453125" bestFit="1" customWidth="1"/>
    <col min="3" max="3" width="14.36328125" bestFit="1" customWidth="1"/>
    <col min="4" max="4" width="16.6328125" bestFit="1" customWidth="1"/>
    <col min="5" max="5" width="17.08984375" bestFit="1" customWidth="1"/>
    <col min="6" max="7" width="16.1796875" bestFit="1" customWidth="1"/>
    <col min="8" max="8" width="10.1796875" bestFit="1" customWidth="1"/>
    <col min="9" max="9" width="14.54296875" bestFit="1" customWidth="1"/>
  </cols>
  <sheetData>
    <row r="1" spans="1:9">
      <c r="A1" t="s">
        <v>0</v>
      </c>
      <c r="B1" t="s">
        <v>424</v>
      </c>
      <c r="C1" t="s">
        <v>425</v>
      </c>
      <c r="D1" t="s">
        <v>426</v>
      </c>
      <c r="E1" t="s">
        <v>428</v>
      </c>
      <c r="F1" t="s">
        <v>427</v>
      </c>
      <c r="G1" t="s">
        <v>429</v>
      </c>
      <c r="H1" t="s">
        <v>443</v>
      </c>
      <c r="I1" t="s">
        <v>449</v>
      </c>
    </row>
    <row r="2" spans="1:9">
      <c r="A2" t="s">
        <v>231</v>
      </c>
      <c r="B2" t="str">
        <f ca="1">IF(COUNTIFS(Sustainability_Documents!A:A,$A2,Sustainability_Documents!H:H,"Missing")&gt;0,
"Missing Documents",
IF(COUNTIFS(Sustainability_Documents!A:A,$A2,Sustainability_Documents!H:H,"Expired")&gt;0,
"Expired Documents",
IF(COUNTIFS(Sustainability_Documents!A:A,$A2,Sustainability_Documents!H:H,"Expiring Soon")&gt;0,
"Expiring Soon Documents",
"Compliant")))</f>
        <v>Expiring Soon Documents</v>
      </c>
      <c r="C2" s="1">
        <v>46071</v>
      </c>
      <c r="D2" t="s">
        <v>442</v>
      </c>
      <c r="E2" t="s">
        <v>444</v>
      </c>
      <c r="F2" s="1">
        <f>IF($A2="","",
IF($E2="Pending",$C2+7,
IF($E2="Escalated",$C2+3,
IF($E2="Responded","Closed",""))))</f>
        <v>46078</v>
      </c>
      <c r="G2" t="str">
        <f ca="1">IF($A2="","",
IF(OR($E2="Escalated",$B2="Missing Documents",$B2="Expired Documents",$B2="Unresolved High Incident"),"Yes","No"))</f>
        <v>No</v>
      </c>
      <c r="H2" t="s">
        <v>441</v>
      </c>
      <c r="I2" t="str">
        <f ca="1">IF(TODAY()-C2&lt;=30,"30 Day",
 IF(TODAY()-C2&lt;=60,"60 Day",
 IF(TODAY()-C2&lt;=90,"90 Day","Over 90 Days")))</f>
        <v>30 Day</v>
      </c>
    </row>
    <row r="3" spans="1:9">
      <c r="A3" t="s">
        <v>232</v>
      </c>
      <c r="B3" t="str">
        <f ca="1">IF(COUNTIFS(Sustainability_Documents!A:A,$A3,Sustainability_Documents!H:H,"Missing")&gt;0,
"Missing Documents",
IF(COUNTIFS(Sustainability_Documents!A:A,$A3,Sustainability_Documents!H:H,"Expired")&gt;0,
"Expired Documents",
IF(COUNTIFS(Sustainability_Documents!A:A,$A3,Sustainability_Documents!H:H,"Expiring Soon")&gt;0,
"Expiring Soon Documents",
"Compliant")))</f>
        <v>Expiring Soon Documents</v>
      </c>
      <c r="C3" s="1">
        <v>46079</v>
      </c>
      <c r="D3" t="s">
        <v>442</v>
      </c>
      <c r="E3" t="s">
        <v>445</v>
      </c>
      <c r="F3" s="1" t="str">
        <f t="shared" ref="F3:F66" si="0">IF($A3="","",
IF($E3="Pending",$C3+7,
IF($E3="Escalated",$C3+3,
IF($E3="Responded","Closed",""))))</f>
        <v>Closed</v>
      </c>
      <c r="G3" t="str">
        <f t="shared" ref="G3:G66" ca="1" si="1">IF($A3="","",
IF(OR($E3="Escalated",$B3="Missing Documents",$B3="Expired Documents",$B3="Unresolved High Incident"),"Yes","No"))</f>
        <v>No</v>
      </c>
      <c r="H3" t="s">
        <v>441</v>
      </c>
      <c r="I3" t="str">
        <f t="shared" ref="I3:I66" ca="1" si="2">IF(TODAY()-C3&lt;=30,"30 Day",
 IF(TODAY()-C3&lt;=60,"60 Day",
 IF(TODAY()-C3&lt;=90,"90 Day","Over 90 Days")))</f>
        <v>30 Day</v>
      </c>
    </row>
    <row r="4" spans="1:9">
      <c r="A4" t="s">
        <v>233</v>
      </c>
      <c r="B4" t="str">
        <f ca="1">IF(COUNTIFS(Sustainability_Documents!A:A,$A4,Sustainability_Documents!H:H,"Missing")&gt;0,
"Missing Documents",
IF(COUNTIFS(Sustainability_Documents!A:A,$A4,Sustainability_Documents!H:H,"Expired")&gt;0,
"Expired Documents",
IF(COUNTIFS(Sustainability_Documents!A:A,$A4,Sustainability_Documents!H:H,"Expiring Soon")&gt;0,
"Expiring Soon Documents",
"Compliant")))</f>
        <v>Expiring Soon Documents</v>
      </c>
      <c r="C4" s="1">
        <v>46080</v>
      </c>
      <c r="D4" t="s">
        <v>442</v>
      </c>
      <c r="E4" t="s">
        <v>444</v>
      </c>
      <c r="F4" s="1">
        <f t="shared" si="0"/>
        <v>46087</v>
      </c>
      <c r="G4" t="str">
        <f t="shared" ca="1" si="1"/>
        <v>No</v>
      </c>
      <c r="H4" t="s">
        <v>441</v>
      </c>
      <c r="I4" t="str">
        <f t="shared" ca="1" si="2"/>
        <v>30 Day</v>
      </c>
    </row>
    <row r="5" spans="1:9">
      <c r="A5" t="s">
        <v>234</v>
      </c>
      <c r="B5" t="str">
        <f ca="1">IF(COUNTIFS(Sustainability_Documents!A:A,$A5,Sustainability_Documents!H:H,"Missing")&gt;0,
"Missing Documents",
IF(COUNTIFS(Sustainability_Documents!A:A,$A5,Sustainability_Documents!H:H,"Expired")&gt;0,
"Expired Documents",
IF(COUNTIFS(Sustainability_Documents!A:A,$A5,Sustainability_Documents!H:H,"Expiring Soon")&gt;0,
"Expiring Soon Documents",
"Compliant")))</f>
        <v>Expiring Soon Documents</v>
      </c>
      <c r="C5" s="1">
        <v>46081</v>
      </c>
      <c r="D5" t="s">
        <v>442</v>
      </c>
      <c r="E5" t="s">
        <v>444</v>
      </c>
      <c r="F5" s="1">
        <f t="shared" si="0"/>
        <v>46088</v>
      </c>
      <c r="G5" t="str">
        <f t="shared" ca="1" si="1"/>
        <v>No</v>
      </c>
      <c r="H5" t="s">
        <v>441</v>
      </c>
      <c r="I5" t="str">
        <f t="shared" ca="1" si="2"/>
        <v>30 Day</v>
      </c>
    </row>
    <row r="6" spans="1:9">
      <c r="A6" t="s">
        <v>235</v>
      </c>
      <c r="B6" t="str">
        <f ca="1">IF(COUNTIFS(Sustainability_Documents!A:A,$A6,Sustainability_Documents!H:H,"Missing")&gt;0,
"Missing Documents",
IF(COUNTIFS(Sustainability_Documents!A:A,$A6,Sustainability_Documents!H:H,"Expired")&gt;0,
"Expired Documents",
IF(COUNTIFS(Sustainability_Documents!A:A,$A6,Sustainability_Documents!H:H,"Expiring Soon")&gt;0,
"Expiring Soon Documents",
"Compliant")))</f>
        <v>Expiring Soon Documents</v>
      </c>
      <c r="C6" s="1">
        <v>46072</v>
      </c>
      <c r="D6" t="s">
        <v>442</v>
      </c>
      <c r="E6" t="s">
        <v>445</v>
      </c>
      <c r="F6" s="1" t="str">
        <f t="shared" si="0"/>
        <v>Closed</v>
      </c>
      <c r="G6" t="str">
        <f t="shared" ca="1" si="1"/>
        <v>No</v>
      </c>
      <c r="H6" t="s">
        <v>441</v>
      </c>
      <c r="I6" t="str">
        <f t="shared" ca="1" si="2"/>
        <v>30 Day</v>
      </c>
    </row>
    <row r="7" spans="1:9">
      <c r="A7" t="s">
        <v>236</v>
      </c>
      <c r="B7" t="str">
        <f ca="1">IF(COUNTIFS(Sustainability_Documents!A:A,$A7,Sustainability_Documents!H:H,"Missing")&gt;0,
"Missing Documents",
IF(COUNTIFS(Sustainability_Documents!A:A,$A7,Sustainability_Documents!H:H,"Expired")&gt;0,
"Expired Documents",
IF(COUNTIFS(Sustainability_Documents!A:A,$A7,Sustainability_Documents!H:H,"Expiring Soon")&gt;0,
"Expiring Soon Documents",
"Compliant")))</f>
        <v>Expiring Soon Documents</v>
      </c>
      <c r="C7" s="1">
        <v>46078</v>
      </c>
      <c r="D7" t="s">
        <v>442</v>
      </c>
      <c r="E7" t="s">
        <v>444</v>
      </c>
      <c r="F7" s="1">
        <f t="shared" si="0"/>
        <v>46085</v>
      </c>
      <c r="G7" t="str">
        <f t="shared" ca="1" si="1"/>
        <v>No</v>
      </c>
      <c r="H7" t="s">
        <v>441</v>
      </c>
      <c r="I7" t="str">
        <f t="shared" ca="1" si="2"/>
        <v>30 Day</v>
      </c>
    </row>
    <row r="8" spans="1:9">
      <c r="A8" t="s">
        <v>237</v>
      </c>
      <c r="B8" t="str">
        <f ca="1">IF(COUNTIFS(Sustainability_Documents!A:A,$A8,Sustainability_Documents!H:H,"Missing")&gt;0,
"Missing Documents",
IF(COUNTIFS(Sustainability_Documents!A:A,$A8,Sustainability_Documents!H:H,"Expired")&gt;0,
"Expired Documents",
IF(COUNTIFS(Sustainability_Documents!A:A,$A8,Sustainability_Documents!H:H,"Expiring Soon")&gt;0,
"Expiring Soon Documents",
"Compliant")))</f>
        <v>Expiring Soon Documents</v>
      </c>
      <c r="C8" s="1">
        <v>46073</v>
      </c>
      <c r="D8" t="s">
        <v>442</v>
      </c>
      <c r="E8" t="s">
        <v>444</v>
      </c>
      <c r="F8" s="1">
        <f t="shared" si="0"/>
        <v>46080</v>
      </c>
      <c r="G8" t="str">
        <f t="shared" ca="1" si="1"/>
        <v>No</v>
      </c>
      <c r="H8" t="s">
        <v>441</v>
      </c>
      <c r="I8" t="str">
        <f t="shared" ca="1" si="2"/>
        <v>30 Day</v>
      </c>
    </row>
    <row r="9" spans="1:9">
      <c r="A9" t="s">
        <v>238</v>
      </c>
      <c r="B9" t="str">
        <f ca="1">IF(COUNTIFS(Sustainability_Documents!A:A,$A9,Sustainability_Documents!H:H,"Missing")&gt;0,
"Missing Documents",
IF(COUNTIFS(Sustainability_Documents!A:A,$A9,Sustainability_Documents!H:H,"Expired")&gt;0,
"Expired Documents",
IF(COUNTIFS(Sustainability_Documents!A:A,$A9,Sustainability_Documents!H:H,"Expiring Soon")&gt;0,
"Expiring Soon Documents",
"Compliant")))</f>
        <v>Expired Documents</v>
      </c>
      <c r="C9" s="1">
        <v>46069</v>
      </c>
      <c r="D9" t="s">
        <v>442</v>
      </c>
      <c r="E9" t="s">
        <v>444</v>
      </c>
      <c r="F9" s="1">
        <f t="shared" si="0"/>
        <v>46076</v>
      </c>
      <c r="G9" t="str">
        <f t="shared" ca="1" si="1"/>
        <v>Yes</v>
      </c>
      <c r="H9" t="s">
        <v>441</v>
      </c>
      <c r="I9" t="str">
        <f t="shared" ca="1" si="2"/>
        <v>30 Day</v>
      </c>
    </row>
    <row r="10" spans="1:9">
      <c r="A10" t="s">
        <v>239</v>
      </c>
      <c r="B10" t="str">
        <f ca="1">IF(COUNTIFS(Sustainability_Documents!A:A,$A10,Sustainability_Documents!H:H,"Missing")&gt;0,
"Missing Documents",
IF(COUNTIFS(Sustainability_Documents!A:A,$A10,Sustainability_Documents!H:H,"Expired")&gt;0,
"Expired Documents",
IF(COUNTIFS(Sustainability_Documents!A:A,$A10,Sustainability_Documents!H:H,"Expiring Soon")&gt;0,
"Expiring Soon Documents",
"Compliant")))</f>
        <v>Expiring Soon Documents</v>
      </c>
      <c r="C10" s="1">
        <v>46074</v>
      </c>
      <c r="D10" t="s">
        <v>442</v>
      </c>
      <c r="E10" t="s">
        <v>444</v>
      </c>
      <c r="F10" s="1">
        <f t="shared" si="0"/>
        <v>46081</v>
      </c>
      <c r="G10" t="str">
        <f t="shared" ca="1" si="1"/>
        <v>No</v>
      </c>
      <c r="H10" t="s">
        <v>441</v>
      </c>
      <c r="I10" t="str">
        <f t="shared" ca="1" si="2"/>
        <v>30 Day</v>
      </c>
    </row>
    <row r="11" spans="1:9">
      <c r="A11" t="s">
        <v>240</v>
      </c>
      <c r="B11" t="str">
        <f ca="1">IF(COUNTIFS(Sustainability_Documents!A:A,$A11,Sustainability_Documents!H:H,"Missing")&gt;0,
"Missing Documents",
IF(COUNTIFS(Sustainability_Documents!A:A,$A11,Sustainability_Documents!H:H,"Expired")&gt;0,
"Expired Documents",
IF(COUNTIFS(Sustainability_Documents!A:A,$A11,Sustainability_Documents!H:H,"Expiring Soon")&gt;0,
"Expiring Soon Documents",
"Compliant")))</f>
        <v>Expiring Soon Documents</v>
      </c>
      <c r="C11" s="1">
        <v>46077</v>
      </c>
      <c r="D11" t="s">
        <v>442</v>
      </c>
      <c r="E11" t="s">
        <v>445</v>
      </c>
      <c r="F11" s="1" t="str">
        <f t="shared" si="0"/>
        <v>Closed</v>
      </c>
      <c r="G11" t="str">
        <f t="shared" ca="1" si="1"/>
        <v>No</v>
      </c>
      <c r="H11" t="s">
        <v>441</v>
      </c>
      <c r="I11" t="str">
        <f t="shared" ca="1" si="2"/>
        <v>30 Day</v>
      </c>
    </row>
    <row r="12" spans="1:9">
      <c r="A12" t="s">
        <v>241</v>
      </c>
      <c r="B12" t="str">
        <f ca="1">IF(COUNTIFS(Sustainability_Documents!A:A,$A12,Sustainability_Documents!H:H,"Missing")&gt;0,
"Missing Documents",
IF(COUNTIFS(Sustainability_Documents!A:A,$A12,Sustainability_Documents!H:H,"Expired")&gt;0,
"Expired Documents",
IF(COUNTIFS(Sustainability_Documents!A:A,$A12,Sustainability_Documents!H:H,"Expiring Soon")&gt;0,
"Expiring Soon Documents",
"Compliant")))</f>
        <v>Expiring Soon Documents</v>
      </c>
      <c r="C12" s="1">
        <v>46073</v>
      </c>
      <c r="D12" t="s">
        <v>442</v>
      </c>
      <c r="E12" t="s">
        <v>445</v>
      </c>
      <c r="F12" s="1" t="str">
        <f t="shared" si="0"/>
        <v>Closed</v>
      </c>
      <c r="G12" t="str">
        <f t="shared" ca="1" si="1"/>
        <v>No</v>
      </c>
      <c r="H12" t="s">
        <v>441</v>
      </c>
      <c r="I12" t="str">
        <f t="shared" ca="1" si="2"/>
        <v>30 Day</v>
      </c>
    </row>
    <row r="13" spans="1:9">
      <c r="A13" t="s">
        <v>242</v>
      </c>
      <c r="B13" t="str">
        <f ca="1">IF(COUNTIFS(Sustainability_Documents!A:A,$A13,Sustainability_Documents!H:H,"Missing")&gt;0,
"Missing Documents",
IF(COUNTIFS(Sustainability_Documents!A:A,$A13,Sustainability_Documents!H:H,"Expired")&gt;0,
"Expired Documents",
IF(COUNTIFS(Sustainability_Documents!A:A,$A13,Sustainability_Documents!H:H,"Expiring Soon")&gt;0,
"Expiring Soon Documents",
"Compliant")))</f>
        <v>Expiring Soon Documents</v>
      </c>
      <c r="C13" s="1">
        <v>46071</v>
      </c>
      <c r="D13" t="s">
        <v>442</v>
      </c>
      <c r="E13" t="s">
        <v>445</v>
      </c>
      <c r="F13" s="1" t="str">
        <f t="shared" si="0"/>
        <v>Closed</v>
      </c>
      <c r="G13" t="str">
        <f t="shared" ca="1" si="1"/>
        <v>No</v>
      </c>
      <c r="H13" t="s">
        <v>441</v>
      </c>
      <c r="I13" t="str">
        <f t="shared" ca="1" si="2"/>
        <v>30 Day</v>
      </c>
    </row>
    <row r="14" spans="1:9">
      <c r="A14" t="s">
        <v>243</v>
      </c>
      <c r="B14" t="str">
        <f ca="1">IF(COUNTIFS(Sustainability_Documents!A:A,$A14,Sustainability_Documents!H:H,"Missing")&gt;0,
"Missing Documents",
IF(COUNTIFS(Sustainability_Documents!A:A,$A14,Sustainability_Documents!H:H,"Expired")&gt;0,
"Expired Documents",
IF(COUNTIFS(Sustainability_Documents!A:A,$A14,Sustainability_Documents!H:H,"Expiring Soon")&gt;0,
"Expiring Soon Documents",
"Compliant")))</f>
        <v>Expiring Soon Documents</v>
      </c>
      <c r="C14" s="1">
        <v>46074</v>
      </c>
      <c r="D14" t="s">
        <v>442</v>
      </c>
      <c r="E14" t="s">
        <v>444</v>
      </c>
      <c r="F14" s="1">
        <f t="shared" si="0"/>
        <v>46081</v>
      </c>
      <c r="G14" t="str">
        <f t="shared" ca="1" si="1"/>
        <v>No</v>
      </c>
      <c r="H14" t="s">
        <v>441</v>
      </c>
      <c r="I14" t="str">
        <f t="shared" ca="1" si="2"/>
        <v>30 Day</v>
      </c>
    </row>
    <row r="15" spans="1:9">
      <c r="A15" t="s">
        <v>244</v>
      </c>
      <c r="B15" t="str">
        <f ca="1">IF(COUNTIFS(Sustainability_Documents!A:A,$A15,Sustainability_Documents!H:H,"Missing")&gt;0,
"Missing Documents",
IF(COUNTIFS(Sustainability_Documents!A:A,$A15,Sustainability_Documents!H:H,"Expired")&gt;0,
"Expired Documents",
IF(COUNTIFS(Sustainability_Documents!A:A,$A15,Sustainability_Documents!H:H,"Expiring Soon")&gt;0,
"Expiring Soon Documents",
"Compliant")))</f>
        <v>Expiring Soon Documents</v>
      </c>
      <c r="C15" s="1">
        <v>46070</v>
      </c>
      <c r="D15" t="s">
        <v>442</v>
      </c>
      <c r="E15" t="s">
        <v>444</v>
      </c>
      <c r="F15" s="1">
        <f t="shared" si="0"/>
        <v>46077</v>
      </c>
      <c r="G15" t="str">
        <f t="shared" ca="1" si="1"/>
        <v>No</v>
      </c>
      <c r="H15" t="s">
        <v>441</v>
      </c>
      <c r="I15" t="str">
        <f t="shared" ca="1" si="2"/>
        <v>30 Day</v>
      </c>
    </row>
    <row r="16" spans="1:9">
      <c r="A16" t="s">
        <v>245</v>
      </c>
      <c r="B16" t="str">
        <f ca="1">IF(COUNTIFS(Sustainability_Documents!A:A,$A16,Sustainability_Documents!H:H,"Missing")&gt;0,
"Missing Documents",
IF(COUNTIFS(Sustainability_Documents!A:A,$A16,Sustainability_Documents!H:H,"Expired")&gt;0,
"Expired Documents",
IF(COUNTIFS(Sustainability_Documents!A:A,$A16,Sustainability_Documents!H:H,"Expiring Soon")&gt;0,
"Expiring Soon Documents",
"Compliant")))</f>
        <v>Expiring Soon Documents</v>
      </c>
      <c r="C16" s="1">
        <v>46081</v>
      </c>
      <c r="D16" t="s">
        <v>442</v>
      </c>
      <c r="E16" t="s">
        <v>444</v>
      </c>
      <c r="F16" s="1">
        <f t="shared" si="0"/>
        <v>46088</v>
      </c>
      <c r="G16" t="str">
        <f t="shared" ca="1" si="1"/>
        <v>No</v>
      </c>
      <c r="H16" t="s">
        <v>441</v>
      </c>
      <c r="I16" t="str">
        <f t="shared" ca="1" si="2"/>
        <v>30 Day</v>
      </c>
    </row>
    <row r="17" spans="1:9">
      <c r="A17" t="s">
        <v>246</v>
      </c>
      <c r="B17" t="str">
        <f ca="1">IF(COUNTIFS(Sustainability_Documents!A:A,$A17,Sustainability_Documents!H:H,"Missing")&gt;0,
"Missing Documents",
IF(COUNTIFS(Sustainability_Documents!A:A,$A17,Sustainability_Documents!H:H,"Expired")&gt;0,
"Expired Documents",
IF(COUNTIFS(Sustainability_Documents!A:A,$A17,Sustainability_Documents!H:H,"Expiring Soon")&gt;0,
"Expiring Soon Documents",
"Compliant")))</f>
        <v>Expired Documents</v>
      </c>
      <c r="C17" s="1">
        <v>46079</v>
      </c>
      <c r="D17" t="s">
        <v>442</v>
      </c>
      <c r="E17" t="s">
        <v>446</v>
      </c>
      <c r="F17" s="1">
        <f t="shared" si="0"/>
        <v>46082</v>
      </c>
      <c r="G17" t="str">
        <f t="shared" ca="1" si="1"/>
        <v>Yes</v>
      </c>
      <c r="H17" t="s">
        <v>441</v>
      </c>
      <c r="I17" t="str">
        <f t="shared" ca="1" si="2"/>
        <v>30 Day</v>
      </c>
    </row>
    <row r="18" spans="1:9">
      <c r="A18" t="s">
        <v>247</v>
      </c>
      <c r="B18" t="str">
        <f ca="1">IF(COUNTIFS(Sustainability_Documents!A:A,$A18,Sustainability_Documents!H:H,"Missing")&gt;0,
"Missing Documents",
IF(COUNTIFS(Sustainability_Documents!A:A,$A18,Sustainability_Documents!H:H,"Expired")&gt;0,
"Expired Documents",
IF(COUNTIFS(Sustainability_Documents!A:A,$A18,Sustainability_Documents!H:H,"Expiring Soon")&gt;0,
"Expiring Soon Documents",
"Compliant")))</f>
        <v>Expiring Soon Documents</v>
      </c>
      <c r="C18" s="1">
        <v>46070</v>
      </c>
      <c r="D18" t="s">
        <v>442</v>
      </c>
      <c r="E18" t="s">
        <v>444</v>
      </c>
      <c r="F18" s="1">
        <f t="shared" si="0"/>
        <v>46077</v>
      </c>
      <c r="G18" t="str">
        <f t="shared" ca="1" si="1"/>
        <v>No</v>
      </c>
      <c r="H18" t="s">
        <v>441</v>
      </c>
      <c r="I18" t="str">
        <f t="shared" ca="1" si="2"/>
        <v>30 Day</v>
      </c>
    </row>
    <row r="19" spans="1:9">
      <c r="A19" t="s">
        <v>248</v>
      </c>
      <c r="B19" t="str">
        <f ca="1">IF(COUNTIFS(Sustainability_Documents!A:A,$A19,Sustainability_Documents!H:H,"Missing")&gt;0,
"Missing Documents",
IF(COUNTIFS(Sustainability_Documents!A:A,$A19,Sustainability_Documents!H:H,"Expired")&gt;0,
"Expired Documents",
IF(COUNTIFS(Sustainability_Documents!A:A,$A19,Sustainability_Documents!H:H,"Expiring Soon")&gt;0,
"Expiring Soon Documents",
"Compliant")))</f>
        <v>Expiring Soon Documents</v>
      </c>
      <c r="C19" s="1">
        <v>46071</v>
      </c>
      <c r="D19" t="s">
        <v>442</v>
      </c>
      <c r="E19" t="s">
        <v>444</v>
      </c>
      <c r="F19" s="1">
        <f t="shared" si="0"/>
        <v>46078</v>
      </c>
      <c r="G19" t="str">
        <f t="shared" ca="1" si="1"/>
        <v>No</v>
      </c>
      <c r="H19" t="s">
        <v>441</v>
      </c>
      <c r="I19" t="str">
        <f t="shared" ca="1" si="2"/>
        <v>30 Day</v>
      </c>
    </row>
    <row r="20" spans="1:9">
      <c r="A20" t="s">
        <v>249</v>
      </c>
      <c r="B20" t="str">
        <f ca="1">IF(COUNTIFS(Sustainability_Documents!A:A,$A20,Sustainability_Documents!H:H,"Missing")&gt;0,
"Missing Documents",
IF(COUNTIFS(Sustainability_Documents!A:A,$A20,Sustainability_Documents!H:H,"Expired")&gt;0,
"Expired Documents",
IF(COUNTIFS(Sustainability_Documents!A:A,$A20,Sustainability_Documents!H:H,"Expiring Soon")&gt;0,
"Expiring Soon Documents",
"Compliant")))</f>
        <v>Expiring Soon Documents</v>
      </c>
      <c r="C20" s="1">
        <v>46076</v>
      </c>
      <c r="D20" t="s">
        <v>442</v>
      </c>
      <c r="E20" t="s">
        <v>444</v>
      </c>
      <c r="F20" s="1">
        <f t="shared" si="0"/>
        <v>46083</v>
      </c>
      <c r="G20" t="str">
        <f t="shared" ca="1" si="1"/>
        <v>No</v>
      </c>
      <c r="H20" t="s">
        <v>441</v>
      </c>
      <c r="I20" t="str">
        <f t="shared" ca="1" si="2"/>
        <v>30 Day</v>
      </c>
    </row>
    <row r="21" spans="1:9">
      <c r="A21" t="s">
        <v>250</v>
      </c>
      <c r="B21" t="str">
        <f ca="1">IF(COUNTIFS(Sustainability_Documents!A:A,$A21,Sustainability_Documents!H:H,"Missing")&gt;0,
"Missing Documents",
IF(COUNTIFS(Sustainability_Documents!A:A,$A21,Sustainability_Documents!H:H,"Expired")&gt;0,
"Expired Documents",
IF(COUNTIFS(Sustainability_Documents!A:A,$A21,Sustainability_Documents!H:H,"Expiring Soon")&gt;0,
"Expiring Soon Documents",
"Compliant")))</f>
        <v>Expiring Soon Documents</v>
      </c>
      <c r="C21" s="1">
        <v>46072</v>
      </c>
      <c r="D21" t="s">
        <v>442</v>
      </c>
      <c r="E21" t="s">
        <v>445</v>
      </c>
      <c r="F21" s="1" t="str">
        <f t="shared" si="0"/>
        <v>Closed</v>
      </c>
      <c r="G21" t="str">
        <f t="shared" ca="1" si="1"/>
        <v>No</v>
      </c>
      <c r="H21" t="s">
        <v>441</v>
      </c>
      <c r="I21" t="str">
        <f t="shared" ca="1" si="2"/>
        <v>30 Day</v>
      </c>
    </row>
    <row r="22" spans="1:9">
      <c r="A22" t="s">
        <v>251</v>
      </c>
      <c r="B22" t="str">
        <f ca="1">IF(COUNTIFS(Sustainability_Documents!A:A,$A22,Sustainability_Documents!H:H,"Missing")&gt;0,
"Missing Documents",
IF(COUNTIFS(Sustainability_Documents!A:A,$A22,Sustainability_Documents!H:H,"Expired")&gt;0,
"Expired Documents",
IF(COUNTIFS(Sustainability_Documents!A:A,$A22,Sustainability_Documents!H:H,"Expiring Soon")&gt;0,
"Expiring Soon Documents",
"Compliant")))</f>
        <v>Expiring Soon Documents</v>
      </c>
      <c r="C22" s="1">
        <v>46078</v>
      </c>
      <c r="D22" t="s">
        <v>442</v>
      </c>
      <c r="E22" t="s">
        <v>444</v>
      </c>
      <c r="F22" s="1">
        <f t="shared" si="0"/>
        <v>46085</v>
      </c>
      <c r="G22" t="str">
        <f t="shared" ca="1" si="1"/>
        <v>No</v>
      </c>
      <c r="H22" t="s">
        <v>441</v>
      </c>
      <c r="I22" t="str">
        <f t="shared" ca="1" si="2"/>
        <v>30 Day</v>
      </c>
    </row>
    <row r="23" spans="1:9">
      <c r="A23" t="s">
        <v>252</v>
      </c>
      <c r="B23" t="str">
        <f ca="1">IF(COUNTIFS(Sustainability_Documents!A:A,$A23,Sustainability_Documents!H:H,"Missing")&gt;0,
"Missing Documents",
IF(COUNTIFS(Sustainability_Documents!A:A,$A23,Sustainability_Documents!H:H,"Expired")&gt;0,
"Expired Documents",
IF(COUNTIFS(Sustainability_Documents!A:A,$A23,Sustainability_Documents!H:H,"Expiring Soon")&gt;0,
"Expiring Soon Documents",
"Compliant")))</f>
        <v>Expiring Soon Documents</v>
      </c>
      <c r="C23" s="1">
        <v>46073</v>
      </c>
      <c r="D23" t="s">
        <v>442</v>
      </c>
      <c r="E23" t="s">
        <v>444</v>
      </c>
      <c r="F23" s="1">
        <f t="shared" si="0"/>
        <v>46080</v>
      </c>
      <c r="G23" t="str">
        <f t="shared" ca="1" si="1"/>
        <v>No</v>
      </c>
      <c r="H23" t="s">
        <v>441</v>
      </c>
      <c r="I23" t="str">
        <f t="shared" ca="1" si="2"/>
        <v>30 Day</v>
      </c>
    </row>
    <row r="24" spans="1:9">
      <c r="A24" t="s">
        <v>253</v>
      </c>
      <c r="B24" t="str">
        <f ca="1">IF(COUNTIFS(Sustainability_Documents!A:A,$A24,Sustainability_Documents!H:H,"Missing")&gt;0,
"Missing Documents",
IF(COUNTIFS(Sustainability_Documents!A:A,$A24,Sustainability_Documents!H:H,"Expired")&gt;0,
"Expired Documents",
IF(COUNTIFS(Sustainability_Documents!A:A,$A24,Sustainability_Documents!H:H,"Expiring Soon")&gt;0,
"Expiring Soon Documents",
"Compliant")))</f>
        <v>Expired Documents</v>
      </c>
      <c r="C24" s="1">
        <v>46077</v>
      </c>
      <c r="D24" t="s">
        <v>442</v>
      </c>
      <c r="E24" t="s">
        <v>444</v>
      </c>
      <c r="F24" s="1">
        <f t="shared" si="0"/>
        <v>46084</v>
      </c>
      <c r="G24" t="str">
        <f t="shared" ca="1" si="1"/>
        <v>Yes</v>
      </c>
      <c r="H24" t="s">
        <v>441</v>
      </c>
      <c r="I24" t="str">
        <f t="shared" ca="1" si="2"/>
        <v>30 Day</v>
      </c>
    </row>
    <row r="25" spans="1:9">
      <c r="A25" t="s">
        <v>254</v>
      </c>
      <c r="B25" t="str">
        <f ca="1">IF(COUNTIFS(Sustainability_Documents!A:A,$A25,Sustainability_Documents!H:H,"Missing")&gt;0,
"Missing Documents",
IF(COUNTIFS(Sustainability_Documents!A:A,$A25,Sustainability_Documents!H:H,"Expired")&gt;0,
"Expired Documents",
IF(COUNTIFS(Sustainability_Documents!A:A,$A25,Sustainability_Documents!H:H,"Expiring Soon")&gt;0,
"Expiring Soon Documents",
"Compliant")))</f>
        <v>Expiring Soon Documents</v>
      </c>
      <c r="C25" s="1">
        <v>46079</v>
      </c>
      <c r="D25" t="s">
        <v>442</v>
      </c>
      <c r="E25" t="s">
        <v>444</v>
      </c>
      <c r="F25" s="1">
        <f t="shared" si="0"/>
        <v>46086</v>
      </c>
      <c r="G25" t="str">
        <f t="shared" ca="1" si="1"/>
        <v>No</v>
      </c>
      <c r="H25" t="s">
        <v>441</v>
      </c>
      <c r="I25" t="str">
        <f t="shared" ca="1" si="2"/>
        <v>30 Day</v>
      </c>
    </row>
    <row r="26" spans="1:9">
      <c r="A26" t="s">
        <v>255</v>
      </c>
      <c r="B26" t="str">
        <f ca="1">IF(COUNTIFS(Sustainability_Documents!A:A,$A26,Sustainability_Documents!H:H,"Missing")&gt;0,
"Missing Documents",
IF(COUNTIFS(Sustainability_Documents!A:A,$A26,Sustainability_Documents!H:H,"Expired")&gt;0,
"Expired Documents",
IF(COUNTIFS(Sustainability_Documents!A:A,$A26,Sustainability_Documents!H:H,"Expiring Soon")&gt;0,
"Expiring Soon Documents",
"Compliant")))</f>
        <v>Expiring Soon Documents</v>
      </c>
      <c r="C26" s="1">
        <v>46067</v>
      </c>
      <c r="D26" t="s">
        <v>442</v>
      </c>
      <c r="E26" t="s">
        <v>444</v>
      </c>
      <c r="F26" s="1">
        <f t="shared" si="0"/>
        <v>46074</v>
      </c>
      <c r="G26" t="str">
        <f t="shared" ca="1" si="1"/>
        <v>No</v>
      </c>
      <c r="H26" t="s">
        <v>441</v>
      </c>
      <c r="I26" t="str">
        <f t="shared" ca="1" si="2"/>
        <v>30 Day</v>
      </c>
    </row>
    <row r="27" spans="1:9">
      <c r="A27" t="s">
        <v>256</v>
      </c>
      <c r="B27" t="str">
        <f ca="1">IF(COUNTIFS(Sustainability_Documents!A:A,$A27,Sustainability_Documents!H:H,"Missing")&gt;0,
"Missing Documents",
IF(COUNTIFS(Sustainability_Documents!A:A,$A27,Sustainability_Documents!H:H,"Expired")&gt;0,
"Expired Documents",
IF(COUNTIFS(Sustainability_Documents!A:A,$A27,Sustainability_Documents!H:H,"Expiring Soon")&gt;0,
"Expiring Soon Documents",
"Compliant")))</f>
        <v>Expiring Soon Documents</v>
      </c>
      <c r="C27" s="1">
        <v>46077</v>
      </c>
      <c r="D27" t="s">
        <v>442</v>
      </c>
      <c r="E27" t="s">
        <v>444</v>
      </c>
      <c r="F27" s="1">
        <f t="shared" si="0"/>
        <v>46084</v>
      </c>
      <c r="G27" t="str">
        <f t="shared" ca="1" si="1"/>
        <v>No</v>
      </c>
      <c r="H27" t="s">
        <v>441</v>
      </c>
      <c r="I27" t="str">
        <f t="shared" ca="1" si="2"/>
        <v>30 Day</v>
      </c>
    </row>
    <row r="28" spans="1:9">
      <c r="A28" t="s">
        <v>257</v>
      </c>
      <c r="B28" t="str">
        <f ca="1">IF(COUNTIFS(Sustainability_Documents!A:A,$A28,Sustainability_Documents!H:H,"Missing")&gt;0,
"Missing Documents",
IF(COUNTIFS(Sustainability_Documents!A:A,$A28,Sustainability_Documents!H:H,"Expired")&gt;0,
"Expired Documents",
IF(COUNTIFS(Sustainability_Documents!A:A,$A28,Sustainability_Documents!H:H,"Expiring Soon")&gt;0,
"Expiring Soon Documents",
"Compliant")))</f>
        <v>Expiring Soon Documents</v>
      </c>
      <c r="C28" s="1">
        <v>46074</v>
      </c>
      <c r="D28" t="s">
        <v>442</v>
      </c>
      <c r="E28" t="s">
        <v>446</v>
      </c>
      <c r="F28" s="1">
        <f t="shared" si="0"/>
        <v>46077</v>
      </c>
      <c r="G28" t="str">
        <f t="shared" ca="1" si="1"/>
        <v>Yes</v>
      </c>
      <c r="H28" t="s">
        <v>441</v>
      </c>
      <c r="I28" t="str">
        <f t="shared" ca="1" si="2"/>
        <v>30 Day</v>
      </c>
    </row>
    <row r="29" spans="1:9">
      <c r="A29" t="s">
        <v>258</v>
      </c>
      <c r="B29" t="str">
        <f ca="1">IF(COUNTIFS(Sustainability_Documents!A:A,$A29,Sustainability_Documents!H:H,"Missing")&gt;0,
"Missing Documents",
IF(COUNTIFS(Sustainability_Documents!A:A,$A29,Sustainability_Documents!H:H,"Expired")&gt;0,
"Expired Documents",
IF(COUNTIFS(Sustainability_Documents!A:A,$A29,Sustainability_Documents!H:H,"Expiring Soon")&gt;0,
"Expiring Soon Documents",
"Compliant")))</f>
        <v>Expiring Soon Documents</v>
      </c>
      <c r="C29" s="1">
        <v>46071</v>
      </c>
      <c r="D29" t="s">
        <v>442</v>
      </c>
      <c r="E29" t="s">
        <v>445</v>
      </c>
      <c r="F29" s="1" t="str">
        <f t="shared" si="0"/>
        <v>Closed</v>
      </c>
      <c r="G29" t="str">
        <f t="shared" ca="1" si="1"/>
        <v>No</v>
      </c>
      <c r="H29" t="s">
        <v>441</v>
      </c>
      <c r="I29" t="str">
        <f t="shared" ca="1" si="2"/>
        <v>30 Day</v>
      </c>
    </row>
    <row r="30" spans="1:9">
      <c r="A30" t="s">
        <v>259</v>
      </c>
      <c r="B30" t="str">
        <f ca="1">IF(COUNTIFS(Sustainability_Documents!A:A,$A30,Sustainability_Documents!H:H,"Missing")&gt;0,
"Missing Documents",
IF(COUNTIFS(Sustainability_Documents!A:A,$A30,Sustainability_Documents!H:H,"Expired")&gt;0,
"Expired Documents",
IF(COUNTIFS(Sustainability_Documents!A:A,$A30,Sustainability_Documents!H:H,"Expiring Soon")&gt;0,
"Expiring Soon Documents",
"Compliant")))</f>
        <v>Expiring Soon Documents</v>
      </c>
      <c r="C30" s="1">
        <v>46074</v>
      </c>
      <c r="D30" t="s">
        <v>442</v>
      </c>
      <c r="E30" t="s">
        <v>445</v>
      </c>
      <c r="F30" s="1" t="str">
        <f t="shared" si="0"/>
        <v>Closed</v>
      </c>
      <c r="G30" t="str">
        <f t="shared" ca="1" si="1"/>
        <v>No</v>
      </c>
      <c r="H30" t="s">
        <v>441</v>
      </c>
      <c r="I30" t="str">
        <f t="shared" ca="1" si="2"/>
        <v>30 Day</v>
      </c>
    </row>
    <row r="31" spans="1:9">
      <c r="A31" t="s">
        <v>260</v>
      </c>
      <c r="B31" t="str">
        <f ca="1">IF(COUNTIFS(Sustainability_Documents!A:A,$A31,Sustainability_Documents!H:H,"Missing")&gt;0,
"Missing Documents",
IF(COUNTIFS(Sustainability_Documents!A:A,$A31,Sustainability_Documents!H:H,"Expired")&gt;0,
"Expired Documents",
IF(COUNTIFS(Sustainability_Documents!A:A,$A31,Sustainability_Documents!H:H,"Expiring Soon")&gt;0,
"Expiring Soon Documents",
"Compliant")))</f>
        <v>Expiring Soon Documents</v>
      </c>
      <c r="C31" s="1">
        <v>46073</v>
      </c>
      <c r="D31" t="s">
        <v>442</v>
      </c>
      <c r="E31" t="s">
        <v>445</v>
      </c>
      <c r="F31" s="1" t="str">
        <f t="shared" si="0"/>
        <v>Closed</v>
      </c>
      <c r="G31" t="str">
        <f t="shared" ca="1" si="1"/>
        <v>No</v>
      </c>
      <c r="H31" t="s">
        <v>441</v>
      </c>
      <c r="I31" t="str">
        <f t="shared" ca="1" si="2"/>
        <v>30 Day</v>
      </c>
    </row>
    <row r="32" spans="1:9">
      <c r="A32" t="s">
        <v>261</v>
      </c>
      <c r="B32" t="str">
        <f ca="1">IF(COUNTIFS(Sustainability_Documents!A:A,$A32,Sustainability_Documents!H:H,"Missing")&gt;0,
"Missing Documents",
IF(COUNTIFS(Sustainability_Documents!A:A,$A32,Sustainability_Documents!H:H,"Expired")&gt;0,
"Expired Documents",
IF(COUNTIFS(Sustainability_Documents!A:A,$A32,Sustainability_Documents!H:H,"Expiring Soon")&gt;0,
"Expiring Soon Documents",
"Compliant")))</f>
        <v>Expiring Soon Documents</v>
      </c>
      <c r="C32" s="1">
        <v>46069</v>
      </c>
      <c r="D32" t="s">
        <v>442</v>
      </c>
      <c r="E32" t="s">
        <v>444</v>
      </c>
      <c r="F32" s="1">
        <f t="shared" si="0"/>
        <v>46076</v>
      </c>
      <c r="G32" t="str">
        <f t="shared" ca="1" si="1"/>
        <v>No</v>
      </c>
      <c r="H32" t="s">
        <v>441</v>
      </c>
      <c r="I32" t="str">
        <f t="shared" ca="1" si="2"/>
        <v>30 Day</v>
      </c>
    </row>
    <row r="33" spans="1:9">
      <c r="A33" t="s">
        <v>262</v>
      </c>
      <c r="B33" t="str">
        <f ca="1">IF(COUNTIFS(Sustainability_Documents!A:A,$A33,Sustainability_Documents!H:H,"Missing")&gt;0,
"Missing Documents",
IF(COUNTIFS(Sustainability_Documents!A:A,$A33,Sustainability_Documents!H:H,"Expired")&gt;0,
"Expired Documents",
IF(COUNTIFS(Sustainability_Documents!A:A,$A33,Sustainability_Documents!H:H,"Expiring Soon")&gt;0,
"Expiring Soon Documents",
"Compliant")))</f>
        <v>Expiring Soon Documents</v>
      </c>
      <c r="C33" s="1">
        <v>46077</v>
      </c>
      <c r="D33" t="s">
        <v>442</v>
      </c>
      <c r="E33" t="s">
        <v>444</v>
      </c>
      <c r="F33" s="1">
        <f t="shared" si="0"/>
        <v>46084</v>
      </c>
      <c r="G33" t="str">
        <f t="shared" ca="1" si="1"/>
        <v>No</v>
      </c>
      <c r="H33" t="s">
        <v>441</v>
      </c>
      <c r="I33" t="str">
        <f t="shared" ca="1" si="2"/>
        <v>30 Day</v>
      </c>
    </row>
    <row r="34" spans="1:9">
      <c r="A34" t="s">
        <v>263</v>
      </c>
      <c r="B34" t="str">
        <f ca="1">IF(COUNTIFS(Sustainability_Documents!A:A,$A34,Sustainability_Documents!H:H,"Missing")&gt;0,
"Missing Documents",
IF(COUNTIFS(Sustainability_Documents!A:A,$A34,Sustainability_Documents!H:H,"Expired")&gt;0,
"Expired Documents",
IF(COUNTIFS(Sustainability_Documents!A:A,$A34,Sustainability_Documents!H:H,"Expiring Soon")&gt;0,
"Expiring Soon Documents",
"Compliant")))</f>
        <v>Expiring Soon Documents</v>
      </c>
      <c r="C34" s="1">
        <v>46071</v>
      </c>
      <c r="D34" t="s">
        <v>442</v>
      </c>
      <c r="E34" t="s">
        <v>444</v>
      </c>
      <c r="F34" s="1">
        <f t="shared" si="0"/>
        <v>46078</v>
      </c>
      <c r="G34" t="str">
        <f t="shared" ca="1" si="1"/>
        <v>No</v>
      </c>
      <c r="H34" t="s">
        <v>441</v>
      </c>
      <c r="I34" t="str">
        <f t="shared" ca="1" si="2"/>
        <v>30 Day</v>
      </c>
    </row>
    <row r="35" spans="1:9">
      <c r="A35" t="s">
        <v>264</v>
      </c>
      <c r="B35" t="str">
        <f ca="1">IF(COUNTIFS(Sustainability_Documents!A:A,$A35,Sustainability_Documents!H:H,"Missing")&gt;0,
"Missing Documents",
IF(COUNTIFS(Sustainability_Documents!A:A,$A35,Sustainability_Documents!H:H,"Expired")&gt;0,
"Expired Documents",
IF(COUNTIFS(Sustainability_Documents!A:A,$A35,Sustainability_Documents!H:H,"Expiring Soon")&gt;0,
"Expiring Soon Documents",
"Compliant")))</f>
        <v>Expiring Soon Documents</v>
      </c>
      <c r="C35" s="1">
        <v>46080</v>
      </c>
      <c r="D35" t="s">
        <v>442</v>
      </c>
      <c r="E35" t="s">
        <v>444</v>
      </c>
      <c r="F35" s="1">
        <f t="shared" si="0"/>
        <v>46087</v>
      </c>
      <c r="G35" t="str">
        <f t="shared" ca="1" si="1"/>
        <v>No</v>
      </c>
      <c r="H35" t="s">
        <v>441</v>
      </c>
      <c r="I35" t="str">
        <f t="shared" ca="1" si="2"/>
        <v>30 Day</v>
      </c>
    </row>
    <row r="36" spans="1:9">
      <c r="A36" t="s">
        <v>265</v>
      </c>
      <c r="B36" t="str">
        <f ca="1">IF(COUNTIFS(Sustainability_Documents!A:A,$A36,Sustainability_Documents!H:H,"Missing")&gt;0,
"Missing Documents",
IF(COUNTIFS(Sustainability_Documents!A:A,$A36,Sustainability_Documents!H:H,"Expired")&gt;0,
"Expired Documents",
IF(COUNTIFS(Sustainability_Documents!A:A,$A36,Sustainability_Documents!H:H,"Expiring Soon")&gt;0,
"Expiring Soon Documents",
"Compliant")))</f>
        <v>Expiring Soon Documents</v>
      </c>
      <c r="C36" s="1">
        <v>46071</v>
      </c>
      <c r="D36" t="s">
        <v>442</v>
      </c>
      <c r="E36" t="s">
        <v>445</v>
      </c>
      <c r="F36" s="1" t="str">
        <f t="shared" si="0"/>
        <v>Closed</v>
      </c>
      <c r="G36" t="str">
        <f t="shared" ca="1" si="1"/>
        <v>No</v>
      </c>
      <c r="H36" t="s">
        <v>441</v>
      </c>
      <c r="I36" t="str">
        <f t="shared" ca="1" si="2"/>
        <v>30 Day</v>
      </c>
    </row>
    <row r="37" spans="1:9">
      <c r="A37" t="s">
        <v>266</v>
      </c>
      <c r="B37" t="str">
        <f ca="1">IF(COUNTIFS(Sustainability_Documents!A:A,$A37,Sustainability_Documents!H:H,"Missing")&gt;0,
"Missing Documents",
IF(COUNTIFS(Sustainability_Documents!A:A,$A37,Sustainability_Documents!H:H,"Expired")&gt;0,
"Expired Documents",
IF(COUNTIFS(Sustainability_Documents!A:A,$A37,Sustainability_Documents!H:H,"Expiring Soon")&gt;0,
"Expiring Soon Documents",
"Compliant")))</f>
        <v>Expiring Soon Documents</v>
      </c>
      <c r="C37" s="1">
        <v>46077</v>
      </c>
      <c r="D37" t="s">
        <v>442</v>
      </c>
      <c r="E37" t="s">
        <v>445</v>
      </c>
      <c r="F37" s="1" t="str">
        <f t="shared" si="0"/>
        <v>Closed</v>
      </c>
      <c r="G37" t="str">
        <f t="shared" ca="1" si="1"/>
        <v>No</v>
      </c>
      <c r="H37" t="s">
        <v>441</v>
      </c>
      <c r="I37" t="str">
        <f t="shared" ca="1" si="2"/>
        <v>30 Day</v>
      </c>
    </row>
    <row r="38" spans="1:9">
      <c r="A38" t="s">
        <v>267</v>
      </c>
      <c r="B38" t="str">
        <f ca="1">IF(COUNTIFS(Sustainability_Documents!A:A,$A38,Sustainability_Documents!H:H,"Missing")&gt;0,
"Missing Documents",
IF(COUNTIFS(Sustainability_Documents!A:A,$A38,Sustainability_Documents!H:H,"Expired")&gt;0,
"Expired Documents",
IF(COUNTIFS(Sustainability_Documents!A:A,$A38,Sustainability_Documents!H:H,"Expiring Soon")&gt;0,
"Expiring Soon Documents",
"Compliant")))</f>
        <v>Expiring Soon Documents</v>
      </c>
      <c r="C38" s="1">
        <v>46076</v>
      </c>
      <c r="D38" t="s">
        <v>442</v>
      </c>
      <c r="E38" t="s">
        <v>445</v>
      </c>
      <c r="F38" s="1" t="str">
        <f t="shared" si="0"/>
        <v>Closed</v>
      </c>
      <c r="G38" t="str">
        <f t="shared" ca="1" si="1"/>
        <v>No</v>
      </c>
      <c r="H38" t="s">
        <v>441</v>
      </c>
      <c r="I38" t="str">
        <f t="shared" ca="1" si="2"/>
        <v>30 Day</v>
      </c>
    </row>
    <row r="39" spans="1:9">
      <c r="A39" t="s">
        <v>268</v>
      </c>
      <c r="B39" t="str">
        <f ca="1">IF(COUNTIFS(Sustainability_Documents!A:A,$A39,Sustainability_Documents!H:H,"Missing")&gt;0,
"Missing Documents",
IF(COUNTIFS(Sustainability_Documents!A:A,$A39,Sustainability_Documents!H:H,"Expired")&gt;0,
"Expired Documents",
IF(COUNTIFS(Sustainability_Documents!A:A,$A39,Sustainability_Documents!H:H,"Expiring Soon")&gt;0,
"Expiring Soon Documents",
"Compliant")))</f>
        <v>Expired Documents</v>
      </c>
      <c r="C39" s="1">
        <v>46072</v>
      </c>
      <c r="D39" t="s">
        <v>442</v>
      </c>
      <c r="E39" t="s">
        <v>444</v>
      </c>
      <c r="F39" s="1">
        <f t="shared" si="0"/>
        <v>46079</v>
      </c>
      <c r="G39" t="str">
        <f t="shared" ca="1" si="1"/>
        <v>Yes</v>
      </c>
      <c r="H39" t="s">
        <v>441</v>
      </c>
      <c r="I39" t="str">
        <f t="shared" ca="1" si="2"/>
        <v>30 Day</v>
      </c>
    </row>
    <row r="40" spans="1:9">
      <c r="A40" t="s">
        <v>269</v>
      </c>
      <c r="B40" t="str">
        <f ca="1">IF(COUNTIFS(Sustainability_Documents!A:A,$A40,Sustainability_Documents!H:H,"Missing")&gt;0,
"Missing Documents",
IF(COUNTIFS(Sustainability_Documents!A:A,$A40,Sustainability_Documents!H:H,"Expired")&gt;0,
"Expired Documents",
IF(COUNTIFS(Sustainability_Documents!A:A,$A40,Sustainability_Documents!H:H,"Expiring Soon")&gt;0,
"Expiring Soon Documents",
"Compliant")))</f>
        <v>Expiring Soon Documents</v>
      </c>
      <c r="C40" s="1">
        <v>46076</v>
      </c>
      <c r="D40" t="s">
        <v>442</v>
      </c>
      <c r="E40" t="s">
        <v>445</v>
      </c>
      <c r="F40" s="1" t="str">
        <f t="shared" si="0"/>
        <v>Closed</v>
      </c>
      <c r="G40" t="str">
        <f t="shared" ca="1" si="1"/>
        <v>No</v>
      </c>
      <c r="H40" t="s">
        <v>441</v>
      </c>
      <c r="I40" t="str">
        <f t="shared" ca="1" si="2"/>
        <v>30 Day</v>
      </c>
    </row>
    <row r="41" spans="1:9">
      <c r="A41" t="s">
        <v>270</v>
      </c>
      <c r="B41" t="str">
        <f ca="1">IF(COUNTIFS(Sustainability_Documents!A:A,$A41,Sustainability_Documents!H:H,"Missing")&gt;0,
"Missing Documents",
IF(COUNTIFS(Sustainability_Documents!A:A,$A41,Sustainability_Documents!H:H,"Expired")&gt;0,
"Expired Documents",
IF(COUNTIFS(Sustainability_Documents!A:A,$A41,Sustainability_Documents!H:H,"Expiring Soon")&gt;0,
"Expiring Soon Documents",
"Compliant")))</f>
        <v>Expiring Soon Documents</v>
      </c>
      <c r="C41" s="1">
        <v>46067</v>
      </c>
      <c r="D41" t="s">
        <v>442</v>
      </c>
      <c r="E41" t="s">
        <v>445</v>
      </c>
      <c r="F41" s="1" t="str">
        <f t="shared" si="0"/>
        <v>Closed</v>
      </c>
      <c r="G41" t="str">
        <f t="shared" ca="1" si="1"/>
        <v>No</v>
      </c>
      <c r="H41" t="s">
        <v>441</v>
      </c>
      <c r="I41" t="str">
        <f t="shared" ca="1" si="2"/>
        <v>30 Day</v>
      </c>
    </row>
    <row r="42" spans="1:9">
      <c r="A42" t="s">
        <v>271</v>
      </c>
      <c r="B42" t="str">
        <f ca="1">IF(COUNTIFS(Sustainability_Documents!A:A,$A42,Sustainability_Documents!H:H,"Missing")&gt;0,
"Missing Documents",
IF(COUNTIFS(Sustainability_Documents!A:A,$A42,Sustainability_Documents!H:H,"Expired")&gt;0,
"Expired Documents",
IF(COUNTIFS(Sustainability_Documents!A:A,$A42,Sustainability_Documents!H:H,"Expiring Soon")&gt;0,
"Expiring Soon Documents",
"Compliant")))</f>
        <v>Expiring Soon Documents</v>
      </c>
      <c r="C42" s="1">
        <v>46081</v>
      </c>
      <c r="D42" t="s">
        <v>442</v>
      </c>
      <c r="E42" t="s">
        <v>445</v>
      </c>
      <c r="F42" s="1" t="str">
        <f t="shared" si="0"/>
        <v>Closed</v>
      </c>
      <c r="G42" t="str">
        <f t="shared" ca="1" si="1"/>
        <v>No</v>
      </c>
      <c r="H42" t="s">
        <v>441</v>
      </c>
      <c r="I42" t="str">
        <f t="shared" ca="1" si="2"/>
        <v>30 Day</v>
      </c>
    </row>
    <row r="43" spans="1:9">
      <c r="A43" t="s">
        <v>272</v>
      </c>
      <c r="B43" t="str">
        <f ca="1">IF(COUNTIFS(Sustainability_Documents!A:A,$A43,Sustainability_Documents!H:H,"Missing")&gt;0,
"Missing Documents",
IF(COUNTIFS(Sustainability_Documents!A:A,$A43,Sustainability_Documents!H:H,"Expired")&gt;0,
"Expired Documents",
IF(COUNTIFS(Sustainability_Documents!A:A,$A43,Sustainability_Documents!H:H,"Expiring Soon")&gt;0,
"Expiring Soon Documents",
"Compliant")))</f>
        <v>Expiring Soon Documents</v>
      </c>
      <c r="C43" s="1">
        <v>46081</v>
      </c>
      <c r="D43" t="s">
        <v>442</v>
      </c>
      <c r="E43" t="s">
        <v>444</v>
      </c>
      <c r="F43" s="1">
        <f t="shared" si="0"/>
        <v>46088</v>
      </c>
      <c r="G43" t="str">
        <f t="shared" ca="1" si="1"/>
        <v>No</v>
      </c>
      <c r="H43" t="s">
        <v>441</v>
      </c>
      <c r="I43" t="str">
        <f t="shared" ca="1" si="2"/>
        <v>30 Day</v>
      </c>
    </row>
    <row r="44" spans="1:9">
      <c r="A44" t="s">
        <v>273</v>
      </c>
      <c r="B44" t="str">
        <f ca="1">IF(COUNTIFS(Sustainability_Documents!A:A,$A44,Sustainability_Documents!H:H,"Missing")&gt;0,
"Missing Documents",
IF(COUNTIFS(Sustainability_Documents!A:A,$A44,Sustainability_Documents!H:H,"Expired")&gt;0,
"Expired Documents",
IF(COUNTIFS(Sustainability_Documents!A:A,$A44,Sustainability_Documents!H:H,"Expiring Soon")&gt;0,
"Expiring Soon Documents",
"Compliant")))</f>
        <v>Expiring Soon Documents</v>
      </c>
      <c r="C44" s="1">
        <v>46081</v>
      </c>
      <c r="D44" t="s">
        <v>442</v>
      </c>
      <c r="E44" t="s">
        <v>445</v>
      </c>
      <c r="F44" s="1" t="str">
        <f t="shared" si="0"/>
        <v>Closed</v>
      </c>
      <c r="G44" t="str">
        <f t="shared" ca="1" si="1"/>
        <v>No</v>
      </c>
      <c r="H44" t="s">
        <v>441</v>
      </c>
      <c r="I44" t="str">
        <f t="shared" ca="1" si="2"/>
        <v>30 Day</v>
      </c>
    </row>
    <row r="45" spans="1:9">
      <c r="A45" t="s">
        <v>274</v>
      </c>
      <c r="B45" t="str">
        <f ca="1">IF(COUNTIFS(Sustainability_Documents!A:A,$A45,Sustainability_Documents!H:H,"Missing")&gt;0,
"Missing Documents",
IF(COUNTIFS(Sustainability_Documents!A:A,$A45,Sustainability_Documents!H:H,"Expired")&gt;0,
"Expired Documents",
IF(COUNTIFS(Sustainability_Documents!A:A,$A45,Sustainability_Documents!H:H,"Expiring Soon")&gt;0,
"Expiring Soon Documents",
"Compliant")))</f>
        <v>Expired Documents</v>
      </c>
      <c r="C45" s="1">
        <v>46074</v>
      </c>
      <c r="D45" t="s">
        <v>442</v>
      </c>
      <c r="E45" t="s">
        <v>445</v>
      </c>
      <c r="F45" s="1" t="str">
        <f t="shared" si="0"/>
        <v>Closed</v>
      </c>
      <c r="G45" t="str">
        <f t="shared" ca="1" si="1"/>
        <v>Yes</v>
      </c>
      <c r="H45" t="s">
        <v>441</v>
      </c>
      <c r="I45" t="str">
        <f t="shared" ca="1" si="2"/>
        <v>30 Day</v>
      </c>
    </row>
    <row r="46" spans="1:9">
      <c r="A46" t="s">
        <v>275</v>
      </c>
      <c r="B46" t="str">
        <f ca="1">IF(COUNTIFS(Sustainability_Documents!A:A,$A46,Sustainability_Documents!H:H,"Missing")&gt;0,
"Missing Documents",
IF(COUNTIFS(Sustainability_Documents!A:A,$A46,Sustainability_Documents!H:H,"Expired")&gt;0,
"Expired Documents",
IF(COUNTIFS(Sustainability_Documents!A:A,$A46,Sustainability_Documents!H:H,"Expiring Soon")&gt;0,
"Expiring Soon Documents",
"Compliant")))</f>
        <v>Expiring Soon Documents</v>
      </c>
      <c r="C46" s="1">
        <v>46078</v>
      </c>
      <c r="D46" t="s">
        <v>442</v>
      </c>
      <c r="E46" t="s">
        <v>444</v>
      </c>
      <c r="F46" s="1">
        <f t="shared" si="0"/>
        <v>46085</v>
      </c>
      <c r="G46" t="str">
        <f t="shared" ca="1" si="1"/>
        <v>No</v>
      </c>
      <c r="H46" t="s">
        <v>441</v>
      </c>
      <c r="I46" t="str">
        <f t="shared" ca="1" si="2"/>
        <v>30 Day</v>
      </c>
    </row>
    <row r="47" spans="1:9">
      <c r="A47" t="s">
        <v>276</v>
      </c>
      <c r="B47" t="str">
        <f ca="1">IF(COUNTIFS(Sustainability_Documents!A:A,$A47,Sustainability_Documents!H:H,"Missing")&gt;0,
"Missing Documents",
IF(COUNTIFS(Sustainability_Documents!A:A,$A47,Sustainability_Documents!H:H,"Expired")&gt;0,
"Expired Documents",
IF(COUNTIFS(Sustainability_Documents!A:A,$A47,Sustainability_Documents!H:H,"Expiring Soon")&gt;0,
"Expiring Soon Documents",
"Compliant")))</f>
        <v>Expiring Soon Documents</v>
      </c>
      <c r="C47" s="1">
        <v>46078</v>
      </c>
      <c r="D47" t="s">
        <v>442</v>
      </c>
      <c r="E47" t="s">
        <v>444</v>
      </c>
      <c r="F47" s="1">
        <f t="shared" si="0"/>
        <v>46085</v>
      </c>
      <c r="G47" t="str">
        <f t="shared" ca="1" si="1"/>
        <v>No</v>
      </c>
      <c r="H47" t="s">
        <v>441</v>
      </c>
      <c r="I47" t="str">
        <f t="shared" ca="1" si="2"/>
        <v>30 Day</v>
      </c>
    </row>
    <row r="48" spans="1:9">
      <c r="A48" t="s">
        <v>277</v>
      </c>
      <c r="B48" t="str">
        <f ca="1">IF(COUNTIFS(Sustainability_Documents!A:A,$A48,Sustainability_Documents!H:H,"Missing")&gt;0,
"Missing Documents",
IF(COUNTIFS(Sustainability_Documents!A:A,$A48,Sustainability_Documents!H:H,"Expired")&gt;0,
"Expired Documents",
IF(COUNTIFS(Sustainability_Documents!A:A,$A48,Sustainability_Documents!H:H,"Expiring Soon")&gt;0,
"Expiring Soon Documents",
"Compliant")))</f>
        <v>Expiring Soon Documents</v>
      </c>
      <c r="C48" s="1">
        <v>46075</v>
      </c>
      <c r="D48" t="s">
        <v>442</v>
      </c>
      <c r="E48" t="s">
        <v>444</v>
      </c>
      <c r="F48" s="1">
        <f t="shared" si="0"/>
        <v>46082</v>
      </c>
      <c r="G48" t="str">
        <f t="shared" ca="1" si="1"/>
        <v>No</v>
      </c>
      <c r="H48" t="s">
        <v>441</v>
      </c>
      <c r="I48" t="str">
        <f t="shared" ca="1" si="2"/>
        <v>30 Day</v>
      </c>
    </row>
    <row r="49" spans="1:9">
      <c r="A49" t="s">
        <v>278</v>
      </c>
      <c r="B49" t="str">
        <f ca="1">IF(COUNTIFS(Sustainability_Documents!A:A,$A49,Sustainability_Documents!H:H,"Missing")&gt;0,
"Missing Documents",
IF(COUNTIFS(Sustainability_Documents!A:A,$A49,Sustainability_Documents!H:H,"Expired")&gt;0,
"Expired Documents",
IF(COUNTIFS(Sustainability_Documents!A:A,$A49,Sustainability_Documents!H:H,"Expiring Soon")&gt;0,
"Expiring Soon Documents",
"Compliant")))</f>
        <v>Expiring Soon Documents</v>
      </c>
      <c r="C49" s="1">
        <v>46076</v>
      </c>
      <c r="D49" t="s">
        <v>442</v>
      </c>
      <c r="E49" t="s">
        <v>445</v>
      </c>
      <c r="F49" s="1" t="str">
        <f t="shared" si="0"/>
        <v>Closed</v>
      </c>
      <c r="G49" t="str">
        <f t="shared" ca="1" si="1"/>
        <v>No</v>
      </c>
      <c r="H49" t="s">
        <v>441</v>
      </c>
      <c r="I49" t="str">
        <f t="shared" ca="1" si="2"/>
        <v>30 Day</v>
      </c>
    </row>
    <row r="50" spans="1:9">
      <c r="A50" t="s">
        <v>279</v>
      </c>
      <c r="B50" t="str">
        <f ca="1">IF(COUNTIFS(Sustainability_Documents!A:A,$A50,Sustainability_Documents!H:H,"Missing")&gt;0,
"Missing Documents",
IF(COUNTIFS(Sustainability_Documents!A:A,$A50,Sustainability_Documents!H:H,"Expired")&gt;0,
"Expired Documents",
IF(COUNTIFS(Sustainability_Documents!A:A,$A50,Sustainability_Documents!H:H,"Expiring Soon")&gt;0,
"Expiring Soon Documents",
"Compliant")))</f>
        <v>Expiring Soon Documents</v>
      </c>
      <c r="C50" s="1">
        <v>46068</v>
      </c>
      <c r="D50" t="s">
        <v>442</v>
      </c>
      <c r="E50" t="s">
        <v>444</v>
      </c>
      <c r="F50" s="1">
        <f t="shared" si="0"/>
        <v>46075</v>
      </c>
      <c r="G50" t="str">
        <f t="shared" ca="1" si="1"/>
        <v>No</v>
      </c>
      <c r="H50" t="s">
        <v>441</v>
      </c>
      <c r="I50" t="str">
        <f t="shared" ca="1" si="2"/>
        <v>30 Day</v>
      </c>
    </row>
    <row r="51" spans="1:9">
      <c r="A51" t="s">
        <v>280</v>
      </c>
      <c r="B51" t="str">
        <f ca="1">IF(COUNTIFS(Sustainability_Documents!A:A,$A51,Sustainability_Documents!H:H,"Missing")&gt;0,
"Missing Documents",
IF(COUNTIFS(Sustainability_Documents!A:A,$A51,Sustainability_Documents!H:H,"Expired")&gt;0,
"Expired Documents",
IF(COUNTIFS(Sustainability_Documents!A:A,$A51,Sustainability_Documents!H:H,"Expiring Soon")&gt;0,
"Expiring Soon Documents",
"Compliant")))</f>
        <v>Expiring Soon Documents</v>
      </c>
      <c r="C51" s="1">
        <v>46072</v>
      </c>
      <c r="D51" t="s">
        <v>442</v>
      </c>
      <c r="E51" t="s">
        <v>444</v>
      </c>
      <c r="F51" s="1">
        <f t="shared" si="0"/>
        <v>46079</v>
      </c>
      <c r="G51" t="str">
        <f t="shared" ca="1" si="1"/>
        <v>No</v>
      </c>
      <c r="H51" t="s">
        <v>441</v>
      </c>
      <c r="I51" t="str">
        <f t="shared" ca="1" si="2"/>
        <v>30 Day</v>
      </c>
    </row>
    <row r="52" spans="1:9">
      <c r="A52" t="s">
        <v>281</v>
      </c>
      <c r="B52" t="str">
        <f ca="1">IF(COUNTIFS(Sustainability_Documents!A:A,$A52,Sustainability_Documents!H:H,"Missing")&gt;0,
"Missing Documents",
IF(COUNTIFS(Sustainability_Documents!A:A,$A52,Sustainability_Documents!H:H,"Expired")&gt;0,
"Expired Documents",
IF(COUNTIFS(Sustainability_Documents!A:A,$A52,Sustainability_Documents!H:H,"Expiring Soon")&gt;0,
"Expiring Soon Documents",
"Compliant")))</f>
        <v>Expiring Soon Documents</v>
      </c>
      <c r="C52" s="1">
        <v>46068</v>
      </c>
      <c r="D52" t="s">
        <v>442</v>
      </c>
      <c r="E52" t="s">
        <v>444</v>
      </c>
      <c r="F52" s="1">
        <f t="shared" si="0"/>
        <v>46075</v>
      </c>
      <c r="G52" t="str">
        <f t="shared" ca="1" si="1"/>
        <v>No</v>
      </c>
      <c r="H52" t="s">
        <v>441</v>
      </c>
      <c r="I52" t="str">
        <f t="shared" ca="1" si="2"/>
        <v>30 Day</v>
      </c>
    </row>
    <row r="53" spans="1:9">
      <c r="A53" t="s">
        <v>282</v>
      </c>
      <c r="B53" t="str">
        <f ca="1">IF(COUNTIFS(Sustainability_Documents!A:A,$A53,Sustainability_Documents!H:H,"Missing")&gt;0,
"Missing Documents",
IF(COUNTIFS(Sustainability_Documents!A:A,$A53,Sustainability_Documents!H:H,"Expired")&gt;0,
"Expired Documents",
IF(COUNTIFS(Sustainability_Documents!A:A,$A53,Sustainability_Documents!H:H,"Expiring Soon")&gt;0,
"Expiring Soon Documents",
"Compliant")))</f>
        <v>Expired Documents</v>
      </c>
      <c r="C53" s="1">
        <v>46072</v>
      </c>
      <c r="D53" t="s">
        <v>442</v>
      </c>
      <c r="E53" t="s">
        <v>444</v>
      </c>
      <c r="F53" s="1">
        <f t="shared" si="0"/>
        <v>46079</v>
      </c>
      <c r="G53" t="str">
        <f t="shared" ca="1" si="1"/>
        <v>Yes</v>
      </c>
      <c r="H53" t="s">
        <v>441</v>
      </c>
      <c r="I53" t="str">
        <f t="shared" ca="1" si="2"/>
        <v>30 Day</v>
      </c>
    </row>
    <row r="54" spans="1:9">
      <c r="A54" t="s">
        <v>283</v>
      </c>
      <c r="B54" t="str">
        <f ca="1">IF(COUNTIFS(Sustainability_Documents!A:A,$A54,Sustainability_Documents!H:H,"Missing")&gt;0,
"Missing Documents",
IF(COUNTIFS(Sustainability_Documents!A:A,$A54,Sustainability_Documents!H:H,"Expired")&gt;0,
"Expired Documents",
IF(COUNTIFS(Sustainability_Documents!A:A,$A54,Sustainability_Documents!H:H,"Expiring Soon")&gt;0,
"Expiring Soon Documents",
"Compliant")))</f>
        <v>Expiring Soon Documents</v>
      </c>
      <c r="C54" s="1">
        <v>46081</v>
      </c>
      <c r="D54" t="s">
        <v>442</v>
      </c>
      <c r="E54" t="s">
        <v>444</v>
      </c>
      <c r="F54" s="1">
        <f t="shared" si="0"/>
        <v>46088</v>
      </c>
      <c r="G54" t="str">
        <f t="shared" ca="1" si="1"/>
        <v>No</v>
      </c>
      <c r="H54" t="s">
        <v>441</v>
      </c>
      <c r="I54" t="str">
        <f t="shared" ca="1" si="2"/>
        <v>30 Day</v>
      </c>
    </row>
    <row r="55" spans="1:9">
      <c r="A55" t="s">
        <v>284</v>
      </c>
      <c r="B55" t="str">
        <f ca="1">IF(COUNTIFS(Sustainability_Documents!A:A,$A55,Sustainability_Documents!H:H,"Missing")&gt;0,
"Missing Documents",
IF(COUNTIFS(Sustainability_Documents!A:A,$A55,Sustainability_Documents!H:H,"Expired")&gt;0,
"Expired Documents",
IF(COUNTIFS(Sustainability_Documents!A:A,$A55,Sustainability_Documents!H:H,"Expiring Soon")&gt;0,
"Expiring Soon Documents",
"Compliant")))</f>
        <v>Expiring Soon Documents</v>
      </c>
      <c r="C55" s="1">
        <v>46080</v>
      </c>
      <c r="D55" t="s">
        <v>442</v>
      </c>
      <c r="E55" t="s">
        <v>445</v>
      </c>
      <c r="F55" s="1" t="str">
        <f t="shared" si="0"/>
        <v>Closed</v>
      </c>
      <c r="G55" t="str">
        <f t="shared" ca="1" si="1"/>
        <v>No</v>
      </c>
      <c r="H55" t="s">
        <v>441</v>
      </c>
      <c r="I55" t="str">
        <f t="shared" ca="1" si="2"/>
        <v>30 Day</v>
      </c>
    </row>
    <row r="56" spans="1:9">
      <c r="A56" t="s">
        <v>285</v>
      </c>
      <c r="B56" t="str">
        <f ca="1">IF(COUNTIFS(Sustainability_Documents!A:A,$A56,Sustainability_Documents!H:H,"Missing")&gt;0,
"Missing Documents",
IF(COUNTIFS(Sustainability_Documents!A:A,$A56,Sustainability_Documents!H:H,"Expired")&gt;0,
"Expired Documents",
IF(COUNTIFS(Sustainability_Documents!A:A,$A56,Sustainability_Documents!H:H,"Expiring Soon")&gt;0,
"Expiring Soon Documents",
"Compliant")))</f>
        <v>Expiring Soon Documents</v>
      </c>
      <c r="C56" s="1">
        <v>46081</v>
      </c>
      <c r="D56" t="s">
        <v>442</v>
      </c>
      <c r="E56" t="s">
        <v>444</v>
      </c>
      <c r="F56" s="1">
        <f t="shared" si="0"/>
        <v>46088</v>
      </c>
      <c r="G56" t="str">
        <f t="shared" ca="1" si="1"/>
        <v>No</v>
      </c>
      <c r="H56" t="s">
        <v>441</v>
      </c>
      <c r="I56" t="str">
        <f t="shared" ca="1" si="2"/>
        <v>30 Day</v>
      </c>
    </row>
    <row r="57" spans="1:9">
      <c r="A57" t="s">
        <v>286</v>
      </c>
      <c r="B57" t="str">
        <f ca="1">IF(COUNTIFS(Sustainability_Documents!A:A,$A57,Sustainability_Documents!H:H,"Missing")&gt;0,
"Missing Documents",
IF(COUNTIFS(Sustainability_Documents!A:A,$A57,Sustainability_Documents!H:H,"Expired")&gt;0,
"Expired Documents",
IF(COUNTIFS(Sustainability_Documents!A:A,$A57,Sustainability_Documents!H:H,"Expiring Soon")&gt;0,
"Expiring Soon Documents",
"Compliant")))</f>
        <v>Expiring Soon Documents</v>
      </c>
      <c r="C57" s="1">
        <v>46069</v>
      </c>
      <c r="D57" t="s">
        <v>442</v>
      </c>
      <c r="E57" t="s">
        <v>445</v>
      </c>
      <c r="F57" s="1" t="str">
        <f t="shared" si="0"/>
        <v>Closed</v>
      </c>
      <c r="G57" t="str">
        <f t="shared" ca="1" si="1"/>
        <v>No</v>
      </c>
      <c r="H57" t="s">
        <v>441</v>
      </c>
      <c r="I57" t="str">
        <f t="shared" ca="1" si="2"/>
        <v>30 Day</v>
      </c>
    </row>
    <row r="58" spans="1:9">
      <c r="A58" t="s">
        <v>287</v>
      </c>
      <c r="B58" t="str">
        <f ca="1">IF(COUNTIFS(Sustainability_Documents!A:A,$A58,Sustainability_Documents!H:H,"Missing")&gt;0,
"Missing Documents",
IF(COUNTIFS(Sustainability_Documents!A:A,$A58,Sustainability_Documents!H:H,"Expired")&gt;0,
"Expired Documents",
IF(COUNTIFS(Sustainability_Documents!A:A,$A58,Sustainability_Documents!H:H,"Expiring Soon")&gt;0,
"Expiring Soon Documents",
"Compliant")))</f>
        <v>Expiring Soon Documents</v>
      </c>
      <c r="C58" s="1">
        <v>46070</v>
      </c>
      <c r="D58" t="s">
        <v>442</v>
      </c>
      <c r="E58" t="s">
        <v>445</v>
      </c>
      <c r="F58" s="1" t="str">
        <f t="shared" si="0"/>
        <v>Closed</v>
      </c>
      <c r="G58" t="str">
        <f t="shared" ca="1" si="1"/>
        <v>No</v>
      </c>
      <c r="H58" t="s">
        <v>441</v>
      </c>
      <c r="I58" t="str">
        <f t="shared" ca="1" si="2"/>
        <v>30 Day</v>
      </c>
    </row>
    <row r="59" spans="1:9">
      <c r="A59" t="s">
        <v>288</v>
      </c>
      <c r="B59" t="str">
        <f ca="1">IF(COUNTIFS(Sustainability_Documents!A:A,$A59,Sustainability_Documents!H:H,"Missing")&gt;0,
"Missing Documents",
IF(COUNTIFS(Sustainability_Documents!A:A,$A59,Sustainability_Documents!H:H,"Expired")&gt;0,
"Expired Documents",
IF(COUNTIFS(Sustainability_Documents!A:A,$A59,Sustainability_Documents!H:H,"Expiring Soon")&gt;0,
"Expiring Soon Documents",
"Compliant")))</f>
        <v>Expiring Soon Documents</v>
      </c>
      <c r="C59" s="1">
        <v>46078</v>
      </c>
      <c r="D59" t="s">
        <v>442</v>
      </c>
      <c r="E59" t="s">
        <v>444</v>
      </c>
      <c r="F59" s="1">
        <f t="shared" si="0"/>
        <v>46085</v>
      </c>
      <c r="G59" t="str">
        <f t="shared" ca="1" si="1"/>
        <v>No</v>
      </c>
      <c r="H59" t="s">
        <v>441</v>
      </c>
      <c r="I59" t="str">
        <f t="shared" ca="1" si="2"/>
        <v>30 Day</v>
      </c>
    </row>
    <row r="60" spans="1:9">
      <c r="A60" t="s">
        <v>289</v>
      </c>
      <c r="B60" t="str">
        <f ca="1">IF(COUNTIFS(Sustainability_Documents!A:A,$A60,Sustainability_Documents!H:H,"Missing")&gt;0,
"Missing Documents",
IF(COUNTIFS(Sustainability_Documents!A:A,$A60,Sustainability_Documents!H:H,"Expired")&gt;0,
"Expired Documents",
IF(COUNTIFS(Sustainability_Documents!A:A,$A60,Sustainability_Documents!H:H,"Expiring Soon")&gt;0,
"Expiring Soon Documents",
"Compliant")))</f>
        <v>Expiring Soon Documents</v>
      </c>
      <c r="C60" s="1">
        <v>46069</v>
      </c>
      <c r="D60" t="s">
        <v>442</v>
      </c>
      <c r="E60" t="s">
        <v>445</v>
      </c>
      <c r="F60" s="1" t="str">
        <f t="shared" si="0"/>
        <v>Closed</v>
      </c>
      <c r="G60" t="str">
        <f t="shared" ca="1" si="1"/>
        <v>No</v>
      </c>
      <c r="H60" t="s">
        <v>441</v>
      </c>
      <c r="I60" t="str">
        <f t="shared" ca="1" si="2"/>
        <v>30 Day</v>
      </c>
    </row>
    <row r="61" spans="1:9">
      <c r="A61" t="s">
        <v>290</v>
      </c>
      <c r="B61" t="str">
        <f ca="1">IF(COUNTIFS(Sustainability_Documents!A:A,$A61,Sustainability_Documents!H:H,"Missing")&gt;0,
"Missing Documents",
IF(COUNTIFS(Sustainability_Documents!A:A,$A61,Sustainability_Documents!H:H,"Expired")&gt;0,
"Expired Documents",
IF(COUNTIFS(Sustainability_Documents!A:A,$A61,Sustainability_Documents!H:H,"Expiring Soon")&gt;0,
"Expiring Soon Documents",
"Compliant")))</f>
        <v>Expiring Soon Documents</v>
      </c>
      <c r="C61" s="1">
        <v>46079</v>
      </c>
      <c r="D61" t="s">
        <v>442</v>
      </c>
      <c r="E61" t="s">
        <v>444</v>
      </c>
      <c r="F61" s="1">
        <f t="shared" si="0"/>
        <v>46086</v>
      </c>
      <c r="G61" t="str">
        <f t="shared" ca="1" si="1"/>
        <v>No</v>
      </c>
      <c r="H61" t="s">
        <v>441</v>
      </c>
      <c r="I61" t="str">
        <f t="shared" ca="1" si="2"/>
        <v>30 Day</v>
      </c>
    </row>
    <row r="62" spans="1:9">
      <c r="A62" t="s">
        <v>291</v>
      </c>
      <c r="B62" t="str">
        <f ca="1">IF(COUNTIFS(Sustainability_Documents!A:A,$A62,Sustainability_Documents!H:H,"Missing")&gt;0,
"Missing Documents",
IF(COUNTIFS(Sustainability_Documents!A:A,$A62,Sustainability_Documents!H:H,"Expired")&gt;0,
"Expired Documents",
IF(COUNTIFS(Sustainability_Documents!A:A,$A62,Sustainability_Documents!H:H,"Expiring Soon")&gt;0,
"Expiring Soon Documents",
"Compliant")))</f>
        <v>Expiring Soon Documents</v>
      </c>
      <c r="C62" s="1">
        <v>46074</v>
      </c>
      <c r="D62" t="s">
        <v>442</v>
      </c>
      <c r="E62" t="s">
        <v>445</v>
      </c>
      <c r="F62" s="1" t="str">
        <f t="shared" si="0"/>
        <v>Closed</v>
      </c>
      <c r="G62" t="str">
        <f t="shared" ca="1" si="1"/>
        <v>No</v>
      </c>
      <c r="H62" t="s">
        <v>441</v>
      </c>
      <c r="I62" t="str">
        <f t="shared" ca="1" si="2"/>
        <v>30 Day</v>
      </c>
    </row>
    <row r="63" spans="1:9">
      <c r="A63" t="s">
        <v>292</v>
      </c>
      <c r="B63" t="str">
        <f ca="1">IF(COUNTIFS(Sustainability_Documents!A:A,$A63,Sustainability_Documents!H:H,"Missing")&gt;0,
"Missing Documents",
IF(COUNTIFS(Sustainability_Documents!A:A,$A63,Sustainability_Documents!H:H,"Expired")&gt;0,
"Expired Documents",
IF(COUNTIFS(Sustainability_Documents!A:A,$A63,Sustainability_Documents!H:H,"Expiring Soon")&gt;0,
"Expiring Soon Documents",
"Compliant")))</f>
        <v>Expiring Soon Documents</v>
      </c>
      <c r="C63" s="1">
        <v>46071</v>
      </c>
      <c r="D63" t="s">
        <v>442</v>
      </c>
      <c r="E63" t="s">
        <v>444</v>
      </c>
      <c r="F63" s="1">
        <f t="shared" si="0"/>
        <v>46078</v>
      </c>
      <c r="G63" t="str">
        <f t="shared" ca="1" si="1"/>
        <v>No</v>
      </c>
      <c r="H63" t="s">
        <v>441</v>
      </c>
      <c r="I63" t="str">
        <f t="shared" ca="1" si="2"/>
        <v>30 Day</v>
      </c>
    </row>
    <row r="64" spans="1:9">
      <c r="A64" t="s">
        <v>293</v>
      </c>
      <c r="B64" t="str">
        <f ca="1">IF(COUNTIFS(Sustainability_Documents!A:A,$A64,Sustainability_Documents!H:H,"Missing")&gt;0,
"Missing Documents",
IF(COUNTIFS(Sustainability_Documents!A:A,$A64,Sustainability_Documents!H:H,"Expired")&gt;0,
"Expired Documents",
IF(COUNTIFS(Sustainability_Documents!A:A,$A64,Sustainability_Documents!H:H,"Expiring Soon")&gt;0,
"Expiring Soon Documents",
"Compliant")))</f>
        <v>Expiring Soon Documents</v>
      </c>
      <c r="C64" s="1">
        <v>46079</v>
      </c>
      <c r="D64" t="s">
        <v>442</v>
      </c>
      <c r="E64" t="s">
        <v>444</v>
      </c>
      <c r="F64" s="1">
        <f t="shared" si="0"/>
        <v>46086</v>
      </c>
      <c r="G64" t="str">
        <f t="shared" ca="1" si="1"/>
        <v>No</v>
      </c>
      <c r="H64" t="s">
        <v>441</v>
      </c>
      <c r="I64" t="str">
        <f t="shared" ca="1" si="2"/>
        <v>30 Day</v>
      </c>
    </row>
    <row r="65" spans="1:9">
      <c r="A65" t="s">
        <v>294</v>
      </c>
      <c r="B65" t="str">
        <f ca="1">IF(COUNTIFS(Sustainability_Documents!A:A,$A65,Sustainability_Documents!H:H,"Missing")&gt;0,
"Missing Documents",
IF(COUNTIFS(Sustainability_Documents!A:A,$A65,Sustainability_Documents!H:H,"Expired")&gt;0,
"Expired Documents",
IF(COUNTIFS(Sustainability_Documents!A:A,$A65,Sustainability_Documents!H:H,"Expiring Soon")&gt;0,
"Expiring Soon Documents",
"Compliant")))</f>
        <v>Expiring Soon Documents</v>
      </c>
      <c r="C65" s="1">
        <v>46075</v>
      </c>
      <c r="D65" t="s">
        <v>442</v>
      </c>
      <c r="E65" t="s">
        <v>445</v>
      </c>
      <c r="F65" s="1" t="str">
        <f t="shared" si="0"/>
        <v>Closed</v>
      </c>
      <c r="G65" t="str">
        <f t="shared" ca="1" si="1"/>
        <v>No</v>
      </c>
      <c r="H65" t="s">
        <v>441</v>
      </c>
      <c r="I65" t="str">
        <f t="shared" ca="1" si="2"/>
        <v>30 Day</v>
      </c>
    </row>
    <row r="66" spans="1:9">
      <c r="A66" t="s">
        <v>295</v>
      </c>
      <c r="B66" t="str">
        <f ca="1">IF(COUNTIFS(Sustainability_Documents!A:A,$A66,Sustainability_Documents!H:H,"Missing")&gt;0,
"Missing Documents",
IF(COUNTIFS(Sustainability_Documents!A:A,$A66,Sustainability_Documents!H:H,"Expired")&gt;0,
"Expired Documents",
IF(COUNTIFS(Sustainability_Documents!A:A,$A66,Sustainability_Documents!H:H,"Expiring Soon")&gt;0,
"Expiring Soon Documents",
"Compliant")))</f>
        <v>Expired Documents</v>
      </c>
      <c r="C66" s="1">
        <v>46080</v>
      </c>
      <c r="D66" t="s">
        <v>442</v>
      </c>
      <c r="E66" t="s">
        <v>445</v>
      </c>
      <c r="F66" s="1" t="str">
        <f t="shared" si="0"/>
        <v>Closed</v>
      </c>
      <c r="G66" t="str">
        <f t="shared" ca="1" si="1"/>
        <v>Yes</v>
      </c>
      <c r="H66" t="s">
        <v>441</v>
      </c>
      <c r="I66" t="str">
        <f t="shared" ca="1" si="2"/>
        <v>30 Day</v>
      </c>
    </row>
    <row r="67" spans="1:9">
      <c r="A67" t="s">
        <v>296</v>
      </c>
      <c r="B67" t="str">
        <f ca="1">IF(COUNTIFS(Sustainability_Documents!A:A,$A67,Sustainability_Documents!H:H,"Missing")&gt;0,
"Missing Documents",
IF(COUNTIFS(Sustainability_Documents!A:A,$A67,Sustainability_Documents!H:H,"Expired")&gt;0,
"Expired Documents",
IF(COUNTIFS(Sustainability_Documents!A:A,$A67,Sustainability_Documents!H:H,"Expiring Soon")&gt;0,
"Expiring Soon Documents",
"Compliant")))</f>
        <v>Expired Documents</v>
      </c>
      <c r="C67" s="1">
        <v>46077</v>
      </c>
      <c r="D67" t="s">
        <v>442</v>
      </c>
      <c r="E67" t="s">
        <v>445</v>
      </c>
      <c r="F67" s="1" t="str">
        <f t="shared" ref="F67:F130" si="3">IF($A67="","",
IF($E67="Pending",$C67+7,
IF($E67="Escalated",$C67+3,
IF($E67="Responded","Closed",""))))</f>
        <v>Closed</v>
      </c>
      <c r="G67" t="str">
        <f t="shared" ref="G67:G130" ca="1" si="4">IF($A67="","",
IF(OR($E67="Escalated",$B67="Missing Documents",$B67="Expired Documents",$B67="Unresolved High Incident"),"Yes","No"))</f>
        <v>Yes</v>
      </c>
      <c r="H67" t="s">
        <v>441</v>
      </c>
      <c r="I67" t="str">
        <f t="shared" ref="I67:I130" ca="1" si="5">IF(TODAY()-C67&lt;=30,"30 Day",
 IF(TODAY()-C67&lt;=60,"60 Day",
 IF(TODAY()-C67&lt;=90,"90 Day","Over 90 Days")))</f>
        <v>30 Day</v>
      </c>
    </row>
    <row r="68" spans="1:9">
      <c r="A68" t="s">
        <v>297</v>
      </c>
      <c r="B68" t="str">
        <f ca="1">IF(COUNTIFS(Sustainability_Documents!A:A,$A68,Sustainability_Documents!H:H,"Missing")&gt;0,
"Missing Documents",
IF(COUNTIFS(Sustainability_Documents!A:A,$A68,Sustainability_Documents!H:H,"Expired")&gt;0,
"Expired Documents",
IF(COUNTIFS(Sustainability_Documents!A:A,$A68,Sustainability_Documents!H:H,"Expiring Soon")&gt;0,
"Expiring Soon Documents",
"Compliant")))</f>
        <v>Expired Documents</v>
      </c>
      <c r="C68" s="1">
        <v>46067</v>
      </c>
      <c r="D68" t="s">
        <v>442</v>
      </c>
      <c r="E68" t="s">
        <v>444</v>
      </c>
      <c r="F68" s="1">
        <f t="shared" si="3"/>
        <v>46074</v>
      </c>
      <c r="G68" t="str">
        <f t="shared" ca="1" si="4"/>
        <v>Yes</v>
      </c>
      <c r="H68" t="s">
        <v>441</v>
      </c>
      <c r="I68" t="str">
        <f t="shared" ca="1" si="5"/>
        <v>30 Day</v>
      </c>
    </row>
    <row r="69" spans="1:9">
      <c r="A69" t="s">
        <v>298</v>
      </c>
      <c r="B69" t="str">
        <f ca="1">IF(COUNTIFS(Sustainability_Documents!A:A,$A69,Sustainability_Documents!H:H,"Missing")&gt;0,
"Missing Documents",
IF(COUNTIFS(Sustainability_Documents!A:A,$A69,Sustainability_Documents!H:H,"Expired")&gt;0,
"Expired Documents",
IF(COUNTIFS(Sustainability_Documents!A:A,$A69,Sustainability_Documents!H:H,"Expiring Soon")&gt;0,
"Expiring Soon Documents",
"Compliant")))</f>
        <v>Expired Documents</v>
      </c>
      <c r="C69" s="1">
        <v>46073</v>
      </c>
      <c r="D69" t="s">
        <v>442</v>
      </c>
      <c r="E69" t="s">
        <v>445</v>
      </c>
      <c r="F69" s="1" t="str">
        <f t="shared" si="3"/>
        <v>Closed</v>
      </c>
      <c r="G69" t="str">
        <f t="shared" ca="1" si="4"/>
        <v>Yes</v>
      </c>
      <c r="H69" t="s">
        <v>441</v>
      </c>
      <c r="I69" t="str">
        <f t="shared" ca="1" si="5"/>
        <v>30 Day</v>
      </c>
    </row>
    <row r="70" spans="1:9">
      <c r="A70" t="s">
        <v>299</v>
      </c>
      <c r="B70" t="str">
        <f ca="1">IF(COUNTIFS(Sustainability_Documents!A:A,$A70,Sustainability_Documents!H:H,"Missing")&gt;0,
"Missing Documents",
IF(COUNTIFS(Sustainability_Documents!A:A,$A70,Sustainability_Documents!H:H,"Expired")&gt;0,
"Expired Documents",
IF(COUNTIFS(Sustainability_Documents!A:A,$A70,Sustainability_Documents!H:H,"Expiring Soon")&gt;0,
"Expiring Soon Documents",
"Compliant")))</f>
        <v>Expired Documents</v>
      </c>
      <c r="C70" s="1">
        <v>46068</v>
      </c>
      <c r="D70" t="s">
        <v>442</v>
      </c>
      <c r="E70" t="s">
        <v>446</v>
      </c>
      <c r="F70" s="1">
        <f t="shared" si="3"/>
        <v>46071</v>
      </c>
      <c r="G70" t="str">
        <f t="shared" ca="1" si="4"/>
        <v>Yes</v>
      </c>
      <c r="H70" t="s">
        <v>441</v>
      </c>
      <c r="I70" t="str">
        <f t="shared" ca="1" si="5"/>
        <v>30 Day</v>
      </c>
    </row>
    <row r="71" spans="1:9">
      <c r="A71" t="s">
        <v>300</v>
      </c>
      <c r="B71" t="str">
        <f ca="1">IF(COUNTIFS(Sustainability_Documents!A:A,$A71,Sustainability_Documents!H:H,"Missing")&gt;0,
"Missing Documents",
IF(COUNTIFS(Sustainability_Documents!A:A,$A71,Sustainability_Documents!H:H,"Expired")&gt;0,
"Expired Documents",
IF(COUNTIFS(Sustainability_Documents!A:A,$A71,Sustainability_Documents!H:H,"Expiring Soon")&gt;0,
"Expiring Soon Documents",
"Compliant")))</f>
        <v>Expired Documents</v>
      </c>
      <c r="C71" s="1">
        <v>46079</v>
      </c>
      <c r="D71" t="s">
        <v>442</v>
      </c>
      <c r="E71" t="s">
        <v>444</v>
      </c>
      <c r="F71" s="1">
        <f t="shared" si="3"/>
        <v>46086</v>
      </c>
      <c r="G71" t="str">
        <f t="shared" ca="1" si="4"/>
        <v>Yes</v>
      </c>
      <c r="H71" t="s">
        <v>441</v>
      </c>
      <c r="I71" t="str">
        <f t="shared" ca="1" si="5"/>
        <v>30 Day</v>
      </c>
    </row>
    <row r="72" spans="1:9">
      <c r="A72" t="s">
        <v>301</v>
      </c>
      <c r="B72" t="str">
        <f ca="1">IF(COUNTIFS(Sustainability_Documents!A:A,$A72,Sustainability_Documents!H:H,"Missing")&gt;0,
"Missing Documents",
IF(COUNTIFS(Sustainability_Documents!A:A,$A72,Sustainability_Documents!H:H,"Expired")&gt;0,
"Expired Documents",
IF(COUNTIFS(Sustainability_Documents!A:A,$A72,Sustainability_Documents!H:H,"Expiring Soon")&gt;0,
"Expiring Soon Documents",
"Compliant")))</f>
        <v>Expired Documents</v>
      </c>
      <c r="C72" s="1">
        <v>46069</v>
      </c>
      <c r="D72" t="s">
        <v>442</v>
      </c>
      <c r="E72" t="s">
        <v>444</v>
      </c>
      <c r="F72" s="1">
        <f t="shared" si="3"/>
        <v>46076</v>
      </c>
      <c r="G72" t="str">
        <f t="shared" ca="1" si="4"/>
        <v>Yes</v>
      </c>
      <c r="H72" t="s">
        <v>441</v>
      </c>
      <c r="I72" t="str">
        <f t="shared" ca="1" si="5"/>
        <v>30 Day</v>
      </c>
    </row>
    <row r="73" spans="1:9">
      <c r="A73" t="s">
        <v>302</v>
      </c>
      <c r="B73" t="str">
        <f ca="1">IF(COUNTIFS(Sustainability_Documents!A:A,$A73,Sustainability_Documents!H:H,"Missing")&gt;0,
"Missing Documents",
IF(COUNTIFS(Sustainability_Documents!A:A,$A73,Sustainability_Documents!H:H,"Expired")&gt;0,
"Expired Documents",
IF(COUNTIFS(Sustainability_Documents!A:A,$A73,Sustainability_Documents!H:H,"Expiring Soon")&gt;0,
"Expiring Soon Documents",
"Compliant")))</f>
        <v>Expired Documents</v>
      </c>
      <c r="C73" s="1">
        <v>46075</v>
      </c>
      <c r="D73" t="s">
        <v>442</v>
      </c>
      <c r="E73" t="s">
        <v>445</v>
      </c>
      <c r="F73" s="1" t="str">
        <f t="shared" si="3"/>
        <v>Closed</v>
      </c>
      <c r="G73" t="str">
        <f t="shared" ca="1" si="4"/>
        <v>Yes</v>
      </c>
      <c r="H73" t="s">
        <v>441</v>
      </c>
      <c r="I73" t="str">
        <f t="shared" ca="1" si="5"/>
        <v>30 Day</v>
      </c>
    </row>
    <row r="74" spans="1:9">
      <c r="A74" t="s">
        <v>303</v>
      </c>
      <c r="B74" t="str">
        <f ca="1">IF(COUNTIFS(Sustainability_Documents!A:A,$A74,Sustainability_Documents!H:H,"Missing")&gt;0,
"Missing Documents",
IF(COUNTIFS(Sustainability_Documents!A:A,$A74,Sustainability_Documents!H:H,"Expired")&gt;0,
"Expired Documents",
IF(COUNTIFS(Sustainability_Documents!A:A,$A74,Sustainability_Documents!H:H,"Expiring Soon")&gt;0,
"Expiring Soon Documents",
"Compliant")))</f>
        <v>Expired Documents</v>
      </c>
      <c r="C74" s="1">
        <v>46072</v>
      </c>
      <c r="D74" t="s">
        <v>442</v>
      </c>
      <c r="E74" t="s">
        <v>444</v>
      </c>
      <c r="F74" s="1">
        <f t="shared" si="3"/>
        <v>46079</v>
      </c>
      <c r="G74" t="str">
        <f t="shared" ca="1" si="4"/>
        <v>Yes</v>
      </c>
      <c r="H74" t="s">
        <v>441</v>
      </c>
      <c r="I74" t="str">
        <f t="shared" ca="1" si="5"/>
        <v>30 Day</v>
      </c>
    </row>
    <row r="75" spans="1:9">
      <c r="A75" t="s">
        <v>304</v>
      </c>
      <c r="B75" t="str">
        <f ca="1">IF(COUNTIFS(Sustainability_Documents!A:A,$A75,Sustainability_Documents!H:H,"Missing")&gt;0,
"Missing Documents",
IF(COUNTIFS(Sustainability_Documents!A:A,$A75,Sustainability_Documents!H:H,"Expired")&gt;0,
"Expired Documents",
IF(COUNTIFS(Sustainability_Documents!A:A,$A75,Sustainability_Documents!H:H,"Expiring Soon")&gt;0,
"Expiring Soon Documents",
"Compliant")))</f>
        <v>Expired Documents</v>
      </c>
      <c r="C75" s="1">
        <v>46080</v>
      </c>
      <c r="D75" t="s">
        <v>442</v>
      </c>
      <c r="E75" t="s">
        <v>444</v>
      </c>
      <c r="F75" s="1">
        <f t="shared" si="3"/>
        <v>46087</v>
      </c>
      <c r="G75" t="str">
        <f t="shared" ca="1" si="4"/>
        <v>Yes</v>
      </c>
      <c r="H75" t="s">
        <v>441</v>
      </c>
      <c r="I75" t="str">
        <f t="shared" ca="1" si="5"/>
        <v>30 Day</v>
      </c>
    </row>
    <row r="76" spans="1:9">
      <c r="A76" t="s">
        <v>305</v>
      </c>
      <c r="B76" t="str">
        <f ca="1">IF(COUNTIFS(Sustainability_Documents!A:A,$A76,Sustainability_Documents!H:H,"Missing")&gt;0,
"Missing Documents",
IF(COUNTIFS(Sustainability_Documents!A:A,$A76,Sustainability_Documents!H:H,"Expired")&gt;0,
"Expired Documents",
IF(COUNTIFS(Sustainability_Documents!A:A,$A76,Sustainability_Documents!H:H,"Expiring Soon")&gt;0,
"Expiring Soon Documents",
"Compliant")))</f>
        <v>Expired Documents</v>
      </c>
      <c r="C76" s="1">
        <v>46072</v>
      </c>
      <c r="D76" t="s">
        <v>442</v>
      </c>
      <c r="E76" t="s">
        <v>445</v>
      </c>
      <c r="F76" s="1" t="str">
        <f t="shared" si="3"/>
        <v>Closed</v>
      </c>
      <c r="G76" t="str">
        <f t="shared" ca="1" si="4"/>
        <v>Yes</v>
      </c>
      <c r="H76" t="s">
        <v>441</v>
      </c>
      <c r="I76" t="str">
        <f t="shared" ca="1" si="5"/>
        <v>30 Day</v>
      </c>
    </row>
    <row r="77" spans="1:9">
      <c r="A77" t="s">
        <v>306</v>
      </c>
      <c r="B77" t="str">
        <f ca="1">IF(COUNTIFS(Sustainability_Documents!A:A,$A77,Sustainability_Documents!H:H,"Missing")&gt;0,
"Missing Documents",
IF(COUNTIFS(Sustainability_Documents!A:A,$A77,Sustainability_Documents!H:H,"Expired")&gt;0,
"Expired Documents",
IF(COUNTIFS(Sustainability_Documents!A:A,$A77,Sustainability_Documents!H:H,"Expiring Soon")&gt;0,
"Expiring Soon Documents",
"Compliant")))</f>
        <v>Expired Documents</v>
      </c>
      <c r="C77" s="1">
        <v>46067</v>
      </c>
      <c r="D77" t="s">
        <v>442</v>
      </c>
      <c r="E77" t="s">
        <v>444</v>
      </c>
      <c r="F77" s="1">
        <f t="shared" si="3"/>
        <v>46074</v>
      </c>
      <c r="G77" t="str">
        <f t="shared" ca="1" si="4"/>
        <v>Yes</v>
      </c>
      <c r="H77" t="s">
        <v>441</v>
      </c>
      <c r="I77" t="str">
        <f t="shared" ca="1" si="5"/>
        <v>30 Day</v>
      </c>
    </row>
    <row r="78" spans="1:9">
      <c r="A78" t="s">
        <v>320</v>
      </c>
      <c r="B78" t="str">
        <f ca="1">IF(COUNTIFS(Sustainability_Documents!A:A,$A78,Sustainability_Documents!H:H,"Missing")&gt;0,
"Missing Documents",
IF(COUNTIFS(Sustainability_Documents!A:A,$A78,Sustainability_Documents!H:H,"Expired")&gt;0,
"Expired Documents",
IF(COUNTIFS(Sustainability_Documents!A:A,$A78,Sustainability_Documents!H:H,"Expiring Soon")&gt;0,
"Expiring Soon Documents",
"Compliant")))</f>
        <v>Expired Documents</v>
      </c>
      <c r="C78" s="1">
        <v>46074</v>
      </c>
      <c r="D78" t="s">
        <v>442</v>
      </c>
      <c r="E78" t="s">
        <v>444</v>
      </c>
      <c r="F78" s="1">
        <f t="shared" si="3"/>
        <v>46081</v>
      </c>
      <c r="G78" t="str">
        <f t="shared" ca="1" si="4"/>
        <v>Yes</v>
      </c>
      <c r="H78" t="s">
        <v>441</v>
      </c>
      <c r="I78" t="str">
        <f t="shared" ca="1" si="5"/>
        <v>30 Day</v>
      </c>
    </row>
    <row r="79" spans="1:9">
      <c r="A79" t="s">
        <v>321</v>
      </c>
      <c r="B79" t="str">
        <f ca="1">IF(COUNTIFS(Sustainability_Documents!A:A,$A79,Sustainability_Documents!H:H,"Missing")&gt;0,
"Missing Documents",
IF(COUNTIFS(Sustainability_Documents!A:A,$A79,Sustainability_Documents!H:H,"Expired")&gt;0,
"Expired Documents",
IF(COUNTIFS(Sustainability_Documents!A:A,$A79,Sustainability_Documents!H:H,"Expiring Soon")&gt;0,
"Expiring Soon Documents",
"Compliant")))</f>
        <v>Expired Documents</v>
      </c>
      <c r="C79" s="1">
        <v>46071</v>
      </c>
      <c r="D79" t="s">
        <v>442</v>
      </c>
      <c r="E79" t="s">
        <v>444</v>
      </c>
      <c r="F79" s="1">
        <f t="shared" si="3"/>
        <v>46078</v>
      </c>
      <c r="G79" t="str">
        <f t="shared" ca="1" si="4"/>
        <v>Yes</v>
      </c>
      <c r="H79" t="s">
        <v>441</v>
      </c>
      <c r="I79" t="str">
        <f t="shared" ca="1" si="5"/>
        <v>30 Day</v>
      </c>
    </row>
    <row r="80" spans="1:9">
      <c r="A80" t="s">
        <v>322</v>
      </c>
      <c r="B80" t="str">
        <f ca="1">IF(COUNTIFS(Sustainability_Documents!A:A,$A80,Sustainability_Documents!H:H,"Missing")&gt;0,
"Missing Documents",
IF(COUNTIFS(Sustainability_Documents!A:A,$A80,Sustainability_Documents!H:H,"Expired")&gt;0,
"Expired Documents",
IF(COUNTIFS(Sustainability_Documents!A:A,$A80,Sustainability_Documents!H:H,"Expiring Soon")&gt;0,
"Expiring Soon Documents",
"Compliant")))</f>
        <v>Expired Documents</v>
      </c>
      <c r="C80" s="1">
        <v>46070</v>
      </c>
      <c r="D80" t="s">
        <v>442</v>
      </c>
      <c r="E80" t="s">
        <v>445</v>
      </c>
      <c r="F80" s="1" t="str">
        <f t="shared" si="3"/>
        <v>Closed</v>
      </c>
      <c r="G80" t="str">
        <f t="shared" ca="1" si="4"/>
        <v>Yes</v>
      </c>
      <c r="H80" t="s">
        <v>441</v>
      </c>
      <c r="I80" t="str">
        <f t="shared" ca="1" si="5"/>
        <v>30 Day</v>
      </c>
    </row>
    <row r="81" spans="1:9">
      <c r="A81" t="s">
        <v>323</v>
      </c>
      <c r="B81" t="str">
        <f ca="1">IF(COUNTIFS(Sustainability_Documents!A:A,$A81,Sustainability_Documents!H:H,"Missing")&gt;0,
"Missing Documents",
IF(COUNTIFS(Sustainability_Documents!A:A,$A81,Sustainability_Documents!H:H,"Expired")&gt;0,
"Expired Documents",
IF(COUNTIFS(Sustainability_Documents!A:A,$A81,Sustainability_Documents!H:H,"Expiring Soon")&gt;0,
"Expiring Soon Documents",
"Compliant")))</f>
        <v>Expired Documents</v>
      </c>
      <c r="C81" s="1">
        <v>46081</v>
      </c>
      <c r="D81" t="s">
        <v>442</v>
      </c>
      <c r="E81" t="s">
        <v>444</v>
      </c>
      <c r="F81" s="1">
        <f t="shared" si="3"/>
        <v>46088</v>
      </c>
      <c r="G81" t="str">
        <f t="shared" ca="1" si="4"/>
        <v>Yes</v>
      </c>
      <c r="H81" t="s">
        <v>441</v>
      </c>
      <c r="I81" t="str">
        <f t="shared" ca="1" si="5"/>
        <v>30 Day</v>
      </c>
    </row>
    <row r="82" spans="1:9">
      <c r="A82" t="s">
        <v>324</v>
      </c>
      <c r="B82" t="str">
        <f ca="1">IF(COUNTIFS(Sustainability_Documents!A:A,$A82,Sustainability_Documents!H:H,"Missing")&gt;0,
"Missing Documents",
IF(COUNTIFS(Sustainability_Documents!A:A,$A82,Sustainability_Documents!H:H,"Expired")&gt;0,
"Expired Documents",
IF(COUNTIFS(Sustainability_Documents!A:A,$A82,Sustainability_Documents!H:H,"Expiring Soon")&gt;0,
"Expiring Soon Documents",
"Compliant")))</f>
        <v>Expired Documents</v>
      </c>
      <c r="C82" s="1">
        <v>46081</v>
      </c>
      <c r="D82" t="s">
        <v>442</v>
      </c>
      <c r="E82" t="s">
        <v>445</v>
      </c>
      <c r="F82" s="1" t="str">
        <f t="shared" si="3"/>
        <v>Closed</v>
      </c>
      <c r="G82" t="str">
        <f t="shared" ca="1" si="4"/>
        <v>Yes</v>
      </c>
      <c r="H82" t="s">
        <v>441</v>
      </c>
      <c r="I82" t="str">
        <f t="shared" ca="1" si="5"/>
        <v>30 Day</v>
      </c>
    </row>
    <row r="83" spans="1:9">
      <c r="A83" t="s">
        <v>325</v>
      </c>
      <c r="B83" t="str">
        <f ca="1">IF(COUNTIFS(Sustainability_Documents!A:A,$A83,Sustainability_Documents!H:H,"Missing")&gt;0,
"Missing Documents",
IF(COUNTIFS(Sustainability_Documents!A:A,$A83,Sustainability_Documents!H:H,"Expired")&gt;0,
"Expired Documents",
IF(COUNTIFS(Sustainability_Documents!A:A,$A83,Sustainability_Documents!H:H,"Expiring Soon")&gt;0,
"Expiring Soon Documents",
"Compliant")))</f>
        <v>Expired Documents</v>
      </c>
      <c r="C83" s="1">
        <v>46079</v>
      </c>
      <c r="D83" t="s">
        <v>442</v>
      </c>
      <c r="E83" t="s">
        <v>445</v>
      </c>
      <c r="F83" s="1" t="str">
        <f t="shared" si="3"/>
        <v>Closed</v>
      </c>
      <c r="G83" t="str">
        <f t="shared" ca="1" si="4"/>
        <v>Yes</v>
      </c>
      <c r="H83" t="s">
        <v>441</v>
      </c>
      <c r="I83" t="str">
        <f t="shared" ca="1" si="5"/>
        <v>30 Day</v>
      </c>
    </row>
    <row r="84" spans="1:9">
      <c r="A84" t="s">
        <v>326</v>
      </c>
      <c r="B84" t="str">
        <f ca="1">IF(COUNTIFS(Sustainability_Documents!A:A,$A84,Sustainability_Documents!H:H,"Missing")&gt;0,
"Missing Documents",
IF(COUNTIFS(Sustainability_Documents!A:A,$A84,Sustainability_Documents!H:H,"Expired")&gt;0,
"Expired Documents",
IF(COUNTIFS(Sustainability_Documents!A:A,$A84,Sustainability_Documents!H:H,"Expiring Soon")&gt;0,
"Expiring Soon Documents",
"Compliant")))</f>
        <v>Expired Documents</v>
      </c>
      <c r="C84" s="1">
        <v>46078</v>
      </c>
      <c r="D84" t="s">
        <v>442</v>
      </c>
      <c r="E84" t="s">
        <v>444</v>
      </c>
      <c r="F84" s="1">
        <f t="shared" si="3"/>
        <v>46085</v>
      </c>
      <c r="G84" t="str">
        <f t="shared" ca="1" si="4"/>
        <v>Yes</v>
      </c>
      <c r="H84" t="s">
        <v>441</v>
      </c>
      <c r="I84" t="str">
        <f t="shared" ca="1" si="5"/>
        <v>30 Day</v>
      </c>
    </row>
    <row r="85" spans="1:9">
      <c r="A85" t="s">
        <v>327</v>
      </c>
      <c r="B85" t="str">
        <f ca="1">IF(COUNTIFS(Sustainability_Documents!A:A,$A85,Sustainability_Documents!H:H,"Missing")&gt;0,
"Missing Documents",
IF(COUNTIFS(Sustainability_Documents!A:A,$A85,Sustainability_Documents!H:H,"Expired")&gt;0,
"Expired Documents",
IF(COUNTIFS(Sustainability_Documents!A:A,$A85,Sustainability_Documents!H:H,"Expiring Soon")&gt;0,
"Expiring Soon Documents",
"Compliant")))</f>
        <v>Expired Documents</v>
      </c>
      <c r="C85" s="1">
        <v>46078</v>
      </c>
      <c r="D85" t="s">
        <v>442</v>
      </c>
      <c r="E85" t="s">
        <v>445</v>
      </c>
      <c r="F85" s="1" t="str">
        <f t="shared" si="3"/>
        <v>Closed</v>
      </c>
      <c r="G85" t="str">
        <f t="shared" ca="1" si="4"/>
        <v>Yes</v>
      </c>
      <c r="H85" t="s">
        <v>441</v>
      </c>
      <c r="I85" t="str">
        <f t="shared" ca="1" si="5"/>
        <v>30 Day</v>
      </c>
    </row>
    <row r="86" spans="1:9">
      <c r="A86" t="s">
        <v>328</v>
      </c>
      <c r="B86" t="str">
        <f ca="1">IF(COUNTIFS(Sustainability_Documents!A:A,$A86,Sustainability_Documents!H:H,"Missing")&gt;0,
"Missing Documents",
IF(COUNTIFS(Sustainability_Documents!A:A,$A86,Sustainability_Documents!H:H,"Expired")&gt;0,
"Expired Documents",
IF(COUNTIFS(Sustainability_Documents!A:A,$A86,Sustainability_Documents!H:H,"Expiring Soon")&gt;0,
"Expiring Soon Documents",
"Compliant")))</f>
        <v>Expired Documents</v>
      </c>
      <c r="C86" s="1">
        <v>46081</v>
      </c>
      <c r="D86" t="s">
        <v>442</v>
      </c>
      <c r="E86" t="s">
        <v>444</v>
      </c>
      <c r="F86" s="1">
        <f t="shared" si="3"/>
        <v>46088</v>
      </c>
      <c r="G86" t="str">
        <f t="shared" ca="1" si="4"/>
        <v>Yes</v>
      </c>
      <c r="H86" t="s">
        <v>441</v>
      </c>
      <c r="I86" t="str">
        <f t="shared" ca="1" si="5"/>
        <v>30 Day</v>
      </c>
    </row>
    <row r="87" spans="1:9">
      <c r="A87" t="s">
        <v>329</v>
      </c>
      <c r="B87" t="str">
        <f ca="1">IF(COUNTIFS(Sustainability_Documents!A:A,$A87,Sustainability_Documents!H:H,"Missing")&gt;0,
"Missing Documents",
IF(COUNTIFS(Sustainability_Documents!A:A,$A87,Sustainability_Documents!H:H,"Expired")&gt;0,
"Expired Documents",
IF(COUNTIFS(Sustainability_Documents!A:A,$A87,Sustainability_Documents!H:H,"Expiring Soon")&gt;0,
"Expiring Soon Documents",
"Compliant")))</f>
        <v>Expired Documents</v>
      </c>
      <c r="C87" s="1">
        <v>46079</v>
      </c>
      <c r="D87" t="s">
        <v>442</v>
      </c>
      <c r="E87" t="s">
        <v>445</v>
      </c>
      <c r="F87" s="1" t="str">
        <f t="shared" si="3"/>
        <v>Closed</v>
      </c>
      <c r="G87" t="str">
        <f t="shared" ca="1" si="4"/>
        <v>Yes</v>
      </c>
      <c r="H87" t="s">
        <v>441</v>
      </c>
      <c r="I87" t="str">
        <f t="shared" ca="1" si="5"/>
        <v>30 Day</v>
      </c>
    </row>
    <row r="88" spans="1:9">
      <c r="A88" t="s">
        <v>330</v>
      </c>
      <c r="B88" t="str">
        <f ca="1">IF(COUNTIFS(Sustainability_Documents!A:A,$A88,Sustainability_Documents!H:H,"Missing")&gt;0,
"Missing Documents",
IF(COUNTIFS(Sustainability_Documents!A:A,$A88,Sustainability_Documents!H:H,"Expired")&gt;0,
"Expired Documents",
IF(COUNTIFS(Sustainability_Documents!A:A,$A88,Sustainability_Documents!H:H,"Expiring Soon")&gt;0,
"Expiring Soon Documents",
"Compliant")))</f>
        <v>Expired Documents</v>
      </c>
      <c r="C88" s="1">
        <v>46070</v>
      </c>
      <c r="D88" t="s">
        <v>442</v>
      </c>
      <c r="E88" t="s">
        <v>444</v>
      </c>
      <c r="F88" s="1">
        <f t="shared" si="3"/>
        <v>46077</v>
      </c>
      <c r="G88" t="str">
        <f t="shared" ca="1" si="4"/>
        <v>Yes</v>
      </c>
      <c r="H88" t="s">
        <v>441</v>
      </c>
      <c r="I88" t="str">
        <f t="shared" ca="1" si="5"/>
        <v>30 Day</v>
      </c>
    </row>
    <row r="89" spans="1:9">
      <c r="A89" t="s">
        <v>331</v>
      </c>
      <c r="B89" t="str">
        <f ca="1">IF(COUNTIFS(Sustainability_Documents!A:A,$A89,Sustainability_Documents!H:H,"Missing")&gt;0,
"Missing Documents",
IF(COUNTIFS(Sustainability_Documents!A:A,$A89,Sustainability_Documents!H:H,"Expired")&gt;0,
"Expired Documents",
IF(COUNTIFS(Sustainability_Documents!A:A,$A89,Sustainability_Documents!H:H,"Expiring Soon")&gt;0,
"Expiring Soon Documents",
"Compliant")))</f>
        <v>Expired Documents</v>
      </c>
      <c r="C89" s="1">
        <v>46074</v>
      </c>
      <c r="D89" t="s">
        <v>442</v>
      </c>
      <c r="E89" t="s">
        <v>444</v>
      </c>
      <c r="F89" s="1">
        <f t="shared" si="3"/>
        <v>46081</v>
      </c>
      <c r="G89" t="str">
        <f t="shared" ca="1" si="4"/>
        <v>Yes</v>
      </c>
      <c r="H89" t="s">
        <v>441</v>
      </c>
      <c r="I89" t="str">
        <f t="shared" ca="1" si="5"/>
        <v>30 Day</v>
      </c>
    </row>
    <row r="90" spans="1:9">
      <c r="A90" t="s">
        <v>332</v>
      </c>
      <c r="B90" t="str">
        <f ca="1">IF(COUNTIFS(Sustainability_Documents!A:A,$A90,Sustainability_Documents!H:H,"Missing")&gt;0,
"Missing Documents",
IF(COUNTIFS(Sustainability_Documents!A:A,$A90,Sustainability_Documents!H:H,"Expired")&gt;0,
"Expired Documents",
IF(COUNTIFS(Sustainability_Documents!A:A,$A90,Sustainability_Documents!H:H,"Expiring Soon")&gt;0,
"Expiring Soon Documents",
"Compliant")))</f>
        <v>Expired Documents</v>
      </c>
      <c r="C90" s="1">
        <v>46069</v>
      </c>
      <c r="D90" t="s">
        <v>442</v>
      </c>
      <c r="E90" t="s">
        <v>445</v>
      </c>
      <c r="F90" s="1" t="str">
        <f t="shared" si="3"/>
        <v>Closed</v>
      </c>
      <c r="G90" t="str">
        <f t="shared" ca="1" si="4"/>
        <v>Yes</v>
      </c>
      <c r="H90" t="s">
        <v>441</v>
      </c>
      <c r="I90" t="str">
        <f t="shared" ca="1" si="5"/>
        <v>30 Day</v>
      </c>
    </row>
    <row r="91" spans="1:9">
      <c r="A91" t="s">
        <v>333</v>
      </c>
      <c r="B91" t="str">
        <f ca="1">IF(COUNTIFS(Sustainability_Documents!A:A,$A91,Sustainability_Documents!H:H,"Missing")&gt;0,
"Missing Documents",
IF(COUNTIFS(Sustainability_Documents!A:A,$A91,Sustainability_Documents!H:H,"Expired")&gt;0,
"Expired Documents",
IF(COUNTIFS(Sustainability_Documents!A:A,$A91,Sustainability_Documents!H:H,"Expiring Soon")&gt;0,
"Expiring Soon Documents",
"Compliant")))</f>
        <v>Expired Documents</v>
      </c>
      <c r="C91" s="1">
        <v>46079</v>
      </c>
      <c r="D91" t="s">
        <v>442</v>
      </c>
      <c r="E91" t="s">
        <v>445</v>
      </c>
      <c r="F91" s="1" t="str">
        <f t="shared" si="3"/>
        <v>Closed</v>
      </c>
      <c r="G91" t="str">
        <f t="shared" ca="1" si="4"/>
        <v>Yes</v>
      </c>
      <c r="H91" t="s">
        <v>441</v>
      </c>
      <c r="I91" t="str">
        <f t="shared" ca="1" si="5"/>
        <v>30 Day</v>
      </c>
    </row>
    <row r="92" spans="1:9">
      <c r="A92" t="s">
        <v>334</v>
      </c>
      <c r="B92" t="str">
        <f ca="1">IF(COUNTIFS(Sustainability_Documents!A:A,$A92,Sustainability_Documents!H:H,"Missing")&gt;0,
"Missing Documents",
IF(COUNTIFS(Sustainability_Documents!A:A,$A92,Sustainability_Documents!H:H,"Expired")&gt;0,
"Expired Documents",
IF(COUNTIFS(Sustainability_Documents!A:A,$A92,Sustainability_Documents!H:H,"Expiring Soon")&gt;0,
"Expiring Soon Documents",
"Compliant")))</f>
        <v>Expired Documents</v>
      </c>
      <c r="C92" s="1">
        <v>46077</v>
      </c>
      <c r="D92" t="s">
        <v>442</v>
      </c>
      <c r="E92" t="s">
        <v>444</v>
      </c>
      <c r="F92" s="1">
        <f t="shared" si="3"/>
        <v>46084</v>
      </c>
      <c r="G92" t="str">
        <f t="shared" ca="1" si="4"/>
        <v>Yes</v>
      </c>
      <c r="H92" t="s">
        <v>441</v>
      </c>
      <c r="I92" t="str">
        <f t="shared" ca="1" si="5"/>
        <v>30 Day</v>
      </c>
    </row>
    <row r="93" spans="1:9">
      <c r="A93" t="s">
        <v>335</v>
      </c>
      <c r="B93" t="str">
        <f ca="1">IF(COUNTIFS(Sustainability_Documents!A:A,$A93,Sustainability_Documents!H:H,"Missing")&gt;0,
"Missing Documents",
IF(COUNTIFS(Sustainability_Documents!A:A,$A93,Sustainability_Documents!H:H,"Expired")&gt;0,
"Expired Documents",
IF(COUNTIFS(Sustainability_Documents!A:A,$A93,Sustainability_Documents!H:H,"Expiring Soon")&gt;0,
"Expiring Soon Documents",
"Compliant")))</f>
        <v>Expired Documents</v>
      </c>
      <c r="C93" s="1">
        <v>46072</v>
      </c>
      <c r="D93" t="s">
        <v>442</v>
      </c>
      <c r="E93" t="s">
        <v>445</v>
      </c>
      <c r="F93" s="1" t="str">
        <f t="shared" si="3"/>
        <v>Closed</v>
      </c>
      <c r="G93" t="str">
        <f t="shared" ca="1" si="4"/>
        <v>Yes</v>
      </c>
      <c r="H93" t="s">
        <v>441</v>
      </c>
      <c r="I93" t="str">
        <f t="shared" ca="1" si="5"/>
        <v>30 Day</v>
      </c>
    </row>
    <row r="94" spans="1:9">
      <c r="A94" t="s">
        <v>336</v>
      </c>
      <c r="B94" t="str">
        <f ca="1">IF(COUNTIFS(Sustainability_Documents!A:A,$A94,Sustainability_Documents!H:H,"Missing")&gt;0,
"Missing Documents",
IF(COUNTIFS(Sustainability_Documents!A:A,$A94,Sustainability_Documents!H:H,"Expired")&gt;0,
"Expired Documents",
IF(COUNTIFS(Sustainability_Documents!A:A,$A94,Sustainability_Documents!H:H,"Expiring Soon")&gt;0,
"Expiring Soon Documents",
"Compliant")))</f>
        <v>Expired Documents</v>
      </c>
      <c r="C94" s="1">
        <v>46073</v>
      </c>
      <c r="D94" t="s">
        <v>442</v>
      </c>
      <c r="E94" t="s">
        <v>445</v>
      </c>
      <c r="F94" s="1" t="str">
        <f t="shared" si="3"/>
        <v>Closed</v>
      </c>
      <c r="G94" t="str">
        <f t="shared" ca="1" si="4"/>
        <v>Yes</v>
      </c>
      <c r="H94" t="s">
        <v>441</v>
      </c>
      <c r="I94" t="str">
        <f t="shared" ca="1" si="5"/>
        <v>30 Day</v>
      </c>
    </row>
    <row r="95" spans="1:9">
      <c r="A95" t="s">
        <v>337</v>
      </c>
      <c r="B95" t="str">
        <f ca="1">IF(COUNTIFS(Sustainability_Documents!A:A,$A95,Sustainability_Documents!H:H,"Missing")&gt;0,
"Missing Documents",
IF(COUNTIFS(Sustainability_Documents!A:A,$A95,Sustainability_Documents!H:H,"Expired")&gt;0,
"Expired Documents",
IF(COUNTIFS(Sustainability_Documents!A:A,$A95,Sustainability_Documents!H:H,"Expiring Soon")&gt;0,
"Expiring Soon Documents",
"Compliant")))</f>
        <v>Expired Documents</v>
      </c>
      <c r="C95" s="1">
        <v>46081</v>
      </c>
      <c r="D95" t="s">
        <v>442</v>
      </c>
      <c r="E95" t="s">
        <v>444</v>
      </c>
      <c r="F95" s="1">
        <f t="shared" si="3"/>
        <v>46088</v>
      </c>
      <c r="G95" t="str">
        <f t="shared" ca="1" si="4"/>
        <v>Yes</v>
      </c>
      <c r="H95" t="s">
        <v>441</v>
      </c>
      <c r="I95" t="str">
        <f t="shared" ca="1" si="5"/>
        <v>30 Day</v>
      </c>
    </row>
    <row r="96" spans="1:9">
      <c r="A96" t="s">
        <v>338</v>
      </c>
      <c r="B96" t="str">
        <f ca="1">IF(COUNTIFS(Sustainability_Documents!A:A,$A96,Sustainability_Documents!H:H,"Missing")&gt;0,
"Missing Documents",
IF(COUNTIFS(Sustainability_Documents!A:A,$A96,Sustainability_Documents!H:H,"Expired")&gt;0,
"Expired Documents",
IF(COUNTIFS(Sustainability_Documents!A:A,$A96,Sustainability_Documents!H:H,"Expiring Soon")&gt;0,
"Expiring Soon Documents",
"Compliant")))</f>
        <v>Expired Documents</v>
      </c>
      <c r="C96" s="1">
        <v>46067</v>
      </c>
      <c r="D96" t="s">
        <v>442</v>
      </c>
      <c r="E96" t="s">
        <v>445</v>
      </c>
      <c r="F96" s="1" t="str">
        <f t="shared" si="3"/>
        <v>Closed</v>
      </c>
      <c r="G96" t="str">
        <f t="shared" ca="1" si="4"/>
        <v>Yes</v>
      </c>
      <c r="H96" t="s">
        <v>441</v>
      </c>
      <c r="I96" t="str">
        <f t="shared" ca="1" si="5"/>
        <v>30 Day</v>
      </c>
    </row>
    <row r="97" spans="1:9">
      <c r="A97" t="s">
        <v>339</v>
      </c>
      <c r="B97" t="str">
        <f ca="1">IF(COUNTIFS(Sustainability_Documents!A:A,$A97,Sustainability_Documents!H:H,"Missing")&gt;0,
"Missing Documents",
IF(COUNTIFS(Sustainability_Documents!A:A,$A97,Sustainability_Documents!H:H,"Expired")&gt;0,
"Expired Documents",
IF(COUNTIFS(Sustainability_Documents!A:A,$A97,Sustainability_Documents!H:H,"Expiring Soon")&gt;0,
"Expiring Soon Documents",
"Compliant")))</f>
        <v>Expired Documents</v>
      </c>
      <c r="C97" s="1">
        <v>46081</v>
      </c>
      <c r="D97" t="s">
        <v>442</v>
      </c>
      <c r="E97" t="s">
        <v>444</v>
      </c>
      <c r="F97" s="1">
        <f t="shared" si="3"/>
        <v>46088</v>
      </c>
      <c r="G97" t="str">
        <f t="shared" ca="1" si="4"/>
        <v>Yes</v>
      </c>
      <c r="H97" t="s">
        <v>441</v>
      </c>
      <c r="I97" t="str">
        <f t="shared" ca="1" si="5"/>
        <v>30 Day</v>
      </c>
    </row>
    <row r="98" spans="1:9">
      <c r="A98" t="s">
        <v>340</v>
      </c>
      <c r="B98" t="str">
        <f ca="1">IF(COUNTIFS(Sustainability_Documents!A:A,$A98,Sustainability_Documents!H:H,"Missing")&gt;0,
"Missing Documents",
IF(COUNTIFS(Sustainability_Documents!A:A,$A98,Sustainability_Documents!H:H,"Expired")&gt;0,
"Expired Documents",
IF(COUNTIFS(Sustainability_Documents!A:A,$A98,Sustainability_Documents!H:H,"Expiring Soon")&gt;0,
"Expiring Soon Documents",
"Compliant")))</f>
        <v>Missing Documents</v>
      </c>
      <c r="C98" s="1">
        <v>46079</v>
      </c>
      <c r="D98" t="s">
        <v>442</v>
      </c>
      <c r="E98" t="s">
        <v>444</v>
      </c>
      <c r="F98" s="1">
        <f t="shared" si="3"/>
        <v>46086</v>
      </c>
      <c r="G98" t="str">
        <f t="shared" ca="1" si="4"/>
        <v>Yes</v>
      </c>
      <c r="H98" t="s">
        <v>441</v>
      </c>
      <c r="I98" t="str">
        <f t="shared" ca="1" si="5"/>
        <v>30 Day</v>
      </c>
    </row>
    <row r="99" spans="1:9">
      <c r="A99" t="s">
        <v>341</v>
      </c>
      <c r="B99" t="str">
        <f ca="1">IF(COUNTIFS(Sustainability_Documents!A:A,$A99,Sustainability_Documents!H:H,"Missing")&gt;0,
"Missing Documents",
IF(COUNTIFS(Sustainability_Documents!A:A,$A99,Sustainability_Documents!H:H,"Expired")&gt;0,
"Expired Documents",
IF(COUNTIFS(Sustainability_Documents!A:A,$A99,Sustainability_Documents!H:H,"Expiring Soon")&gt;0,
"Expiring Soon Documents",
"Compliant")))</f>
        <v>Missing Documents</v>
      </c>
      <c r="C99" s="1">
        <v>46078</v>
      </c>
      <c r="D99" t="s">
        <v>442</v>
      </c>
      <c r="E99" t="s">
        <v>444</v>
      </c>
      <c r="F99" s="1">
        <f t="shared" si="3"/>
        <v>46085</v>
      </c>
      <c r="G99" t="str">
        <f t="shared" ca="1" si="4"/>
        <v>Yes</v>
      </c>
      <c r="H99" t="s">
        <v>441</v>
      </c>
      <c r="I99" t="str">
        <f t="shared" ca="1" si="5"/>
        <v>30 Day</v>
      </c>
    </row>
    <row r="100" spans="1:9">
      <c r="A100" t="s">
        <v>342</v>
      </c>
      <c r="B100" t="str">
        <f ca="1">IF(COUNTIFS(Sustainability_Documents!A:A,$A100,Sustainability_Documents!H:H,"Missing")&gt;0,
"Missing Documents",
IF(COUNTIFS(Sustainability_Documents!A:A,$A100,Sustainability_Documents!H:H,"Expired")&gt;0,
"Expired Documents",
IF(COUNTIFS(Sustainability_Documents!A:A,$A100,Sustainability_Documents!H:H,"Expiring Soon")&gt;0,
"Expiring Soon Documents",
"Compliant")))</f>
        <v>Missing Documents</v>
      </c>
      <c r="C100" s="1">
        <v>46068</v>
      </c>
      <c r="D100" t="s">
        <v>442</v>
      </c>
      <c r="E100" t="s">
        <v>446</v>
      </c>
      <c r="F100" s="1">
        <f t="shared" si="3"/>
        <v>46071</v>
      </c>
      <c r="G100" t="str">
        <f t="shared" ca="1" si="4"/>
        <v>Yes</v>
      </c>
      <c r="H100" t="s">
        <v>441</v>
      </c>
      <c r="I100" t="str">
        <f t="shared" ca="1" si="5"/>
        <v>30 Day</v>
      </c>
    </row>
    <row r="101" spans="1:9">
      <c r="A101" t="s">
        <v>343</v>
      </c>
      <c r="B101" t="str">
        <f ca="1">IF(COUNTIFS(Sustainability_Documents!A:A,$A101,Sustainability_Documents!H:H,"Missing")&gt;0,
"Missing Documents",
IF(COUNTIFS(Sustainability_Documents!A:A,$A101,Sustainability_Documents!H:H,"Expired")&gt;0,
"Expired Documents",
IF(COUNTIFS(Sustainability_Documents!A:A,$A101,Sustainability_Documents!H:H,"Expiring Soon")&gt;0,
"Expiring Soon Documents",
"Compliant")))</f>
        <v>Missing Documents</v>
      </c>
      <c r="C101" s="1">
        <v>46081</v>
      </c>
      <c r="D101" t="s">
        <v>442</v>
      </c>
      <c r="E101" t="s">
        <v>446</v>
      </c>
      <c r="F101" s="1">
        <f t="shared" si="3"/>
        <v>46084</v>
      </c>
      <c r="G101" t="str">
        <f t="shared" ca="1" si="4"/>
        <v>Yes</v>
      </c>
      <c r="H101" t="s">
        <v>441</v>
      </c>
      <c r="I101" t="str">
        <f t="shared" ca="1" si="5"/>
        <v>30 Day</v>
      </c>
    </row>
    <row r="102" spans="1:9">
      <c r="A102" t="s">
        <v>344</v>
      </c>
      <c r="B102" t="str">
        <f ca="1">IF(COUNTIFS(Sustainability_Documents!A:A,$A102,Sustainability_Documents!H:H,"Missing")&gt;0,
"Missing Documents",
IF(COUNTIFS(Sustainability_Documents!A:A,$A102,Sustainability_Documents!H:H,"Expired")&gt;0,
"Expired Documents",
IF(COUNTIFS(Sustainability_Documents!A:A,$A102,Sustainability_Documents!H:H,"Expiring Soon")&gt;0,
"Expiring Soon Documents",
"Compliant")))</f>
        <v>Missing Documents</v>
      </c>
      <c r="C102" s="1">
        <v>46073</v>
      </c>
      <c r="D102" t="s">
        <v>442</v>
      </c>
      <c r="E102" t="s">
        <v>445</v>
      </c>
      <c r="F102" s="1" t="str">
        <f t="shared" si="3"/>
        <v>Closed</v>
      </c>
      <c r="G102" t="str">
        <f t="shared" ca="1" si="4"/>
        <v>Yes</v>
      </c>
      <c r="H102" t="s">
        <v>441</v>
      </c>
      <c r="I102" t="str">
        <f t="shared" ca="1" si="5"/>
        <v>30 Day</v>
      </c>
    </row>
    <row r="103" spans="1:9">
      <c r="A103" t="s">
        <v>345</v>
      </c>
      <c r="B103" t="str">
        <f ca="1">IF(COUNTIFS(Sustainability_Documents!A:A,$A103,Sustainability_Documents!H:H,"Missing")&gt;0,
"Missing Documents",
IF(COUNTIFS(Sustainability_Documents!A:A,$A103,Sustainability_Documents!H:H,"Expired")&gt;0,
"Expired Documents",
IF(COUNTIFS(Sustainability_Documents!A:A,$A103,Sustainability_Documents!H:H,"Expiring Soon")&gt;0,
"Expiring Soon Documents",
"Compliant")))</f>
        <v>Missing Documents</v>
      </c>
      <c r="C103" s="1">
        <v>46071</v>
      </c>
      <c r="D103" t="s">
        <v>442</v>
      </c>
      <c r="E103" t="s">
        <v>444</v>
      </c>
      <c r="F103" s="1">
        <f t="shared" si="3"/>
        <v>46078</v>
      </c>
      <c r="G103" t="str">
        <f t="shared" ca="1" si="4"/>
        <v>Yes</v>
      </c>
      <c r="H103" t="s">
        <v>441</v>
      </c>
      <c r="I103" t="str">
        <f t="shared" ca="1" si="5"/>
        <v>30 Day</v>
      </c>
    </row>
    <row r="104" spans="1:9">
      <c r="A104" t="s">
        <v>346</v>
      </c>
      <c r="B104" t="str">
        <f ca="1">IF(COUNTIFS(Sustainability_Documents!A:A,$A104,Sustainability_Documents!H:H,"Missing")&gt;0,
"Missing Documents",
IF(COUNTIFS(Sustainability_Documents!A:A,$A104,Sustainability_Documents!H:H,"Expired")&gt;0,
"Expired Documents",
IF(COUNTIFS(Sustainability_Documents!A:A,$A104,Sustainability_Documents!H:H,"Expiring Soon")&gt;0,
"Expiring Soon Documents",
"Compliant")))</f>
        <v>Missing Documents</v>
      </c>
      <c r="C104" s="1">
        <v>46077</v>
      </c>
      <c r="D104" t="s">
        <v>442</v>
      </c>
      <c r="E104" t="s">
        <v>444</v>
      </c>
      <c r="F104" s="1">
        <f t="shared" si="3"/>
        <v>46084</v>
      </c>
      <c r="G104" t="str">
        <f t="shared" ca="1" si="4"/>
        <v>Yes</v>
      </c>
      <c r="H104" t="s">
        <v>441</v>
      </c>
      <c r="I104" t="str">
        <f t="shared" ca="1" si="5"/>
        <v>30 Day</v>
      </c>
    </row>
    <row r="105" spans="1:9">
      <c r="A105" t="s">
        <v>347</v>
      </c>
      <c r="B105" t="str">
        <f ca="1">IF(COUNTIFS(Sustainability_Documents!A:A,$A105,Sustainability_Documents!H:H,"Missing")&gt;0,
"Missing Documents",
IF(COUNTIFS(Sustainability_Documents!A:A,$A105,Sustainability_Documents!H:H,"Expired")&gt;0,
"Expired Documents",
IF(COUNTIFS(Sustainability_Documents!A:A,$A105,Sustainability_Documents!H:H,"Expiring Soon")&gt;0,
"Expiring Soon Documents",
"Compliant")))</f>
        <v>Missing Documents</v>
      </c>
      <c r="C105" s="1">
        <v>46074</v>
      </c>
      <c r="D105" t="s">
        <v>442</v>
      </c>
      <c r="E105" t="s">
        <v>445</v>
      </c>
      <c r="F105" s="1" t="str">
        <f t="shared" si="3"/>
        <v>Closed</v>
      </c>
      <c r="G105" t="str">
        <f t="shared" ca="1" si="4"/>
        <v>Yes</v>
      </c>
      <c r="H105" t="s">
        <v>441</v>
      </c>
      <c r="I105" t="str">
        <f t="shared" ca="1" si="5"/>
        <v>30 Day</v>
      </c>
    </row>
    <row r="106" spans="1:9">
      <c r="A106" t="s">
        <v>348</v>
      </c>
      <c r="B106" t="str">
        <f ca="1">IF(COUNTIFS(Sustainability_Documents!A:A,$A106,Sustainability_Documents!H:H,"Missing")&gt;0,
"Missing Documents",
IF(COUNTIFS(Sustainability_Documents!A:A,$A106,Sustainability_Documents!H:H,"Expired")&gt;0,
"Expired Documents",
IF(COUNTIFS(Sustainability_Documents!A:A,$A106,Sustainability_Documents!H:H,"Expiring Soon")&gt;0,
"Expiring Soon Documents",
"Compliant")))</f>
        <v>Missing Documents</v>
      </c>
      <c r="C106" s="1">
        <v>46074</v>
      </c>
      <c r="D106" t="s">
        <v>442</v>
      </c>
      <c r="E106" t="s">
        <v>444</v>
      </c>
      <c r="F106" s="1">
        <f t="shared" si="3"/>
        <v>46081</v>
      </c>
      <c r="G106" t="str">
        <f t="shared" ca="1" si="4"/>
        <v>Yes</v>
      </c>
      <c r="H106" t="s">
        <v>441</v>
      </c>
      <c r="I106" t="str">
        <f t="shared" ca="1" si="5"/>
        <v>30 Day</v>
      </c>
    </row>
    <row r="107" spans="1:9">
      <c r="A107" t="s">
        <v>349</v>
      </c>
      <c r="B107" t="str">
        <f ca="1">IF(COUNTIFS(Sustainability_Documents!A:A,$A107,Sustainability_Documents!H:H,"Missing")&gt;0,
"Missing Documents",
IF(COUNTIFS(Sustainability_Documents!A:A,$A107,Sustainability_Documents!H:H,"Expired")&gt;0,
"Expired Documents",
IF(COUNTIFS(Sustainability_Documents!A:A,$A107,Sustainability_Documents!H:H,"Expiring Soon")&gt;0,
"Expiring Soon Documents",
"Compliant")))</f>
        <v>Missing Documents</v>
      </c>
      <c r="C107" s="1">
        <v>46080</v>
      </c>
      <c r="D107" t="s">
        <v>442</v>
      </c>
      <c r="E107" t="s">
        <v>444</v>
      </c>
      <c r="F107" s="1">
        <f t="shared" si="3"/>
        <v>46087</v>
      </c>
      <c r="G107" t="str">
        <f t="shared" ca="1" si="4"/>
        <v>Yes</v>
      </c>
      <c r="H107" t="s">
        <v>441</v>
      </c>
      <c r="I107" t="str">
        <f t="shared" ca="1" si="5"/>
        <v>30 Day</v>
      </c>
    </row>
    <row r="108" spans="1:9">
      <c r="A108" t="s">
        <v>350</v>
      </c>
      <c r="B108" t="str">
        <f ca="1">IF(COUNTIFS(Sustainability_Documents!A:A,$A108,Sustainability_Documents!H:H,"Missing")&gt;0,
"Missing Documents",
IF(COUNTIFS(Sustainability_Documents!A:A,$A108,Sustainability_Documents!H:H,"Expired")&gt;0,
"Expired Documents",
IF(COUNTIFS(Sustainability_Documents!A:A,$A108,Sustainability_Documents!H:H,"Expiring Soon")&gt;0,
"Expiring Soon Documents",
"Compliant")))</f>
        <v>Missing Documents</v>
      </c>
      <c r="C108" s="1">
        <v>46072</v>
      </c>
      <c r="D108" t="s">
        <v>442</v>
      </c>
      <c r="E108" t="s">
        <v>444</v>
      </c>
      <c r="F108" s="1">
        <f t="shared" si="3"/>
        <v>46079</v>
      </c>
      <c r="G108" t="str">
        <f t="shared" ca="1" si="4"/>
        <v>Yes</v>
      </c>
      <c r="H108" t="s">
        <v>441</v>
      </c>
      <c r="I108" t="str">
        <f t="shared" ca="1" si="5"/>
        <v>30 Day</v>
      </c>
    </row>
    <row r="109" spans="1:9">
      <c r="A109" t="s">
        <v>351</v>
      </c>
      <c r="B109" t="str">
        <f ca="1">IF(COUNTIFS(Sustainability_Documents!A:A,$A109,Sustainability_Documents!H:H,"Missing")&gt;0,
"Missing Documents",
IF(COUNTIFS(Sustainability_Documents!A:A,$A109,Sustainability_Documents!H:H,"Expired")&gt;0,
"Expired Documents",
IF(COUNTIFS(Sustainability_Documents!A:A,$A109,Sustainability_Documents!H:H,"Expiring Soon")&gt;0,
"Expiring Soon Documents",
"Compliant")))</f>
        <v>Missing Documents</v>
      </c>
      <c r="C109" s="1">
        <v>46076</v>
      </c>
      <c r="D109" t="s">
        <v>442</v>
      </c>
      <c r="E109" t="s">
        <v>444</v>
      </c>
      <c r="F109" s="1">
        <f t="shared" si="3"/>
        <v>46083</v>
      </c>
      <c r="G109" t="str">
        <f t="shared" ca="1" si="4"/>
        <v>Yes</v>
      </c>
      <c r="H109" t="s">
        <v>441</v>
      </c>
      <c r="I109" t="str">
        <f t="shared" ca="1" si="5"/>
        <v>30 Day</v>
      </c>
    </row>
    <row r="110" spans="1:9">
      <c r="A110" t="s">
        <v>352</v>
      </c>
      <c r="B110" t="str">
        <f ca="1">IF(COUNTIFS(Sustainability_Documents!A:A,$A110,Sustainability_Documents!H:H,"Missing")&gt;0,
"Missing Documents",
IF(COUNTIFS(Sustainability_Documents!A:A,$A110,Sustainability_Documents!H:H,"Expired")&gt;0,
"Expired Documents",
IF(COUNTIFS(Sustainability_Documents!A:A,$A110,Sustainability_Documents!H:H,"Expiring Soon")&gt;0,
"Expiring Soon Documents",
"Compliant")))</f>
        <v>Missing Documents</v>
      </c>
      <c r="C110" s="1">
        <v>46067</v>
      </c>
      <c r="D110" t="s">
        <v>442</v>
      </c>
      <c r="E110" t="s">
        <v>444</v>
      </c>
      <c r="F110" s="1">
        <f t="shared" si="3"/>
        <v>46074</v>
      </c>
      <c r="G110" t="str">
        <f t="shared" ca="1" si="4"/>
        <v>Yes</v>
      </c>
      <c r="H110" t="s">
        <v>441</v>
      </c>
      <c r="I110" t="str">
        <f t="shared" ca="1" si="5"/>
        <v>30 Day</v>
      </c>
    </row>
    <row r="111" spans="1:9">
      <c r="A111" t="s">
        <v>353</v>
      </c>
      <c r="B111" t="str">
        <f ca="1">IF(COUNTIFS(Sustainability_Documents!A:A,$A111,Sustainability_Documents!H:H,"Missing")&gt;0,
"Missing Documents",
IF(COUNTIFS(Sustainability_Documents!A:A,$A111,Sustainability_Documents!H:H,"Expired")&gt;0,
"Expired Documents",
IF(COUNTIFS(Sustainability_Documents!A:A,$A111,Sustainability_Documents!H:H,"Expiring Soon")&gt;0,
"Expiring Soon Documents",
"Compliant")))</f>
        <v>Missing Documents</v>
      </c>
      <c r="C111" s="1">
        <v>46070</v>
      </c>
      <c r="D111" t="s">
        <v>442</v>
      </c>
      <c r="E111" t="s">
        <v>445</v>
      </c>
      <c r="F111" s="1" t="str">
        <f t="shared" si="3"/>
        <v>Closed</v>
      </c>
      <c r="G111" t="str">
        <f t="shared" ca="1" si="4"/>
        <v>Yes</v>
      </c>
      <c r="H111" t="s">
        <v>441</v>
      </c>
      <c r="I111" t="str">
        <f t="shared" ca="1" si="5"/>
        <v>30 Day</v>
      </c>
    </row>
    <row r="112" spans="1:9">
      <c r="A112" t="s">
        <v>354</v>
      </c>
      <c r="B112" t="str">
        <f ca="1">IF(COUNTIFS(Sustainability_Documents!A:A,$A112,Sustainability_Documents!H:H,"Missing")&gt;0,
"Missing Documents",
IF(COUNTIFS(Sustainability_Documents!A:A,$A112,Sustainability_Documents!H:H,"Expired")&gt;0,
"Expired Documents",
IF(COUNTIFS(Sustainability_Documents!A:A,$A112,Sustainability_Documents!H:H,"Expiring Soon")&gt;0,
"Expiring Soon Documents",
"Compliant")))</f>
        <v>Missing Documents</v>
      </c>
      <c r="C112" s="1">
        <v>46077</v>
      </c>
      <c r="D112" t="s">
        <v>442</v>
      </c>
      <c r="E112" t="s">
        <v>444</v>
      </c>
      <c r="F112" s="1">
        <f t="shared" si="3"/>
        <v>46084</v>
      </c>
      <c r="G112" t="str">
        <f t="shared" ca="1" si="4"/>
        <v>Yes</v>
      </c>
      <c r="H112" t="s">
        <v>441</v>
      </c>
      <c r="I112" t="str">
        <f t="shared" ca="1" si="5"/>
        <v>30 Day</v>
      </c>
    </row>
    <row r="113" spans="1:9">
      <c r="A113" t="s">
        <v>355</v>
      </c>
      <c r="B113" t="str">
        <f ca="1">IF(COUNTIFS(Sustainability_Documents!A:A,$A113,Sustainability_Documents!H:H,"Missing")&gt;0,
"Missing Documents",
IF(COUNTIFS(Sustainability_Documents!A:A,$A113,Sustainability_Documents!H:H,"Expired")&gt;0,
"Expired Documents",
IF(COUNTIFS(Sustainability_Documents!A:A,$A113,Sustainability_Documents!H:H,"Expiring Soon")&gt;0,
"Expiring Soon Documents",
"Compliant")))</f>
        <v>Missing Documents</v>
      </c>
      <c r="C113" s="1">
        <v>46070</v>
      </c>
      <c r="D113" t="s">
        <v>442</v>
      </c>
      <c r="E113" t="s">
        <v>444</v>
      </c>
      <c r="F113" s="1">
        <f t="shared" si="3"/>
        <v>46077</v>
      </c>
      <c r="G113" t="str">
        <f t="shared" ca="1" si="4"/>
        <v>Yes</v>
      </c>
      <c r="H113" t="s">
        <v>441</v>
      </c>
      <c r="I113" t="str">
        <f t="shared" ca="1" si="5"/>
        <v>30 Day</v>
      </c>
    </row>
    <row r="114" spans="1:9">
      <c r="A114" t="s">
        <v>356</v>
      </c>
      <c r="B114" t="str">
        <f ca="1">IF(COUNTIFS(Sustainability_Documents!A:A,$A114,Sustainability_Documents!H:H,"Missing")&gt;0,
"Missing Documents",
IF(COUNTIFS(Sustainability_Documents!A:A,$A114,Sustainability_Documents!H:H,"Expired")&gt;0,
"Expired Documents",
IF(COUNTIFS(Sustainability_Documents!A:A,$A114,Sustainability_Documents!H:H,"Expiring Soon")&gt;0,
"Expiring Soon Documents",
"Compliant")))</f>
        <v>Missing Documents</v>
      </c>
      <c r="C114" s="1">
        <v>46073</v>
      </c>
      <c r="D114" t="s">
        <v>442</v>
      </c>
      <c r="E114" t="s">
        <v>444</v>
      </c>
      <c r="F114" s="1">
        <f t="shared" si="3"/>
        <v>46080</v>
      </c>
      <c r="G114" t="str">
        <f t="shared" ca="1" si="4"/>
        <v>Yes</v>
      </c>
      <c r="H114" t="s">
        <v>441</v>
      </c>
      <c r="I114" t="str">
        <f t="shared" ca="1" si="5"/>
        <v>30 Day</v>
      </c>
    </row>
    <row r="115" spans="1:9">
      <c r="A115" t="s">
        <v>357</v>
      </c>
      <c r="B115" t="str">
        <f ca="1">IF(COUNTIFS(Sustainability_Documents!A:A,$A115,Sustainability_Documents!H:H,"Missing")&gt;0,
"Missing Documents",
IF(COUNTIFS(Sustainability_Documents!A:A,$A115,Sustainability_Documents!H:H,"Expired")&gt;0,
"Expired Documents",
IF(COUNTIFS(Sustainability_Documents!A:A,$A115,Sustainability_Documents!H:H,"Expiring Soon")&gt;0,
"Expiring Soon Documents",
"Compliant")))</f>
        <v>Missing Documents</v>
      </c>
      <c r="C115" s="1">
        <v>46081</v>
      </c>
      <c r="D115" t="s">
        <v>442</v>
      </c>
      <c r="E115" t="s">
        <v>445</v>
      </c>
      <c r="F115" s="1" t="str">
        <f t="shared" si="3"/>
        <v>Closed</v>
      </c>
      <c r="G115" t="str">
        <f t="shared" ca="1" si="4"/>
        <v>Yes</v>
      </c>
      <c r="H115" t="s">
        <v>441</v>
      </c>
      <c r="I115" t="str">
        <f t="shared" ca="1" si="5"/>
        <v>30 Day</v>
      </c>
    </row>
    <row r="116" spans="1:9">
      <c r="A116" t="s">
        <v>358</v>
      </c>
      <c r="B116" t="str">
        <f ca="1">IF(COUNTIFS(Sustainability_Documents!A:A,$A116,Sustainability_Documents!H:H,"Missing")&gt;0,
"Missing Documents",
IF(COUNTIFS(Sustainability_Documents!A:A,$A116,Sustainability_Documents!H:H,"Expired")&gt;0,
"Expired Documents",
IF(COUNTIFS(Sustainability_Documents!A:A,$A116,Sustainability_Documents!H:H,"Expiring Soon")&gt;0,
"Expiring Soon Documents",
"Compliant")))</f>
        <v>Missing Documents</v>
      </c>
      <c r="C116" s="1">
        <v>46070</v>
      </c>
      <c r="D116" t="s">
        <v>442</v>
      </c>
      <c r="E116" t="s">
        <v>446</v>
      </c>
      <c r="F116" s="1">
        <f t="shared" si="3"/>
        <v>46073</v>
      </c>
      <c r="G116" t="str">
        <f t="shared" ca="1" si="4"/>
        <v>Yes</v>
      </c>
      <c r="H116" t="s">
        <v>441</v>
      </c>
      <c r="I116" t="str">
        <f t="shared" ca="1" si="5"/>
        <v>30 Day</v>
      </c>
    </row>
    <row r="117" spans="1:9">
      <c r="A117" t="s">
        <v>359</v>
      </c>
      <c r="B117" t="str">
        <f ca="1">IF(COUNTIFS(Sustainability_Documents!A:A,$A117,Sustainability_Documents!H:H,"Missing")&gt;0,
"Missing Documents",
IF(COUNTIFS(Sustainability_Documents!A:A,$A117,Sustainability_Documents!H:H,"Expired")&gt;0,
"Expired Documents",
IF(COUNTIFS(Sustainability_Documents!A:A,$A117,Sustainability_Documents!H:H,"Expiring Soon")&gt;0,
"Expiring Soon Documents",
"Compliant")))</f>
        <v>Missing Documents</v>
      </c>
      <c r="C117" s="1">
        <v>46074</v>
      </c>
      <c r="D117" t="s">
        <v>442</v>
      </c>
      <c r="E117" t="s">
        <v>444</v>
      </c>
      <c r="F117" s="1">
        <f t="shared" si="3"/>
        <v>46081</v>
      </c>
      <c r="G117" t="str">
        <f t="shared" ca="1" si="4"/>
        <v>Yes</v>
      </c>
      <c r="H117" t="s">
        <v>441</v>
      </c>
      <c r="I117" t="str">
        <f t="shared" ca="1" si="5"/>
        <v>30 Day</v>
      </c>
    </row>
    <row r="118" spans="1:9">
      <c r="A118" t="s">
        <v>360</v>
      </c>
      <c r="B118" t="str">
        <f ca="1">IF(COUNTIFS(Sustainability_Documents!A:A,$A118,Sustainability_Documents!H:H,"Missing")&gt;0,
"Missing Documents",
IF(COUNTIFS(Sustainability_Documents!A:A,$A118,Sustainability_Documents!H:H,"Expired")&gt;0,
"Expired Documents",
IF(COUNTIFS(Sustainability_Documents!A:A,$A118,Sustainability_Documents!H:H,"Expiring Soon")&gt;0,
"Expiring Soon Documents",
"Compliant")))</f>
        <v>Missing Documents</v>
      </c>
      <c r="C118" s="1">
        <v>46072</v>
      </c>
      <c r="D118" t="s">
        <v>442</v>
      </c>
      <c r="E118" t="s">
        <v>445</v>
      </c>
      <c r="F118" s="1" t="str">
        <f t="shared" si="3"/>
        <v>Closed</v>
      </c>
      <c r="G118" t="str">
        <f t="shared" ca="1" si="4"/>
        <v>Yes</v>
      </c>
      <c r="H118" t="s">
        <v>441</v>
      </c>
      <c r="I118" t="str">
        <f t="shared" ca="1" si="5"/>
        <v>30 Day</v>
      </c>
    </row>
    <row r="119" spans="1:9">
      <c r="A119" t="s">
        <v>361</v>
      </c>
      <c r="B119" t="str">
        <f ca="1">IF(COUNTIFS(Sustainability_Documents!A:A,$A119,Sustainability_Documents!H:H,"Missing")&gt;0,
"Missing Documents",
IF(COUNTIFS(Sustainability_Documents!A:A,$A119,Sustainability_Documents!H:H,"Expired")&gt;0,
"Expired Documents",
IF(COUNTIFS(Sustainability_Documents!A:A,$A119,Sustainability_Documents!H:H,"Expiring Soon")&gt;0,
"Expiring Soon Documents",
"Compliant")))</f>
        <v>Missing Documents</v>
      </c>
      <c r="C119" s="1">
        <v>46079</v>
      </c>
      <c r="D119" t="s">
        <v>442</v>
      </c>
      <c r="E119" t="s">
        <v>445</v>
      </c>
      <c r="F119" s="1" t="str">
        <f t="shared" si="3"/>
        <v>Closed</v>
      </c>
      <c r="G119" t="str">
        <f t="shared" ca="1" si="4"/>
        <v>Yes</v>
      </c>
      <c r="H119" t="s">
        <v>441</v>
      </c>
      <c r="I119" t="str">
        <f t="shared" ca="1" si="5"/>
        <v>30 Day</v>
      </c>
    </row>
    <row r="120" spans="1:9">
      <c r="A120" t="s">
        <v>362</v>
      </c>
      <c r="B120" t="str">
        <f ca="1">IF(COUNTIFS(Sustainability_Documents!A:A,$A120,Sustainability_Documents!H:H,"Missing")&gt;0,
"Missing Documents",
IF(COUNTIFS(Sustainability_Documents!A:A,$A120,Sustainability_Documents!H:H,"Expired")&gt;0,
"Expired Documents",
IF(COUNTIFS(Sustainability_Documents!A:A,$A120,Sustainability_Documents!H:H,"Expiring Soon")&gt;0,
"Expiring Soon Documents",
"Compliant")))</f>
        <v>Missing Documents</v>
      </c>
      <c r="C120" s="1">
        <v>46077</v>
      </c>
      <c r="D120" t="s">
        <v>442</v>
      </c>
      <c r="E120" t="s">
        <v>446</v>
      </c>
      <c r="F120" s="1">
        <f t="shared" si="3"/>
        <v>46080</v>
      </c>
      <c r="G120" t="str">
        <f t="shared" ca="1" si="4"/>
        <v>Yes</v>
      </c>
      <c r="H120" t="s">
        <v>441</v>
      </c>
      <c r="I120" t="str">
        <f t="shared" ca="1" si="5"/>
        <v>30 Day</v>
      </c>
    </row>
    <row r="121" spans="1:9">
      <c r="A121" t="s">
        <v>363</v>
      </c>
      <c r="B121" t="str">
        <f ca="1">IF(COUNTIFS(Sustainability_Documents!A:A,$A121,Sustainability_Documents!H:H,"Missing")&gt;0,
"Missing Documents",
IF(COUNTIFS(Sustainability_Documents!A:A,$A121,Sustainability_Documents!H:H,"Expired")&gt;0,
"Expired Documents",
IF(COUNTIFS(Sustainability_Documents!A:A,$A121,Sustainability_Documents!H:H,"Expiring Soon")&gt;0,
"Expiring Soon Documents",
"Compliant")))</f>
        <v>Missing Documents</v>
      </c>
      <c r="C121" s="1">
        <v>46074</v>
      </c>
      <c r="D121" t="s">
        <v>442</v>
      </c>
      <c r="E121" t="s">
        <v>444</v>
      </c>
      <c r="F121" s="1">
        <f t="shared" si="3"/>
        <v>46081</v>
      </c>
      <c r="G121" t="str">
        <f t="shared" ca="1" si="4"/>
        <v>Yes</v>
      </c>
      <c r="H121" t="s">
        <v>441</v>
      </c>
      <c r="I121" t="str">
        <f t="shared" ca="1" si="5"/>
        <v>30 Day</v>
      </c>
    </row>
    <row r="122" spans="1:9">
      <c r="A122" t="s">
        <v>364</v>
      </c>
      <c r="B122" t="str">
        <f ca="1">IF(COUNTIFS(Sustainability_Documents!A:A,$A122,Sustainability_Documents!H:H,"Missing")&gt;0,
"Missing Documents",
IF(COUNTIFS(Sustainability_Documents!A:A,$A122,Sustainability_Documents!H:H,"Expired")&gt;0,
"Expired Documents",
IF(COUNTIFS(Sustainability_Documents!A:A,$A122,Sustainability_Documents!H:H,"Expiring Soon")&gt;0,
"Expiring Soon Documents",
"Compliant")))</f>
        <v>Missing Documents</v>
      </c>
      <c r="C122" s="1">
        <v>46077</v>
      </c>
      <c r="D122" t="s">
        <v>442</v>
      </c>
      <c r="E122" t="s">
        <v>444</v>
      </c>
      <c r="F122" s="1">
        <f t="shared" si="3"/>
        <v>46084</v>
      </c>
      <c r="G122" t="str">
        <f t="shared" ca="1" si="4"/>
        <v>Yes</v>
      </c>
      <c r="H122" t="s">
        <v>441</v>
      </c>
      <c r="I122" t="str">
        <f t="shared" ca="1" si="5"/>
        <v>30 Day</v>
      </c>
    </row>
    <row r="123" spans="1:9">
      <c r="A123" t="s">
        <v>365</v>
      </c>
      <c r="B123" t="str">
        <f ca="1">IF(COUNTIFS(Sustainability_Documents!A:A,$A123,Sustainability_Documents!H:H,"Missing")&gt;0,
"Missing Documents",
IF(COUNTIFS(Sustainability_Documents!A:A,$A123,Sustainability_Documents!H:H,"Expired")&gt;0,
"Expired Documents",
IF(COUNTIFS(Sustainability_Documents!A:A,$A123,Sustainability_Documents!H:H,"Expiring Soon")&gt;0,
"Expiring Soon Documents",
"Compliant")))</f>
        <v>Missing Documents</v>
      </c>
      <c r="C123" s="1">
        <v>46070</v>
      </c>
      <c r="D123" t="s">
        <v>442</v>
      </c>
      <c r="E123" t="s">
        <v>445</v>
      </c>
      <c r="F123" s="1" t="str">
        <f t="shared" si="3"/>
        <v>Closed</v>
      </c>
      <c r="G123" t="str">
        <f t="shared" ca="1" si="4"/>
        <v>Yes</v>
      </c>
      <c r="H123" t="s">
        <v>441</v>
      </c>
      <c r="I123" t="str">
        <f t="shared" ca="1" si="5"/>
        <v>30 Day</v>
      </c>
    </row>
    <row r="124" spans="1:9">
      <c r="A124" t="s">
        <v>366</v>
      </c>
      <c r="B124" t="str">
        <f ca="1">IF(COUNTIFS(Sustainability_Documents!A:A,$A124,Sustainability_Documents!H:H,"Missing")&gt;0,
"Missing Documents",
IF(COUNTIFS(Sustainability_Documents!A:A,$A124,Sustainability_Documents!H:H,"Expired")&gt;0,
"Expired Documents",
IF(COUNTIFS(Sustainability_Documents!A:A,$A124,Sustainability_Documents!H:H,"Expiring Soon")&gt;0,
"Expiring Soon Documents",
"Compliant")))</f>
        <v>Missing Documents</v>
      </c>
      <c r="C124" s="1">
        <v>46067</v>
      </c>
      <c r="D124" t="s">
        <v>442</v>
      </c>
      <c r="E124" t="s">
        <v>446</v>
      </c>
      <c r="F124" s="1">
        <f t="shared" si="3"/>
        <v>46070</v>
      </c>
      <c r="G124" t="str">
        <f t="shared" ca="1" si="4"/>
        <v>Yes</v>
      </c>
      <c r="H124" t="s">
        <v>441</v>
      </c>
      <c r="I124" t="str">
        <f t="shared" ca="1" si="5"/>
        <v>30 Day</v>
      </c>
    </row>
    <row r="125" spans="1:9">
      <c r="A125" t="s">
        <v>367</v>
      </c>
      <c r="B125" t="str">
        <f ca="1">IF(COUNTIFS(Sustainability_Documents!A:A,$A125,Sustainability_Documents!H:H,"Missing")&gt;0,
"Missing Documents",
IF(COUNTIFS(Sustainability_Documents!A:A,$A125,Sustainability_Documents!H:H,"Expired")&gt;0,
"Expired Documents",
IF(COUNTIFS(Sustainability_Documents!A:A,$A125,Sustainability_Documents!H:H,"Expiring Soon")&gt;0,
"Expiring Soon Documents",
"Compliant")))</f>
        <v>Missing Documents</v>
      </c>
      <c r="C125" s="1">
        <v>46076</v>
      </c>
      <c r="D125" t="s">
        <v>442</v>
      </c>
      <c r="E125" t="s">
        <v>444</v>
      </c>
      <c r="F125" s="1">
        <f t="shared" si="3"/>
        <v>46083</v>
      </c>
      <c r="G125" t="str">
        <f t="shared" ca="1" si="4"/>
        <v>Yes</v>
      </c>
      <c r="H125" t="s">
        <v>441</v>
      </c>
      <c r="I125" t="str">
        <f t="shared" ca="1" si="5"/>
        <v>30 Day</v>
      </c>
    </row>
    <row r="126" spans="1:9">
      <c r="A126" t="s">
        <v>368</v>
      </c>
      <c r="B126" t="str">
        <f ca="1">IF(COUNTIFS(Sustainability_Documents!A:A,$A126,Sustainability_Documents!H:H,"Missing")&gt;0,
"Missing Documents",
IF(COUNTIFS(Sustainability_Documents!A:A,$A126,Sustainability_Documents!H:H,"Expired")&gt;0,
"Expired Documents",
IF(COUNTIFS(Sustainability_Documents!A:A,$A126,Sustainability_Documents!H:H,"Expiring Soon")&gt;0,
"Expiring Soon Documents",
"Compliant")))</f>
        <v>Missing Documents</v>
      </c>
      <c r="C126" s="1">
        <v>46069</v>
      </c>
      <c r="D126" t="s">
        <v>442</v>
      </c>
      <c r="E126" t="s">
        <v>444</v>
      </c>
      <c r="F126" s="1">
        <f t="shared" si="3"/>
        <v>46076</v>
      </c>
      <c r="G126" t="str">
        <f t="shared" ca="1" si="4"/>
        <v>Yes</v>
      </c>
      <c r="H126" t="s">
        <v>441</v>
      </c>
      <c r="I126" t="str">
        <f t="shared" ca="1" si="5"/>
        <v>30 Day</v>
      </c>
    </row>
    <row r="127" spans="1:9">
      <c r="A127" t="s">
        <v>369</v>
      </c>
      <c r="B127" t="str">
        <f ca="1">IF(COUNTIFS(Sustainability_Documents!A:A,$A127,Sustainability_Documents!H:H,"Missing")&gt;0,
"Missing Documents",
IF(COUNTIFS(Sustainability_Documents!A:A,$A127,Sustainability_Documents!H:H,"Expired")&gt;0,
"Expired Documents",
IF(COUNTIFS(Sustainability_Documents!A:A,$A127,Sustainability_Documents!H:H,"Expiring Soon")&gt;0,
"Expiring Soon Documents",
"Compliant")))</f>
        <v>Missing Documents</v>
      </c>
      <c r="C127" s="1">
        <v>46079</v>
      </c>
      <c r="D127" t="s">
        <v>442</v>
      </c>
      <c r="E127" t="s">
        <v>444</v>
      </c>
      <c r="F127" s="1">
        <f t="shared" si="3"/>
        <v>46086</v>
      </c>
      <c r="G127" t="str">
        <f t="shared" ca="1" si="4"/>
        <v>Yes</v>
      </c>
      <c r="H127" t="s">
        <v>441</v>
      </c>
      <c r="I127" t="str">
        <f t="shared" ca="1" si="5"/>
        <v>30 Day</v>
      </c>
    </row>
    <row r="128" spans="1:9">
      <c r="A128" t="s">
        <v>370</v>
      </c>
      <c r="B128" t="str">
        <f ca="1">IF(COUNTIFS(Sustainability_Documents!A:A,$A128,Sustainability_Documents!H:H,"Missing")&gt;0,
"Missing Documents",
IF(COUNTIFS(Sustainability_Documents!A:A,$A128,Sustainability_Documents!H:H,"Expired")&gt;0,
"Expired Documents",
IF(COUNTIFS(Sustainability_Documents!A:A,$A128,Sustainability_Documents!H:H,"Expiring Soon")&gt;0,
"Expiring Soon Documents",
"Compliant")))</f>
        <v>Missing Documents</v>
      </c>
      <c r="C128" s="1">
        <v>46073</v>
      </c>
      <c r="D128" t="s">
        <v>442</v>
      </c>
      <c r="E128" t="s">
        <v>444</v>
      </c>
      <c r="F128" s="1">
        <f t="shared" si="3"/>
        <v>46080</v>
      </c>
      <c r="G128" t="str">
        <f t="shared" ca="1" si="4"/>
        <v>Yes</v>
      </c>
      <c r="H128" t="s">
        <v>441</v>
      </c>
      <c r="I128" t="str">
        <f t="shared" ca="1" si="5"/>
        <v>30 Day</v>
      </c>
    </row>
    <row r="129" spans="1:9">
      <c r="A129" t="s">
        <v>371</v>
      </c>
      <c r="B129" t="str">
        <f ca="1">IF(COUNTIFS(Sustainability_Documents!A:A,$A129,Sustainability_Documents!H:H,"Missing")&gt;0,
"Missing Documents",
IF(COUNTIFS(Sustainability_Documents!A:A,$A129,Sustainability_Documents!H:H,"Expired")&gt;0,
"Expired Documents",
IF(COUNTIFS(Sustainability_Documents!A:A,$A129,Sustainability_Documents!H:H,"Expiring Soon")&gt;0,
"Expiring Soon Documents",
"Compliant")))</f>
        <v>Missing Documents</v>
      </c>
      <c r="C129" s="1">
        <v>46069</v>
      </c>
      <c r="D129" t="s">
        <v>442</v>
      </c>
      <c r="E129" t="s">
        <v>445</v>
      </c>
      <c r="F129" s="1" t="str">
        <f t="shared" si="3"/>
        <v>Closed</v>
      </c>
      <c r="G129" t="str">
        <f t="shared" ca="1" si="4"/>
        <v>Yes</v>
      </c>
      <c r="H129" t="s">
        <v>441</v>
      </c>
      <c r="I129" t="str">
        <f t="shared" ca="1" si="5"/>
        <v>30 Day</v>
      </c>
    </row>
    <row r="130" spans="1:9">
      <c r="A130" t="s">
        <v>372</v>
      </c>
      <c r="B130" t="str">
        <f ca="1">IF(COUNTIFS(Sustainability_Documents!A:A,$A130,Sustainability_Documents!H:H,"Missing")&gt;0,
"Missing Documents",
IF(COUNTIFS(Sustainability_Documents!A:A,$A130,Sustainability_Documents!H:H,"Expired")&gt;0,
"Expired Documents",
IF(COUNTIFS(Sustainability_Documents!A:A,$A130,Sustainability_Documents!H:H,"Expiring Soon")&gt;0,
"Expiring Soon Documents",
"Compliant")))</f>
        <v>Missing Documents</v>
      </c>
      <c r="C130" s="1">
        <v>46074</v>
      </c>
      <c r="D130" t="s">
        <v>442</v>
      </c>
      <c r="E130" t="s">
        <v>444</v>
      </c>
      <c r="F130" s="1">
        <f t="shared" si="3"/>
        <v>46081</v>
      </c>
      <c r="G130" t="str">
        <f t="shared" ca="1" si="4"/>
        <v>Yes</v>
      </c>
      <c r="H130" t="s">
        <v>441</v>
      </c>
      <c r="I130" t="str">
        <f t="shared" ca="1" si="5"/>
        <v>30 Day</v>
      </c>
    </row>
    <row r="131" spans="1:9">
      <c r="A131" t="s">
        <v>373</v>
      </c>
      <c r="B131" t="str">
        <f ca="1">IF(COUNTIFS(Sustainability_Documents!A:A,$A131,Sustainability_Documents!H:H,"Missing")&gt;0,
"Missing Documents",
IF(COUNTIFS(Sustainability_Documents!A:A,$A131,Sustainability_Documents!H:H,"Expired")&gt;0,
"Expired Documents",
IF(COUNTIFS(Sustainability_Documents!A:A,$A131,Sustainability_Documents!H:H,"Expiring Soon")&gt;0,
"Expiring Soon Documents",
"Compliant")))</f>
        <v>Missing Documents</v>
      </c>
      <c r="C131" s="1">
        <v>46075</v>
      </c>
      <c r="D131" t="s">
        <v>442</v>
      </c>
      <c r="E131" t="s">
        <v>445</v>
      </c>
      <c r="F131" s="1" t="str">
        <f t="shared" ref="F131:F177" si="6">IF($A131="","",
IF($E131="Pending",$C131+7,
IF($E131="Escalated",$C131+3,
IF($E131="Responded","Closed",""))))</f>
        <v>Closed</v>
      </c>
      <c r="G131" t="str">
        <f t="shared" ref="G131:G194" ca="1" si="7">IF($A131="","",
IF(OR($E131="Escalated",$B131="Missing Documents",$B131="Expired Documents",$B131="Unresolved High Incident"),"Yes","No"))</f>
        <v>Yes</v>
      </c>
      <c r="H131" t="s">
        <v>441</v>
      </c>
      <c r="I131" t="str">
        <f t="shared" ref="I131:I177" ca="1" si="8">IF(TODAY()-C131&lt;=30,"30 Day",
 IF(TODAY()-C131&lt;=60,"60 Day",
 IF(TODAY()-C131&lt;=90,"90 Day","Over 90 Days")))</f>
        <v>30 Day</v>
      </c>
    </row>
    <row r="132" spans="1:9">
      <c r="A132" t="s">
        <v>374</v>
      </c>
      <c r="B132" t="str">
        <f ca="1">IF(COUNTIFS(Sustainability_Documents!A:A,$A132,Sustainability_Documents!H:H,"Missing")&gt;0,
"Missing Documents",
IF(COUNTIFS(Sustainability_Documents!A:A,$A132,Sustainability_Documents!H:H,"Expired")&gt;0,
"Expired Documents",
IF(COUNTIFS(Sustainability_Documents!A:A,$A132,Sustainability_Documents!H:H,"Expiring Soon")&gt;0,
"Expiring Soon Documents",
"Compliant")))</f>
        <v>Missing Documents</v>
      </c>
      <c r="C132" s="1">
        <v>46068</v>
      </c>
      <c r="D132" t="s">
        <v>442</v>
      </c>
      <c r="E132" t="s">
        <v>445</v>
      </c>
      <c r="F132" s="1" t="str">
        <f t="shared" si="6"/>
        <v>Closed</v>
      </c>
      <c r="G132" t="str">
        <f t="shared" ca="1" si="7"/>
        <v>Yes</v>
      </c>
      <c r="H132" t="s">
        <v>441</v>
      </c>
      <c r="I132" t="str">
        <f t="shared" ca="1" si="8"/>
        <v>30 Day</v>
      </c>
    </row>
    <row r="133" spans="1:9">
      <c r="A133" t="s">
        <v>375</v>
      </c>
      <c r="B133" t="str">
        <f ca="1">IF(COUNTIFS(Sustainability_Documents!A:A,$A133,Sustainability_Documents!H:H,"Missing")&gt;0,
"Missing Documents",
IF(COUNTIFS(Sustainability_Documents!A:A,$A133,Sustainability_Documents!H:H,"Expired")&gt;0,
"Expired Documents",
IF(COUNTIFS(Sustainability_Documents!A:A,$A133,Sustainability_Documents!H:H,"Expiring Soon")&gt;0,
"Expiring Soon Documents",
"Compliant")))</f>
        <v>Missing Documents</v>
      </c>
      <c r="C133" s="1">
        <v>46081</v>
      </c>
      <c r="D133" t="s">
        <v>442</v>
      </c>
      <c r="E133" t="s">
        <v>444</v>
      </c>
      <c r="F133" s="1">
        <f t="shared" si="6"/>
        <v>46088</v>
      </c>
      <c r="G133" t="str">
        <f t="shared" ca="1" si="7"/>
        <v>Yes</v>
      </c>
      <c r="H133" t="s">
        <v>441</v>
      </c>
      <c r="I133" t="str">
        <f t="shared" ca="1" si="8"/>
        <v>30 Day</v>
      </c>
    </row>
    <row r="134" spans="1:9">
      <c r="A134" t="s">
        <v>376</v>
      </c>
      <c r="B134" t="str">
        <f ca="1">IF(COUNTIFS(Sustainability_Documents!A:A,$A134,Sustainability_Documents!H:H,"Missing")&gt;0,
"Missing Documents",
IF(COUNTIFS(Sustainability_Documents!A:A,$A134,Sustainability_Documents!H:H,"Expired")&gt;0,
"Expired Documents",
IF(COUNTIFS(Sustainability_Documents!A:A,$A134,Sustainability_Documents!H:H,"Expiring Soon")&gt;0,
"Expiring Soon Documents",
"Compliant")))</f>
        <v>Missing Documents</v>
      </c>
      <c r="C134" s="1">
        <v>46070</v>
      </c>
      <c r="D134" t="s">
        <v>442</v>
      </c>
      <c r="E134" t="s">
        <v>446</v>
      </c>
      <c r="F134" s="1">
        <f t="shared" si="6"/>
        <v>46073</v>
      </c>
      <c r="G134" t="str">
        <f t="shared" ca="1" si="7"/>
        <v>Yes</v>
      </c>
      <c r="H134" t="s">
        <v>441</v>
      </c>
      <c r="I134" t="str">
        <f t="shared" ca="1" si="8"/>
        <v>30 Day</v>
      </c>
    </row>
    <row r="135" spans="1:9">
      <c r="A135" t="s">
        <v>377</v>
      </c>
      <c r="B135" t="str">
        <f ca="1">IF(COUNTIFS(Sustainability_Documents!A:A,$A135,Sustainability_Documents!H:H,"Missing")&gt;0,
"Missing Documents",
IF(COUNTIFS(Sustainability_Documents!A:A,$A135,Sustainability_Documents!H:H,"Expired")&gt;0,
"Expired Documents",
IF(COUNTIFS(Sustainability_Documents!A:A,$A135,Sustainability_Documents!H:H,"Expiring Soon")&gt;0,
"Expiring Soon Documents",
"Compliant")))</f>
        <v>Missing Documents</v>
      </c>
      <c r="C135" s="1">
        <v>46076</v>
      </c>
      <c r="D135" t="s">
        <v>442</v>
      </c>
      <c r="E135" t="s">
        <v>446</v>
      </c>
      <c r="F135" s="1">
        <f t="shared" si="6"/>
        <v>46079</v>
      </c>
      <c r="G135" t="str">
        <f t="shared" ca="1" si="7"/>
        <v>Yes</v>
      </c>
      <c r="H135" t="s">
        <v>441</v>
      </c>
      <c r="I135" t="str">
        <f t="shared" ca="1" si="8"/>
        <v>30 Day</v>
      </c>
    </row>
    <row r="136" spans="1:9">
      <c r="A136" t="s">
        <v>378</v>
      </c>
      <c r="B136" t="str">
        <f ca="1">IF(COUNTIFS(Sustainability_Documents!A:A,$A136,Sustainability_Documents!H:H,"Missing")&gt;0,
"Missing Documents",
IF(COUNTIFS(Sustainability_Documents!A:A,$A136,Sustainability_Documents!H:H,"Expired")&gt;0,
"Expired Documents",
IF(COUNTIFS(Sustainability_Documents!A:A,$A136,Sustainability_Documents!H:H,"Expiring Soon")&gt;0,
"Expiring Soon Documents",
"Compliant")))</f>
        <v>Missing Documents</v>
      </c>
      <c r="C136" s="1">
        <v>46067</v>
      </c>
      <c r="D136" t="s">
        <v>442</v>
      </c>
      <c r="E136" t="s">
        <v>445</v>
      </c>
      <c r="F136" s="1" t="str">
        <f t="shared" si="6"/>
        <v>Closed</v>
      </c>
      <c r="G136" t="str">
        <f t="shared" ca="1" si="7"/>
        <v>Yes</v>
      </c>
      <c r="H136" t="s">
        <v>441</v>
      </c>
      <c r="I136" t="str">
        <f t="shared" ca="1" si="8"/>
        <v>30 Day</v>
      </c>
    </row>
    <row r="137" spans="1:9">
      <c r="A137" t="s">
        <v>379</v>
      </c>
      <c r="B137" t="str">
        <f ca="1">IF(COUNTIFS(Sustainability_Documents!A:A,$A137,Sustainability_Documents!H:H,"Missing")&gt;0,
"Missing Documents",
IF(COUNTIFS(Sustainability_Documents!A:A,$A137,Sustainability_Documents!H:H,"Expired")&gt;0,
"Expired Documents",
IF(COUNTIFS(Sustainability_Documents!A:A,$A137,Sustainability_Documents!H:H,"Expiring Soon")&gt;0,
"Expiring Soon Documents",
"Compliant")))</f>
        <v>Missing Documents</v>
      </c>
      <c r="C137" s="1">
        <v>46080</v>
      </c>
      <c r="D137" t="s">
        <v>442</v>
      </c>
      <c r="E137" t="s">
        <v>445</v>
      </c>
      <c r="F137" s="1" t="str">
        <f t="shared" si="6"/>
        <v>Closed</v>
      </c>
      <c r="G137" t="str">
        <f t="shared" ca="1" si="7"/>
        <v>Yes</v>
      </c>
      <c r="H137" t="s">
        <v>441</v>
      </c>
      <c r="I137" t="str">
        <f t="shared" ca="1" si="8"/>
        <v>30 Day</v>
      </c>
    </row>
    <row r="138" spans="1:9">
      <c r="A138" t="s">
        <v>380</v>
      </c>
      <c r="B138" t="str">
        <f ca="1">IF(COUNTIFS(Sustainability_Documents!A:A,$A138,Sustainability_Documents!H:H,"Missing")&gt;0,
"Missing Documents",
IF(COUNTIFS(Sustainability_Documents!A:A,$A138,Sustainability_Documents!H:H,"Expired")&gt;0,
"Expired Documents",
IF(COUNTIFS(Sustainability_Documents!A:A,$A138,Sustainability_Documents!H:H,"Expiring Soon")&gt;0,
"Expiring Soon Documents",
"Compliant")))</f>
        <v>Missing Documents</v>
      </c>
      <c r="C138" s="1">
        <v>46074</v>
      </c>
      <c r="D138" t="s">
        <v>442</v>
      </c>
      <c r="E138" t="s">
        <v>445</v>
      </c>
      <c r="F138" s="1" t="str">
        <f t="shared" si="6"/>
        <v>Closed</v>
      </c>
      <c r="G138" t="str">
        <f t="shared" ca="1" si="7"/>
        <v>Yes</v>
      </c>
      <c r="H138" t="s">
        <v>441</v>
      </c>
      <c r="I138" t="str">
        <f t="shared" ca="1" si="8"/>
        <v>30 Day</v>
      </c>
    </row>
    <row r="139" spans="1:9">
      <c r="A139" t="s">
        <v>381</v>
      </c>
      <c r="B139" t="str">
        <f ca="1">IF(COUNTIFS(Sustainability_Documents!A:A,$A139,Sustainability_Documents!H:H,"Missing")&gt;0,
"Missing Documents",
IF(COUNTIFS(Sustainability_Documents!A:A,$A139,Sustainability_Documents!H:H,"Expired")&gt;0,
"Expired Documents",
IF(COUNTIFS(Sustainability_Documents!A:A,$A139,Sustainability_Documents!H:H,"Expiring Soon")&gt;0,
"Expiring Soon Documents",
"Compliant")))</f>
        <v>Missing Documents</v>
      </c>
      <c r="C139" s="1">
        <v>46068</v>
      </c>
      <c r="D139" t="s">
        <v>442</v>
      </c>
      <c r="E139" t="s">
        <v>445</v>
      </c>
      <c r="F139" s="1" t="str">
        <f t="shared" si="6"/>
        <v>Closed</v>
      </c>
      <c r="G139" t="str">
        <f t="shared" ca="1" si="7"/>
        <v>Yes</v>
      </c>
      <c r="H139" t="s">
        <v>441</v>
      </c>
      <c r="I139" t="str">
        <f t="shared" ca="1" si="8"/>
        <v>30 Day</v>
      </c>
    </row>
    <row r="140" spans="1:9">
      <c r="A140" t="s">
        <v>382</v>
      </c>
      <c r="B140" t="str">
        <f ca="1">IF(COUNTIFS(Sustainability_Documents!A:A,$A140,Sustainability_Documents!H:H,"Missing")&gt;0,
"Missing Documents",
IF(COUNTIFS(Sustainability_Documents!A:A,$A140,Sustainability_Documents!H:H,"Expired")&gt;0,
"Expired Documents",
IF(COUNTIFS(Sustainability_Documents!A:A,$A140,Sustainability_Documents!H:H,"Expiring Soon")&gt;0,
"Expiring Soon Documents",
"Compliant")))</f>
        <v>Missing Documents</v>
      </c>
      <c r="C140" s="1">
        <v>46074</v>
      </c>
      <c r="D140" t="s">
        <v>442</v>
      </c>
      <c r="E140" t="s">
        <v>446</v>
      </c>
      <c r="F140" s="1">
        <f t="shared" si="6"/>
        <v>46077</v>
      </c>
      <c r="G140" t="str">
        <f t="shared" ca="1" si="7"/>
        <v>Yes</v>
      </c>
      <c r="H140" t="s">
        <v>441</v>
      </c>
      <c r="I140" t="str">
        <f t="shared" ca="1" si="8"/>
        <v>30 Day</v>
      </c>
    </row>
    <row r="141" spans="1:9">
      <c r="A141" t="s">
        <v>383</v>
      </c>
      <c r="B141" t="str">
        <f ca="1">IF(COUNTIFS(Sustainability_Documents!A:A,$A141,Sustainability_Documents!H:H,"Missing")&gt;0,
"Missing Documents",
IF(COUNTIFS(Sustainability_Documents!A:A,$A141,Sustainability_Documents!H:H,"Expired")&gt;0,
"Expired Documents",
IF(COUNTIFS(Sustainability_Documents!A:A,$A141,Sustainability_Documents!H:H,"Expiring Soon")&gt;0,
"Expiring Soon Documents",
"Compliant")))</f>
        <v>Missing Documents</v>
      </c>
      <c r="C141" s="1">
        <v>46069</v>
      </c>
      <c r="D141" t="s">
        <v>442</v>
      </c>
      <c r="E141" t="s">
        <v>444</v>
      </c>
      <c r="F141" s="1">
        <f t="shared" si="6"/>
        <v>46076</v>
      </c>
      <c r="G141" t="str">
        <f t="shared" ca="1" si="7"/>
        <v>Yes</v>
      </c>
      <c r="H141" t="s">
        <v>441</v>
      </c>
      <c r="I141" t="str">
        <f t="shared" ca="1" si="8"/>
        <v>30 Day</v>
      </c>
    </row>
    <row r="142" spans="1:9">
      <c r="A142" t="s">
        <v>384</v>
      </c>
      <c r="B142" t="str">
        <f ca="1">IF(COUNTIFS(Sustainability_Documents!A:A,$A142,Sustainability_Documents!H:H,"Missing")&gt;0,
"Missing Documents",
IF(COUNTIFS(Sustainability_Documents!A:A,$A142,Sustainability_Documents!H:H,"Expired")&gt;0,
"Expired Documents",
IF(COUNTIFS(Sustainability_Documents!A:A,$A142,Sustainability_Documents!H:H,"Expiring Soon")&gt;0,
"Expiring Soon Documents",
"Compliant")))</f>
        <v>Missing Documents</v>
      </c>
      <c r="C142" s="1">
        <v>46080</v>
      </c>
      <c r="D142" t="s">
        <v>442</v>
      </c>
      <c r="E142" t="s">
        <v>444</v>
      </c>
      <c r="F142" s="1">
        <f t="shared" si="6"/>
        <v>46087</v>
      </c>
      <c r="G142" t="str">
        <f t="shared" ca="1" si="7"/>
        <v>Yes</v>
      </c>
      <c r="H142" t="s">
        <v>441</v>
      </c>
      <c r="I142" t="str">
        <f t="shared" ca="1" si="8"/>
        <v>30 Day</v>
      </c>
    </row>
    <row r="143" spans="1:9">
      <c r="A143" t="s">
        <v>385</v>
      </c>
      <c r="B143" t="str">
        <f ca="1">IF(COUNTIFS(Sustainability_Documents!A:A,$A143,Sustainability_Documents!H:H,"Missing")&gt;0,
"Missing Documents",
IF(COUNTIFS(Sustainability_Documents!A:A,$A143,Sustainability_Documents!H:H,"Expired")&gt;0,
"Expired Documents",
IF(COUNTIFS(Sustainability_Documents!A:A,$A143,Sustainability_Documents!H:H,"Expiring Soon")&gt;0,
"Expiring Soon Documents",
"Compliant")))</f>
        <v>Missing Documents</v>
      </c>
      <c r="C143" s="1">
        <v>46075</v>
      </c>
      <c r="D143" t="s">
        <v>442</v>
      </c>
      <c r="E143" t="s">
        <v>445</v>
      </c>
      <c r="F143" s="1" t="str">
        <f t="shared" si="6"/>
        <v>Closed</v>
      </c>
      <c r="G143" t="str">
        <f t="shared" ca="1" si="7"/>
        <v>Yes</v>
      </c>
      <c r="H143" t="s">
        <v>441</v>
      </c>
      <c r="I143" t="str">
        <f t="shared" ca="1" si="8"/>
        <v>30 Day</v>
      </c>
    </row>
    <row r="144" spans="1:9">
      <c r="A144" t="s">
        <v>386</v>
      </c>
      <c r="B144" t="str">
        <f ca="1">IF(COUNTIFS(Sustainability_Documents!A:A,$A144,Sustainability_Documents!H:H,"Missing")&gt;0,
"Missing Documents",
IF(COUNTIFS(Sustainability_Documents!A:A,$A144,Sustainability_Documents!H:H,"Expired")&gt;0,
"Expired Documents",
IF(COUNTIFS(Sustainability_Documents!A:A,$A144,Sustainability_Documents!H:H,"Expiring Soon")&gt;0,
"Expiring Soon Documents",
"Compliant")))</f>
        <v>Missing Documents</v>
      </c>
      <c r="C144" s="1">
        <v>46078</v>
      </c>
      <c r="D144" t="s">
        <v>442</v>
      </c>
      <c r="E144" t="s">
        <v>444</v>
      </c>
      <c r="F144" s="1">
        <f t="shared" si="6"/>
        <v>46085</v>
      </c>
      <c r="G144" t="str">
        <f t="shared" ca="1" si="7"/>
        <v>Yes</v>
      </c>
      <c r="H144" t="s">
        <v>441</v>
      </c>
      <c r="I144" t="str">
        <f t="shared" ca="1" si="8"/>
        <v>30 Day</v>
      </c>
    </row>
    <row r="145" spans="1:9">
      <c r="A145" t="s">
        <v>387</v>
      </c>
      <c r="B145" t="str">
        <f ca="1">IF(COUNTIFS(Sustainability_Documents!A:A,$A145,Sustainability_Documents!H:H,"Missing")&gt;0,
"Missing Documents",
IF(COUNTIFS(Sustainability_Documents!A:A,$A145,Sustainability_Documents!H:H,"Expired")&gt;0,
"Expired Documents",
IF(COUNTIFS(Sustainability_Documents!A:A,$A145,Sustainability_Documents!H:H,"Expiring Soon")&gt;0,
"Expiring Soon Documents",
"Compliant")))</f>
        <v>Missing Documents</v>
      </c>
      <c r="C145" s="1">
        <v>46076</v>
      </c>
      <c r="D145" t="s">
        <v>442</v>
      </c>
      <c r="E145" t="s">
        <v>444</v>
      </c>
      <c r="F145" s="1">
        <f t="shared" si="6"/>
        <v>46083</v>
      </c>
      <c r="G145" t="str">
        <f t="shared" ca="1" si="7"/>
        <v>Yes</v>
      </c>
      <c r="H145" t="s">
        <v>441</v>
      </c>
      <c r="I145" t="str">
        <f t="shared" ca="1" si="8"/>
        <v>30 Day</v>
      </c>
    </row>
    <row r="146" spans="1:9">
      <c r="A146" t="s">
        <v>388</v>
      </c>
      <c r="B146" t="str">
        <f ca="1">IF(COUNTIFS(Sustainability_Documents!A:A,$A146,Sustainability_Documents!H:H,"Missing")&gt;0,
"Missing Documents",
IF(COUNTIFS(Sustainability_Documents!A:A,$A146,Sustainability_Documents!H:H,"Expired")&gt;0,
"Expired Documents",
IF(COUNTIFS(Sustainability_Documents!A:A,$A146,Sustainability_Documents!H:H,"Expiring Soon")&gt;0,
"Expiring Soon Documents",
"Compliant")))</f>
        <v>Missing Documents</v>
      </c>
      <c r="C146" s="1">
        <v>46070</v>
      </c>
      <c r="D146" t="s">
        <v>442</v>
      </c>
      <c r="E146" t="s">
        <v>444</v>
      </c>
      <c r="F146" s="1">
        <f t="shared" si="6"/>
        <v>46077</v>
      </c>
      <c r="G146" t="str">
        <f t="shared" ca="1" si="7"/>
        <v>Yes</v>
      </c>
      <c r="H146" t="s">
        <v>441</v>
      </c>
      <c r="I146" t="str">
        <f t="shared" ca="1" si="8"/>
        <v>30 Day</v>
      </c>
    </row>
    <row r="147" spans="1:9">
      <c r="A147" t="s">
        <v>389</v>
      </c>
      <c r="B147" t="str">
        <f ca="1">IF(COUNTIFS(Sustainability_Documents!A:A,$A147,Sustainability_Documents!H:H,"Missing")&gt;0,
"Missing Documents",
IF(COUNTIFS(Sustainability_Documents!A:A,$A147,Sustainability_Documents!H:H,"Expired")&gt;0,
"Expired Documents",
IF(COUNTIFS(Sustainability_Documents!A:A,$A147,Sustainability_Documents!H:H,"Expiring Soon")&gt;0,
"Expiring Soon Documents",
"Compliant")))</f>
        <v>Missing Documents</v>
      </c>
      <c r="C147" s="1">
        <v>46071</v>
      </c>
      <c r="D147" t="s">
        <v>442</v>
      </c>
      <c r="E147" t="s">
        <v>444</v>
      </c>
      <c r="F147" s="1">
        <f t="shared" si="6"/>
        <v>46078</v>
      </c>
      <c r="G147" t="str">
        <f t="shared" ca="1" si="7"/>
        <v>Yes</v>
      </c>
      <c r="H147" t="s">
        <v>441</v>
      </c>
      <c r="I147" t="str">
        <f t="shared" ca="1" si="8"/>
        <v>30 Day</v>
      </c>
    </row>
    <row r="148" spans="1:9">
      <c r="A148" t="s">
        <v>390</v>
      </c>
      <c r="B148" t="str">
        <f ca="1">IF(COUNTIFS(Sustainability_Documents!A:A,$A148,Sustainability_Documents!H:H,"Missing")&gt;0,
"Missing Documents",
IF(COUNTIFS(Sustainability_Documents!A:A,$A148,Sustainability_Documents!H:H,"Expired")&gt;0,
"Expired Documents",
IF(COUNTIFS(Sustainability_Documents!A:A,$A148,Sustainability_Documents!H:H,"Expiring Soon")&gt;0,
"Expiring Soon Documents",
"Compliant")))</f>
        <v>Missing Documents</v>
      </c>
      <c r="C148" s="1">
        <v>46068</v>
      </c>
      <c r="D148" t="s">
        <v>442</v>
      </c>
      <c r="E148" t="s">
        <v>444</v>
      </c>
      <c r="F148" s="1">
        <f t="shared" si="6"/>
        <v>46075</v>
      </c>
      <c r="G148" t="str">
        <f t="shared" ca="1" si="7"/>
        <v>Yes</v>
      </c>
      <c r="H148" t="s">
        <v>441</v>
      </c>
      <c r="I148" t="str">
        <f t="shared" ca="1" si="8"/>
        <v>30 Day</v>
      </c>
    </row>
    <row r="149" spans="1:9">
      <c r="A149" t="s">
        <v>391</v>
      </c>
      <c r="B149" t="str">
        <f ca="1">IF(COUNTIFS(Sustainability_Documents!A:A,$A149,Sustainability_Documents!H:H,"Missing")&gt;0,
"Missing Documents",
IF(COUNTIFS(Sustainability_Documents!A:A,$A149,Sustainability_Documents!H:H,"Expired")&gt;0,
"Expired Documents",
IF(COUNTIFS(Sustainability_Documents!A:A,$A149,Sustainability_Documents!H:H,"Expiring Soon")&gt;0,
"Expiring Soon Documents",
"Compliant")))</f>
        <v>Missing Documents</v>
      </c>
      <c r="C149" s="1">
        <v>46070</v>
      </c>
      <c r="D149" t="s">
        <v>442</v>
      </c>
      <c r="E149" t="s">
        <v>445</v>
      </c>
      <c r="F149" s="1" t="str">
        <f t="shared" si="6"/>
        <v>Closed</v>
      </c>
      <c r="G149" t="str">
        <f t="shared" ca="1" si="7"/>
        <v>Yes</v>
      </c>
      <c r="H149" t="s">
        <v>441</v>
      </c>
      <c r="I149" t="str">
        <f t="shared" ca="1" si="8"/>
        <v>30 Day</v>
      </c>
    </row>
    <row r="150" spans="1:9">
      <c r="A150" t="s">
        <v>392</v>
      </c>
      <c r="B150" t="str">
        <f ca="1">IF(COUNTIFS(Sustainability_Documents!A:A,$A150,Sustainability_Documents!H:H,"Missing")&gt;0,
"Missing Documents",
IF(COUNTIFS(Sustainability_Documents!A:A,$A150,Sustainability_Documents!H:H,"Expired")&gt;0,
"Expired Documents",
IF(COUNTIFS(Sustainability_Documents!A:A,$A150,Sustainability_Documents!H:H,"Expiring Soon")&gt;0,
"Expiring Soon Documents",
"Compliant")))</f>
        <v>Missing Documents</v>
      </c>
      <c r="C150" s="1">
        <v>46071</v>
      </c>
      <c r="D150" t="s">
        <v>442</v>
      </c>
      <c r="E150" t="s">
        <v>444</v>
      </c>
      <c r="F150" s="1">
        <f t="shared" si="6"/>
        <v>46078</v>
      </c>
      <c r="G150" t="str">
        <f t="shared" ca="1" si="7"/>
        <v>Yes</v>
      </c>
      <c r="H150" t="s">
        <v>441</v>
      </c>
      <c r="I150" t="str">
        <f t="shared" ca="1" si="8"/>
        <v>30 Day</v>
      </c>
    </row>
    <row r="151" spans="1:9">
      <c r="A151" t="s">
        <v>393</v>
      </c>
      <c r="B151" t="str">
        <f ca="1">IF(COUNTIFS(Sustainability_Documents!A:A,$A151,Sustainability_Documents!H:H,"Missing")&gt;0,
"Missing Documents",
IF(COUNTIFS(Sustainability_Documents!A:A,$A151,Sustainability_Documents!H:H,"Expired")&gt;0,
"Expired Documents",
IF(COUNTIFS(Sustainability_Documents!A:A,$A151,Sustainability_Documents!H:H,"Expiring Soon")&gt;0,
"Expiring Soon Documents",
"Compliant")))</f>
        <v>Missing Documents</v>
      </c>
      <c r="C151" s="1">
        <v>46073</v>
      </c>
      <c r="D151" t="s">
        <v>442</v>
      </c>
      <c r="E151" t="s">
        <v>445</v>
      </c>
      <c r="F151" s="1" t="str">
        <f t="shared" si="6"/>
        <v>Closed</v>
      </c>
      <c r="G151" t="str">
        <f t="shared" ca="1" si="7"/>
        <v>Yes</v>
      </c>
      <c r="H151" t="s">
        <v>441</v>
      </c>
      <c r="I151" t="str">
        <f t="shared" ca="1" si="8"/>
        <v>30 Day</v>
      </c>
    </row>
    <row r="152" spans="1:9">
      <c r="A152" t="s">
        <v>394</v>
      </c>
      <c r="B152" t="str">
        <f ca="1">IF(COUNTIFS(Sustainability_Documents!A:A,$A152,Sustainability_Documents!H:H,"Missing")&gt;0,
"Missing Documents",
IF(COUNTIFS(Sustainability_Documents!A:A,$A152,Sustainability_Documents!H:H,"Expired")&gt;0,
"Expired Documents",
IF(COUNTIFS(Sustainability_Documents!A:A,$A152,Sustainability_Documents!H:H,"Expiring Soon")&gt;0,
"Expiring Soon Documents",
"Compliant")))</f>
        <v>Missing Documents</v>
      </c>
      <c r="C152" s="1">
        <v>46075</v>
      </c>
      <c r="D152" t="s">
        <v>442</v>
      </c>
      <c r="E152" t="s">
        <v>446</v>
      </c>
      <c r="F152" s="1">
        <f t="shared" si="6"/>
        <v>46078</v>
      </c>
      <c r="G152" t="str">
        <f t="shared" ca="1" si="7"/>
        <v>Yes</v>
      </c>
      <c r="H152" t="s">
        <v>441</v>
      </c>
      <c r="I152" t="str">
        <f t="shared" ca="1" si="8"/>
        <v>30 Day</v>
      </c>
    </row>
    <row r="153" spans="1:9">
      <c r="A153" t="s">
        <v>395</v>
      </c>
      <c r="B153" t="str">
        <f ca="1">IF(COUNTIFS(Sustainability_Documents!A:A,$A153,Sustainability_Documents!H:H,"Missing")&gt;0,
"Missing Documents",
IF(COUNTIFS(Sustainability_Documents!A:A,$A153,Sustainability_Documents!H:H,"Expired")&gt;0,
"Expired Documents",
IF(COUNTIFS(Sustainability_Documents!A:A,$A153,Sustainability_Documents!H:H,"Expiring Soon")&gt;0,
"Expiring Soon Documents",
"Compliant")))</f>
        <v>Missing Documents</v>
      </c>
      <c r="C153" s="1">
        <v>46076</v>
      </c>
      <c r="D153" t="s">
        <v>442</v>
      </c>
      <c r="E153" t="s">
        <v>446</v>
      </c>
      <c r="F153" s="1">
        <f t="shared" si="6"/>
        <v>46079</v>
      </c>
      <c r="G153" t="str">
        <f t="shared" ca="1" si="7"/>
        <v>Yes</v>
      </c>
      <c r="H153" t="s">
        <v>441</v>
      </c>
      <c r="I153" t="str">
        <f t="shared" ca="1" si="8"/>
        <v>30 Day</v>
      </c>
    </row>
    <row r="154" spans="1:9">
      <c r="A154" t="s">
        <v>396</v>
      </c>
      <c r="B154" t="str">
        <f ca="1">IF(COUNTIFS(Sustainability_Documents!A:A,$A154,Sustainability_Documents!H:H,"Missing")&gt;0,
"Missing Documents",
IF(COUNTIFS(Sustainability_Documents!A:A,$A154,Sustainability_Documents!H:H,"Expired")&gt;0,
"Expired Documents",
IF(COUNTIFS(Sustainability_Documents!A:A,$A154,Sustainability_Documents!H:H,"Expiring Soon")&gt;0,
"Expiring Soon Documents",
"Compliant")))</f>
        <v>Missing Documents</v>
      </c>
      <c r="C154" s="1">
        <v>46072</v>
      </c>
      <c r="D154" t="s">
        <v>442</v>
      </c>
      <c r="E154" t="s">
        <v>444</v>
      </c>
      <c r="F154" s="1">
        <f t="shared" si="6"/>
        <v>46079</v>
      </c>
      <c r="G154" t="str">
        <f t="shared" ca="1" si="7"/>
        <v>Yes</v>
      </c>
      <c r="H154" t="s">
        <v>441</v>
      </c>
      <c r="I154" t="str">
        <f t="shared" ca="1" si="8"/>
        <v>30 Day</v>
      </c>
    </row>
    <row r="155" spans="1:9">
      <c r="A155" t="s">
        <v>397</v>
      </c>
      <c r="B155" t="str">
        <f ca="1">IF(COUNTIFS(Sustainability_Documents!A:A,$A155,Sustainability_Documents!H:H,"Missing")&gt;0,
"Missing Documents",
IF(COUNTIFS(Sustainability_Documents!A:A,$A155,Sustainability_Documents!H:H,"Expired")&gt;0,
"Expired Documents",
IF(COUNTIFS(Sustainability_Documents!A:A,$A155,Sustainability_Documents!H:H,"Expiring Soon")&gt;0,
"Expiring Soon Documents",
"Compliant")))</f>
        <v>Missing Documents</v>
      </c>
      <c r="C155" s="1">
        <v>46074</v>
      </c>
      <c r="D155" t="s">
        <v>442</v>
      </c>
      <c r="E155" t="s">
        <v>445</v>
      </c>
      <c r="F155" s="1" t="str">
        <f t="shared" si="6"/>
        <v>Closed</v>
      </c>
      <c r="G155" t="str">
        <f t="shared" ca="1" si="7"/>
        <v>Yes</v>
      </c>
      <c r="H155" t="s">
        <v>441</v>
      </c>
      <c r="I155" t="str">
        <f t="shared" ca="1" si="8"/>
        <v>30 Day</v>
      </c>
    </row>
    <row r="156" spans="1:9">
      <c r="A156" t="s">
        <v>398</v>
      </c>
      <c r="B156" t="str">
        <f ca="1">IF(COUNTIFS(Sustainability_Documents!A:A,$A156,Sustainability_Documents!H:H,"Missing")&gt;0,
"Missing Documents",
IF(COUNTIFS(Sustainability_Documents!A:A,$A156,Sustainability_Documents!H:H,"Expired")&gt;0,
"Expired Documents",
IF(COUNTIFS(Sustainability_Documents!A:A,$A156,Sustainability_Documents!H:H,"Expiring Soon")&gt;0,
"Expiring Soon Documents",
"Compliant")))</f>
        <v>Missing Documents</v>
      </c>
      <c r="C156" s="1">
        <v>46080</v>
      </c>
      <c r="D156" t="s">
        <v>442</v>
      </c>
      <c r="E156" t="s">
        <v>444</v>
      </c>
      <c r="F156" s="1">
        <f t="shared" si="6"/>
        <v>46087</v>
      </c>
      <c r="G156" t="str">
        <f t="shared" ca="1" si="7"/>
        <v>Yes</v>
      </c>
      <c r="H156" t="s">
        <v>441</v>
      </c>
      <c r="I156" t="str">
        <f t="shared" ca="1" si="8"/>
        <v>30 Day</v>
      </c>
    </row>
    <row r="157" spans="1:9">
      <c r="A157" t="s">
        <v>399</v>
      </c>
      <c r="B157" t="str">
        <f ca="1">IF(COUNTIFS(Sustainability_Documents!A:A,$A157,Sustainability_Documents!H:H,"Missing")&gt;0,
"Missing Documents",
IF(COUNTIFS(Sustainability_Documents!A:A,$A157,Sustainability_Documents!H:H,"Expired")&gt;0,
"Expired Documents",
IF(COUNTIFS(Sustainability_Documents!A:A,$A157,Sustainability_Documents!H:H,"Expiring Soon")&gt;0,
"Expiring Soon Documents",
"Compliant")))</f>
        <v>Missing Documents</v>
      </c>
      <c r="C157" s="1">
        <v>46073</v>
      </c>
      <c r="D157" t="s">
        <v>442</v>
      </c>
      <c r="E157" t="s">
        <v>445</v>
      </c>
      <c r="F157" s="1" t="str">
        <f t="shared" si="6"/>
        <v>Closed</v>
      </c>
      <c r="G157" t="str">
        <f t="shared" ca="1" si="7"/>
        <v>Yes</v>
      </c>
      <c r="H157" t="s">
        <v>441</v>
      </c>
      <c r="I157" t="str">
        <f t="shared" ca="1" si="8"/>
        <v>30 Day</v>
      </c>
    </row>
    <row r="158" spans="1:9">
      <c r="A158" t="s">
        <v>400</v>
      </c>
      <c r="B158" t="str">
        <f ca="1">IF(COUNTIFS(Sustainability_Documents!A:A,$A158,Sustainability_Documents!H:H,"Missing")&gt;0,
"Missing Documents",
IF(COUNTIFS(Sustainability_Documents!A:A,$A158,Sustainability_Documents!H:H,"Expired")&gt;0,
"Expired Documents",
IF(COUNTIFS(Sustainability_Documents!A:A,$A158,Sustainability_Documents!H:H,"Expiring Soon")&gt;0,
"Expiring Soon Documents",
"Compliant")))</f>
        <v>Missing Documents</v>
      </c>
      <c r="C158" s="1">
        <v>46079</v>
      </c>
      <c r="D158" t="s">
        <v>442</v>
      </c>
      <c r="E158" t="s">
        <v>444</v>
      </c>
      <c r="F158" s="1">
        <f t="shared" si="6"/>
        <v>46086</v>
      </c>
      <c r="G158" t="str">
        <f t="shared" ca="1" si="7"/>
        <v>Yes</v>
      </c>
      <c r="H158" t="s">
        <v>441</v>
      </c>
      <c r="I158" t="str">
        <f t="shared" ca="1" si="8"/>
        <v>30 Day</v>
      </c>
    </row>
    <row r="159" spans="1:9">
      <c r="A159" t="s">
        <v>401</v>
      </c>
      <c r="B159" t="str">
        <f ca="1">IF(COUNTIFS(Sustainability_Documents!A:A,$A159,Sustainability_Documents!H:H,"Missing")&gt;0,
"Missing Documents",
IF(COUNTIFS(Sustainability_Documents!A:A,$A159,Sustainability_Documents!H:H,"Expired")&gt;0,
"Expired Documents",
IF(COUNTIFS(Sustainability_Documents!A:A,$A159,Sustainability_Documents!H:H,"Expiring Soon")&gt;0,
"Expiring Soon Documents",
"Compliant")))</f>
        <v>Missing Documents</v>
      </c>
      <c r="C159" s="1">
        <v>46077</v>
      </c>
      <c r="D159" t="s">
        <v>442</v>
      </c>
      <c r="E159" t="s">
        <v>445</v>
      </c>
      <c r="F159" s="1" t="str">
        <f t="shared" si="6"/>
        <v>Closed</v>
      </c>
      <c r="G159" t="str">
        <f t="shared" ca="1" si="7"/>
        <v>Yes</v>
      </c>
      <c r="H159" t="s">
        <v>441</v>
      </c>
      <c r="I159" t="str">
        <f t="shared" ca="1" si="8"/>
        <v>30 Day</v>
      </c>
    </row>
    <row r="160" spans="1:9">
      <c r="A160" t="s">
        <v>402</v>
      </c>
      <c r="B160" t="str">
        <f ca="1">IF(COUNTIFS(Sustainability_Documents!A:A,$A160,Sustainability_Documents!H:H,"Missing")&gt;0,
"Missing Documents",
IF(COUNTIFS(Sustainability_Documents!A:A,$A160,Sustainability_Documents!H:H,"Expired")&gt;0,
"Expired Documents",
IF(COUNTIFS(Sustainability_Documents!A:A,$A160,Sustainability_Documents!H:H,"Expiring Soon")&gt;0,
"Expiring Soon Documents",
"Compliant")))</f>
        <v>Missing Documents</v>
      </c>
      <c r="C160" s="1">
        <v>46069</v>
      </c>
      <c r="D160" t="s">
        <v>442</v>
      </c>
      <c r="E160" t="s">
        <v>445</v>
      </c>
      <c r="F160" s="1" t="str">
        <f t="shared" si="6"/>
        <v>Closed</v>
      </c>
      <c r="G160" t="str">
        <f t="shared" ca="1" si="7"/>
        <v>Yes</v>
      </c>
      <c r="H160" t="s">
        <v>441</v>
      </c>
      <c r="I160" t="str">
        <f t="shared" ca="1" si="8"/>
        <v>30 Day</v>
      </c>
    </row>
    <row r="161" spans="1:9">
      <c r="A161" t="s">
        <v>403</v>
      </c>
      <c r="B161" t="str">
        <f ca="1">IF(COUNTIFS(Sustainability_Documents!A:A,$A161,Sustainability_Documents!H:H,"Missing")&gt;0,
"Missing Documents",
IF(COUNTIFS(Sustainability_Documents!A:A,$A161,Sustainability_Documents!H:H,"Expired")&gt;0,
"Expired Documents",
IF(COUNTIFS(Sustainability_Documents!A:A,$A161,Sustainability_Documents!H:H,"Expiring Soon")&gt;0,
"Expiring Soon Documents",
"Compliant")))</f>
        <v>Missing Documents</v>
      </c>
      <c r="C161" s="1">
        <v>46068</v>
      </c>
      <c r="D161" t="s">
        <v>442</v>
      </c>
      <c r="E161" t="s">
        <v>444</v>
      </c>
      <c r="F161" s="1">
        <f t="shared" si="6"/>
        <v>46075</v>
      </c>
      <c r="G161" t="str">
        <f t="shared" ca="1" si="7"/>
        <v>Yes</v>
      </c>
      <c r="H161" t="s">
        <v>441</v>
      </c>
      <c r="I161" t="str">
        <f t="shared" ca="1" si="8"/>
        <v>30 Day</v>
      </c>
    </row>
    <row r="162" spans="1:9">
      <c r="A162" t="s">
        <v>404</v>
      </c>
      <c r="B162" t="str">
        <f ca="1">IF(COUNTIFS(Sustainability_Documents!A:A,$A162,Sustainability_Documents!H:H,"Missing")&gt;0,
"Missing Documents",
IF(COUNTIFS(Sustainability_Documents!A:A,$A162,Sustainability_Documents!H:H,"Expired")&gt;0,
"Expired Documents",
IF(COUNTIFS(Sustainability_Documents!A:A,$A162,Sustainability_Documents!H:H,"Expiring Soon")&gt;0,
"Expiring Soon Documents",
"Compliant")))</f>
        <v>Missing Documents</v>
      </c>
      <c r="C162" s="1">
        <v>46074</v>
      </c>
      <c r="D162" t="s">
        <v>442</v>
      </c>
      <c r="E162" t="s">
        <v>444</v>
      </c>
      <c r="F162" s="1">
        <f t="shared" si="6"/>
        <v>46081</v>
      </c>
      <c r="G162" t="str">
        <f t="shared" ca="1" si="7"/>
        <v>Yes</v>
      </c>
      <c r="H162" t="s">
        <v>441</v>
      </c>
      <c r="I162" t="str">
        <f t="shared" ca="1" si="8"/>
        <v>30 Day</v>
      </c>
    </row>
    <row r="163" spans="1:9">
      <c r="A163" t="s">
        <v>405</v>
      </c>
      <c r="B163" t="str">
        <f ca="1">IF(COUNTIFS(Sustainability_Documents!A:A,$A163,Sustainability_Documents!H:H,"Missing")&gt;0,
"Missing Documents",
IF(COUNTIFS(Sustainability_Documents!A:A,$A163,Sustainability_Documents!H:H,"Expired")&gt;0,
"Expired Documents",
IF(COUNTIFS(Sustainability_Documents!A:A,$A163,Sustainability_Documents!H:H,"Expiring Soon")&gt;0,
"Expiring Soon Documents",
"Compliant")))</f>
        <v>Missing Documents</v>
      </c>
      <c r="C163" s="1">
        <v>46081</v>
      </c>
      <c r="D163" t="s">
        <v>442</v>
      </c>
      <c r="E163" t="s">
        <v>445</v>
      </c>
      <c r="F163" s="1" t="str">
        <f t="shared" si="6"/>
        <v>Closed</v>
      </c>
      <c r="G163" t="str">
        <f t="shared" ca="1" si="7"/>
        <v>Yes</v>
      </c>
      <c r="H163" t="s">
        <v>441</v>
      </c>
      <c r="I163" t="str">
        <f t="shared" ca="1" si="8"/>
        <v>30 Day</v>
      </c>
    </row>
    <row r="164" spans="1:9">
      <c r="A164" t="s">
        <v>406</v>
      </c>
      <c r="B164" t="str">
        <f ca="1">IF(COUNTIFS(Sustainability_Documents!A:A,$A164,Sustainability_Documents!H:H,"Missing")&gt;0,
"Missing Documents",
IF(COUNTIFS(Sustainability_Documents!A:A,$A164,Sustainability_Documents!H:H,"Expired")&gt;0,
"Expired Documents",
IF(COUNTIFS(Sustainability_Documents!A:A,$A164,Sustainability_Documents!H:H,"Expiring Soon")&gt;0,
"Expiring Soon Documents",
"Compliant")))</f>
        <v>Missing Documents</v>
      </c>
      <c r="C164" s="1">
        <v>46075</v>
      </c>
      <c r="D164" t="s">
        <v>442</v>
      </c>
      <c r="E164" t="s">
        <v>445</v>
      </c>
      <c r="F164" s="1" t="str">
        <f t="shared" si="6"/>
        <v>Closed</v>
      </c>
      <c r="G164" t="str">
        <f t="shared" ca="1" si="7"/>
        <v>Yes</v>
      </c>
      <c r="H164" t="s">
        <v>441</v>
      </c>
      <c r="I164" t="str">
        <f t="shared" ca="1" si="8"/>
        <v>30 Day</v>
      </c>
    </row>
    <row r="165" spans="1:9">
      <c r="A165" t="s">
        <v>407</v>
      </c>
      <c r="B165" t="str">
        <f ca="1">IF(COUNTIFS(Sustainability_Documents!A:A,$A165,Sustainability_Documents!H:H,"Missing")&gt;0,
"Missing Documents",
IF(COUNTIFS(Sustainability_Documents!A:A,$A165,Sustainability_Documents!H:H,"Expired")&gt;0,
"Expired Documents",
IF(COUNTIFS(Sustainability_Documents!A:A,$A165,Sustainability_Documents!H:H,"Expiring Soon")&gt;0,
"Expiring Soon Documents",
"Compliant")))</f>
        <v>Missing Documents</v>
      </c>
      <c r="C165" s="1">
        <v>46077</v>
      </c>
      <c r="D165" t="s">
        <v>442</v>
      </c>
      <c r="E165" t="s">
        <v>445</v>
      </c>
      <c r="F165" s="1" t="str">
        <f t="shared" si="6"/>
        <v>Closed</v>
      </c>
      <c r="G165" t="str">
        <f t="shared" ca="1" si="7"/>
        <v>Yes</v>
      </c>
      <c r="H165" t="s">
        <v>441</v>
      </c>
      <c r="I165" t="str">
        <f t="shared" ca="1" si="8"/>
        <v>30 Day</v>
      </c>
    </row>
    <row r="166" spans="1:9">
      <c r="A166" t="s">
        <v>408</v>
      </c>
      <c r="B166" t="str">
        <f ca="1">IF(COUNTIFS(Sustainability_Documents!A:A,$A166,Sustainability_Documents!H:H,"Missing")&gt;0,
"Missing Documents",
IF(COUNTIFS(Sustainability_Documents!A:A,$A166,Sustainability_Documents!H:H,"Expired")&gt;0,
"Expired Documents",
IF(COUNTIFS(Sustainability_Documents!A:A,$A166,Sustainability_Documents!H:H,"Expiring Soon")&gt;0,
"Expiring Soon Documents",
"Compliant")))</f>
        <v>Missing Documents</v>
      </c>
      <c r="C166" s="1">
        <v>46073</v>
      </c>
      <c r="D166" t="s">
        <v>442</v>
      </c>
      <c r="E166" t="s">
        <v>444</v>
      </c>
      <c r="F166" s="1">
        <f t="shared" si="6"/>
        <v>46080</v>
      </c>
      <c r="G166" t="str">
        <f t="shared" ca="1" si="7"/>
        <v>Yes</v>
      </c>
      <c r="H166" t="s">
        <v>441</v>
      </c>
      <c r="I166" t="str">
        <f t="shared" ca="1" si="8"/>
        <v>30 Day</v>
      </c>
    </row>
    <row r="167" spans="1:9">
      <c r="A167" t="s">
        <v>409</v>
      </c>
      <c r="B167" t="str">
        <f ca="1">IF(COUNTIFS(Sustainability_Documents!A:A,$A167,Sustainability_Documents!H:H,"Missing")&gt;0,
"Missing Documents",
IF(COUNTIFS(Sustainability_Documents!A:A,$A167,Sustainability_Documents!H:H,"Expired")&gt;0,
"Expired Documents",
IF(COUNTIFS(Sustainability_Documents!A:A,$A167,Sustainability_Documents!H:H,"Expiring Soon")&gt;0,
"Expiring Soon Documents",
"Compliant")))</f>
        <v>Missing Documents</v>
      </c>
      <c r="C167" s="1">
        <v>46069</v>
      </c>
      <c r="D167" t="s">
        <v>442</v>
      </c>
      <c r="E167" t="s">
        <v>445</v>
      </c>
      <c r="F167" s="1" t="str">
        <f t="shared" si="6"/>
        <v>Closed</v>
      </c>
      <c r="G167" t="str">
        <f t="shared" ca="1" si="7"/>
        <v>Yes</v>
      </c>
      <c r="H167" t="s">
        <v>441</v>
      </c>
      <c r="I167" t="str">
        <f t="shared" ca="1" si="8"/>
        <v>30 Day</v>
      </c>
    </row>
    <row r="168" spans="1:9">
      <c r="A168" t="s">
        <v>410</v>
      </c>
      <c r="B168" t="str">
        <f ca="1">IF(COUNTIFS(Sustainability_Documents!A:A,$A168,Sustainability_Documents!H:H,"Missing")&gt;0,
"Missing Documents",
IF(COUNTIFS(Sustainability_Documents!A:A,$A168,Sustainability_Documents!H:H,"Expired")&gt;0,
"Expired Documents",
IF(COUNTIFS(Sustainability_Documents!A:A,$A168,Sustainability_Documents!H:H,"Expiring Soon")&gt;0,
"Expiring Soon Documents",
"Compliant")))</f>
        <v>Missing Documents</v>
      </c>
      <c r="C168" s="1">
        <v>46073</v>
      </c>
      <c r="D168" t="s">
        <v>442</v>
      </c>
      <c r="E168" t="s">
        <v>444</v>
      </c>
      <c r="F168" s="1">
        <f t="shared" si="6"/>
        <v>46080</v>
      </c>
      <c r="G168" t="str">
        <f t="shared" ca="1" si="7"/>
        <v>Yes</v>
      </c>
      <c r="H168" t="s">
        <v>441</v>
      </c>
      <c r="I168" t="str">
        <f t="shared" ca="1" si="8"/>
        <v>30 Day</v>
      </c>
    </row>
    <row r="169" spans="1:9">
      <c r="A169" t="s">
        <v>411</v>
      </c>
      <c r="B169" t="str">
        <f ca="1">IF(COUNTIFS(Sustainability_Documents!A:A,$A169,Sustainability_Documents!H:H,"Missing")&gt;0,
"Missing Documents",
IF(COUNTIFS(Sustainability_Documents!A:A,$A169,Sustainability_Documents!H:H,"Expired")&gt;0,
"Expired Documents",
IF(COUNTIFS(Sustainability_Documents!A:A,$A169,Sustainability_Documents!H:H,"Expiring Soon")&gt;0,
"Expiring Soon Documents",
"Compliant")))</f>
        <v>Missing Documents</v>
      </c>
      <c r="C169" s="1">
        <v>46074</v>
      </c>
      <c r="D169" t="s">
        <v>442</v>
      </c>
      <c r="E169" t="s">
        <v>444</v>
      </c>
      <c r="F169" s="1">
        <f t="shared" si="6"/>
        <v>46081</v>
      </c>
      <c r="G169" t="str">
        <f t="shared" ca="1" si="7"/>
        <v>Yes</v>
      </c>
      <c r="H169" t="s">
        <v>441</v>
      </c>
      <c r="I169" t="str">
        <f t="shared" ca="1" si="8"/>
        <v>30 Day</v>
      </c>
    </row>
    <row r="170" spans="1:9">
      <c r="A170" t="s">
        <v>412</v>
      </c>
      <c r="B170" t="str">
        <f ca="1">IF(COUNTIFS(Sustainability_Documents!A:A,$A170,Sustainability_Documents!H:H,"Missing")&gt;0,
"Missing Documents",
IF(COUNTIFS(Sustainability_Documents!A:A,$A170,Sustainability_Documents!H:H,"Expired")&gt;0,
"Expired Documents",
IF(COUNTIFS(Sustainability_Documents!A:A,$A170,Sustainability_Documents!H:H,"Expiring Soon")&gt;0,
"Expiring Soon Documents",
"Compliant")))</f>
        <v>Missing Documents</v>
      </c>
      <c r="C170" s="1">
        <v>46073</v>
      </c>
      <c r="D170" t="s">
        <v>442</v>
      </c>
      <c r="E170" t="s">
        <v>444</v>
      </c>
      <c r="F170" s="1">
        <f t="shared" si="6"/>
        <v>46080</v>
      </c>
      <c r="G170" t="str">
        <f t="shared" ca="1" si="7"/>
        <v>Yes</v>
      </c>
      <c r="H170" t="s">
        <v>441</v>
      </c>
      <c r="I170" t="str">
        <f t="shared" ca="1" si="8"/>
        <v>30 Day</v>
      </c>
    </row>
    <row r="171" spans="1:9">
      <c r="A171" t="s">
        <v>413</v>
      </c>
      <c r="B171" t="str">
        <f ca="1">IF(COUNTIFS(Sustainability_Documents!A:A,$A171,Sustainability_Documents!H:H,"Missing")&gt;0,
"Missing Documents",
IF(COUNTIFS(Sustainability_Documents!A:A,$A171,Sustainability_Documents!H:H,"Expired")&gt;0,
"Expired Documents",
IF(COUNTIFS(Sustainability_Documents!A:A,$A171,Sustainability_Documents!H:H,"Expiring Soon")&gt;0,
"Expiring Soon Documents",
"Compliant")))</f>
        <v>Missing Documents</v>
      </c>
      <c r="C171" s="1">
        <v>46079</v>
      </c>
      <c r="D171" t="s">
        <v>442</v>
      </c>
      <c r="E171" t="s">
        <v>444</v>
      </c>
      <c r="F171" s="1">
        <f t="shared" si="6"/>
        <v>46086</v>
      </c>
      <c r="G171" t="str">
        <f t="shared" ca="1" si="7"/>
        <v>Yes</v>
      </c>
      <c r="H171" t="s">
        <v>441</v>
      </c>
      <c r="I171" t="str">
        <f t="shared" ca="1" si="8"/>
        <v>30 Day</v>
      </c>
    </row>
    <row r="172" spans="1:9">
      <c r="A172" t="s">
        <v>414</v>
      </c>
      <c r="B172" t="str">
        <f ca="1">IF(COUNTIFS(Sustainability_Documents!A:A,$A172,Sustainability_Documents!H:H,"Missing")&gt;0,
"Missing Documents",
IF(COUNTIFS(Sustainability_Documents!A:A,$A172,Sustainability_Documents!H:H,"Expired")&gt;0,
"Expired Documents",
IF(COUNTIFS(Sustainability_Documents!A:A,$A172,Sustainability_Documents!H:H,"Expiring Soon")&gt;0,
"Expiring Soon Documents",
"Compliant")))</f>
        <v>Missing Documents</v>
      </c>
      <c r="C172" s="1">
        <v>46078</v>
      </c>
      <c r="D172" t="s">
        <v>442</v>
      </c>
      <c r="E172" t="s">
        <v>445</v>
      </c>
      <c r="F172" s="1" t="str">
        <f t="shared" si="6"/>
        <v>Closed</v>
      </c>
      <c r="G172" t="str">
        <f t="shared" ca="1" si="7"/>
        <v>Yes</v>
      </c>
      <c r="H172" t="s">
        <v>441</v>
      </c>
      <c r="I172" t="str">
        <f t="shared" ca="1" si="8"/>
        <v>30 Day</v>
      </c>
    </row>
    <row r="173" spans="1:9">
      <c r="A173" t="s">
        <v>415</v>
      </c>
      <c r="B173" t="str">
        <f ca="1">IF(COUNTIFS(Sustainability_Documents!A:A,$A173,Sustainability_Documents!H:H,"Missing")&gt;0,
"Missing Documents",
IF(COUNTIFS(Sustainability_Documents!A:A,$A173,Sustainability_Documents!H:H,"Expired")&gt;0,
"Expired Documents",
IF(COUNTIFS(Sustainability_Documents!A:A,$A173,Sustainability_Documents!H:H,"Expiring Soon")&gt;0,
"Expiring Soon Documents",
"Compliant")))</f>
        <v>Missing Documents</v>
      </c>
      <c r="C173" s="1">
        <v>46071</v>
      </c>
      <c r="D173" t="s">
        <v>442</v>
      </c>
      <c r="E173" t="s">
        <v>445</v>
      </c>
      <c r="F173" s="1" t="str">
        <f t="shared" si="6"/>
        <v>Closed</v>
      </c>
      <c r="G173" t="str">
        <f t="shared" ca="1" si="7"/>
        <v>Yes</v>
      </c>
      <c r="H173" t="s">
        <v>441</v>
      </c>
      <c r="I173" t="str">
        <f t="shared" ca="1" si="8"/>
        <v>30 Day</v>
      </c>
    </row>
    <row r="174" spans="1:9">
      <c r="A174" t="s">
        <v>416</v>
      </c>
      <c r="B174" t="str">
        <f ca="1">IF(COUNTIFS(Sustainability_Documents!A:A,$A174,Sustainability_Documents!H:H,"Missing")&gt;0,
"Missing Documents",
IF(COUNTIFS(Sustainability_Documents!A:A,$A174,Sustainability_Documents!H:H,"Expired")&gt;0,
"Expired Documents",
IF(COUNTIFS(Sustainability_Documents!A:A,$A174,Sustainability_Documents!H:H,"Expiring Soon")&gt;0,
"Expiring Soon Documents",
"Compliant")))</f>
        <v>Missing Documents</v>
      </c>
      <c r="C174" s="1">
        <v>46079</v>
      </c>
      <c r="D174" t="s">
        <v>442</v>
      </c>
      <c r="E174" t="s">
        <v>446</v>
      </c>
      <c r="F174" s="1">
        <f t="shared" si="6"/>
        <v>46082</v>
      </c>
      <c r="G174" t="str">
        <f t="shared" ca="1" si="7"/>
        <v>Yes</v>
      </c>
      <c r="H174" t="s">
        <v>441</v>
      </c>
      <c r="I174" t="str">
        <f t="shared" ca="1" si="8"/>
        <v>30 Day</v>
      </c>
    </row>
    <row r="175" spans="1:9">
      <c r="A175" t="s">
        <v>417</v>
      </c>
      <c r="B175" t="str">
        <f ca="1">IF(COUNTIFS(Sustainability_Documents!A:A,$A175,Sustainability_Documents!H:H,"Missing")&gt;0,
"Missing Documents",
IF(COUNTIFS(Sustainability_Documents!A:A,$A175,Sustainability_Documents!H:H,"Expired")&gt;0,
"Expired Documents",
IF(COUNTIFS(Sustainability_Documents!A:A,$A175,Sustainability_Documents!H:H,"Expiring Soon")&gt;0,
"Expiring Soon Documents",
"Compliant")))</f>
        <v>Missing Documents</v>
      </c>
      <c r="C175" s="1">
        <v>46071</v>
      </c>
      <c r="D175" t="s">
        <v>442</v>
      </c>
      <c r="E175" t="s">
        <v>445</v>
      </c>
      <c r="F175" s="1" t="str">
        <f t="shared" si="6"/>
        <v>Closed</v>
      </c>
      <c r="G175" t="str">
        <f t="shared" ca="1" si="7"/>
        <v>Yes</v>
      </c>
      <c r="H175" t="s">
        <v>441</v>
      </c>
      <c r="I175" t="str">
        <f t="shared" ca="1" si="8"/>
        <v>30 Day</v>
      </c>
    </row>
    <row r="176" spans="1:9">
      <c r="A176" t="s">
        <v>418</v>
      </c>
      <c r="B176" t="str">
        <f ca="1">IF(COUNTIFS(Sustainability_Documents!A:A,$A176,Sustainability_Documents!H:H,"Missing")&gt;0,
"Missing Documents",
IF(COUNTIFS(Sustainability_Documents!A:A,$A176,Sustainability_Documents!H:H,"Expired")&gt;0,
"Expired Documents",
IF(COUNTIFS(Sustainability_Documents!A:A,$A176,Sustainability_Documents!H:H,"Expiring Soon")&gt;0,
"Expiring Soon Documents",
"Compliant")))</f>
        <v>Missing Documents</v>
      </c>
      <c r="C176" s="1">
        <v>46080</v>
      </c>
      <c r="D176" t="s">
        <v>442</v>
      </c>
      <c r="E176" t="s">
        <v>445</v>
      </c>
      <c r="F176" s="1" t="str">
        <f t="shared" si="6"/>
        <v>Closed</v>
      </c>
      <c r="G176" t="str">
        <f t="shared" ca="1" si="7"/>
        <v>Yes</v>
      </c>
      <c r="H176" t="s">
        <v>441</v>
      </c>
      <c r="I176" t="str">
        <f t="shared" ca="1" si="8"/>
        <v>30 Day</v>
      </c>
    </row>
    <row r="177" spans="1:9">
      <c r="A177" t="s">
        <v>419</v>
      </c>
      <c r="B177" t="str">
        <f ca="1">IF(COUNTIFS(Sustainability_Documents!A:A,$A177,Sustainability_Documents!H:H,"Missing")&gt;0,
"Missing Documents",
IF(COUNTIFS(Sustainability_Documents!A:A,$A177,Sustainability_Documents!H:H,"Expired")&gt;0,
"Expired Documents",
IF(COUNTIFS(Sustainability_Documents!A:A,$A177,Sustainability_Documents!H:H,"Expiring Soon")&gt;0,
"Expiring Soon Documents",
"Compliant")))</f>
        <v>Missing Documents</v>
      </c>
      <c r="C177" s="1">
        <v>46079</v>
      </c>
      <c r="D177" t="s">
        <v>442</v>
      </c>
      <c r="E177" t="s">
        <v>445</v>
      </c>
      <c r="F177" s="1" t="str">
        <f t="shared" si="6"/>
        <v>Closed</v>
      </c>
      <c r="G177" t="str">
        <f t="shared" ca="1" si="7"/>
        <v>Yes</v>
      </c>
      <c r="H177" t="s">
        <v>441</v>
      </c>
      <c r="I177" t="str">
        <f t="shared" ca="1" si="8"/>
        <v>30 Day</v>
      </c>
    </row>
    <row r="178" spans="1:9">
      <c r="C178" s="1"/>
      <c r="F178" s="1" t="str">
        <f t="shared" ref="F178:F194" si="9">IF($A178="","",
IF($E178="Pending",$C178+7,
IF($E178="Escalated",$C178+3,"")))</f>
        <v/>
      </c>
      <c r="G178" t="str">
        <f t="shared" si="7"/>
        <v/>
      </c>
    </row>
    <row r="179" spans="1:9">
      <c r="C179" s="1"/>
      <c r="F179" s="1" t="str">
        <f t="shared" si="9"/>
        <v/>
      </c>
      <c r="G179" t="str">
        <f t="shared" si="7"/>
        <v/>
      </c>
    </row>
    <row r="180" spans="1:9">
      <c r="C180" s="1"/>
      <c r="F180" s="1" t="str">
        <f t="shared" si="9"/>
        <v/>
      </c>
      <c r="G180" t="str">
        <f t="shared" si="7"/>
        <v/>
      </c>
    </row>
    <row r="181" spans="1:9">
      <c r="C181" s="1"/>
      <c r="F181" s="1" t="str">
        <f t="shared" si="9"/>
        <v/>
      </c>
      <c r="G181" t="str">
        <f t="shared" si="7"/>
        <v/>
      </c>
    </row>
    <row r="182" spans="1:9">
      <c r="C182" s="1"/>
      <c r="F182" s="1" t="str">
        <f t="shared" si="9"/>
        <v/>
      </c>
      <c r="G182" t="str">
        <f t="shared" si="7"/>
        <v/>
      </c>
    </row>
    <row r="183" spans="1:9">
      <c r="C183" s="1"/>
      <c r="F183" s="1" t="str">
        <f t="shared" si="9"/>
        <v/>
      </c>
      <c r="G183" t="str">
        <f t="shared" si="7"/>
        <v/>
      </c>
    </row>
    <row r="184" spans="1:9">
      <c r="C184" s="1"/>
      <c r="F184" s="1" t="str">
        <f t="shared" si="9"/>
        <v/>
      </c>
      <c r="G184" t="str">
        <f t="shared" si="7"/>
        <v/>
      </c>
    </row>
    <row r="185" spans="1:9">
      <c r="C185" s="1"/>
      <c r="F185" s="1" t="str">
        <f t="shared" si="9"/>
        <v/>
      </c>
      <c r="G185" t="str">
        <f t="shared" si="7"/>
        <v/>
      </c>
    </row>
    <row r="186" spans="1:9">
      <c r="C186" s="1"/>
      <c r="F186" s="1" t="str">
        <f t="shared" si="9"/>
        <v/>
      </c>
      <c r="G186" t="str">
        <f t="shared" si="7"/>
        <v/>
      </c>
    </row>
    <row r="187" spans="1:9">
      <c r="C187" s="1"/>
      <c r="F187" s="1" t="str">
        <f t="shared" si="9"/>
        <v/>
      </c>
      <c r="G187" t="str">
        <f t="shared" si="7"/>
        <v/>
      </c>
    </row>
    <row r="188" spans="1:9">
      <c r="C188" s="1"/>
      <c r="F188" s="1" t="str">
        <f t="shared" si="9"/>
        <v/>
      </c>
      <c r="G188" t="str">
        <f t="shared" si="7"/>
        <v/>
      </c>
    </row>
    <row r="189" spans="1:9">
      <c r="C189" s="1"/>
      <c r="F189" s="1" t="str">
        <f t="shared" si="9"/>
        <v/>
      </c>
      <c r="G189" t="str">
        <f t="shared" si="7"/>
        <v/>
      </c>
    </row>
    <row r="190" spans="1:9">
      <c r="C190" s="1"/>
      <c r="F190" s="1" t="str">
        <f t="shared" si="9"/>
        <v/>
      </c>
      <c r="G190" t="str">
        <f t="shared" si="7"/>
        <v/>
      </c>
    </row>
    <row r="191" spans="1:9">
      <c r="C191" s="1"/>
      <c r="F191" s="1" t="str">
        <f t="shared" si="9"/>
        <v/>
      </c>
      <c r="G191" t="str">
        <f t="shared" si="7"/>
        <v/>
      </c>
    </row>
    <row r="192" spans="1:9">
      <c r="C192" s="1"/>
      <c r="F192" s="1" t="str">
        <f t="shared" si="9"/>
        <v/>
      </c>
      <c r="G192" t="str">
        <f t="shared" si="7"/>
        <v/>
      </c>
    </row>
    <row r="193" spans="3:7">
      <c r="C193" s="1"/>
      <c r="F193" s="1" t="str">
        <f t="shared" si="9"/>
        <v/>
      </c>
      <c r="G193" t="str">
        <f t="shared" si="7"/>
        <v/>
      </c>
    </row>
    <row r="194" spans="3:7">
      <c r="C194" s="1"/>
      <c r="F194" s="1" t="str">
        <f t="shared" si="9"/>
        <v/>
      </c>
      <c r="G194" t="str">
        <f t="shared" si="7"/>
        <v/>
      </c>
    </row>
    <row r="195" spans="3:7">
      <c r="C195" s="1"/>
      <c r="F195" s="1" t="str">
        <f t="shared" ref="F195:F200" si="10">IF($A195="","",
IF($E195="Pending",$C195+7,
IF($E195="Escalated",$C195+3,"")))</f>
        <v/>
      </c>
      <c r="G195" t="str">
        <f t="shared" ref="G195:G200" si="11">IF($A195="","",
IF(OR($E195="Escalated",$B195="Missing Documents",$B195="Expired Documents",$B195="Unresolved High Incident"),"Yes","No"))</f>
        <v/>
      </c>
    </row>
    <row r="196" spans="3:7">
      <c r="C196" s="1"/>
      <c r="F196" s="1" t="str">
        <f t="shared" si="10"/>
        <v/>
      </c>
      <c r="G196" t="str">
        <f t="shared" si="11"/>
        <v/>
      </c>
    </row>
    <row r="197" spans="3:7">
      <c r="C197" s="1"/>
      <c r="F197" s="1" t="str">
        <f t="shared" si="10"/>
        <v/>
      </c>
      <c r="G197" t="str">
        <f t="shared" si="11"/>
        <v/>
      </c>
    </row>
    <row r="198" spans="3:7">
      <c r="C198" s="1"/>
      <c r="F198" s="1" t="str">
        <f t="shared" si="10"/>
        <v/>
      </c>
      <c r="G198" t="str">
        <f t="shared" si="11"/>
        <v/>
      </c>
    </row>
    <row r="199" spans="3:7">
      <c r="C199" s="1"/>
      <c r="F199" s="1" t="str">
        <f t="shared" si="10"/>
        <v/>
      </c>
      <c r="G199" t="str">
        <f t="shared" si="11"/>
        <v/>
      </c>
    </row>
    <row r="200" spans="3:7">
      <c r="C200" s="1"/>
      <c r="F200" s="1" t="str">
        <f t="shared" si="10"/>
        <v/>
      </c>
      <c r="G200" t="str">
        <f t="shared" si="11"/>
        <v/>
      </c>
    </row>
  </sheetData>
  <autoFilter ref="A1:H705" xr:uid="{36E84B4C-B3D7-4EF3-84E0-AEF9D7D5421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9754-A3DA-486C-8A61-E9F4DBD173A5}">
  <dimension ref="A1:R401"/>
  <sheetViews>
    <sheetView zoomScaleNormal="100" workbookViewId="0">
      <selection activeCell="O2" sqref="O2"/>
    </sheetView>
  </sheetViews>
  <sheetFormatPr defaultRowHeight="14.5"/>
  <cols>
    <col min="1" max="1" width="14.26953125" bestFit="1" customWidth="1"/>
    <col min="2" max="2" width="17.6328125" bestFit="1" customWidth="1"/>
    <col min="3" max="3" width="20.90625" bestFit="1" customWidth="1"/>
    <col min="4" max="4" width="11.36328125" bestFit="1" customWidth="1"/>
    <col min="5" max="5" width="18.453125" bestFit="1" customWidth="1"/>
    <col min="6" max="6" width="19.7265625" bestFit="1" customWidth="1"/>
    <col min="7" max="8" width="11.90625" bestFit="1" customWidth="1"/>
    <col min="9" max="9" width="16.36328125" bestFit="1" customWidth="1"/>
    <col min="10" max="10" width="18.26953125" bestFit="1" customWidth="1"/>
    <col min="11" max="11" width="20.1796875" bestFit="1" customWidth="1"/>
    <col min="12" max="12" width="20.453125" bestFit="1" customWidth="1"/>
    <col min="13" max="13" width="20.08984375" bestFit="1" customWidth="1"/>
    <col min="14" max="14" width="22.90625" bestFit="1" customWidth="1"/>
    <col min="15" max="15" width="28.54296875" bestFit="1" customWidth="1"/>
    <col min="16" max="16" width="13.1796875" customWidth="1"/>
    <col min="17" max="17" width="21.6328125" customWidth="1"/>
    <col min="18" max="18" width="16.81640625" bestFit="1" customWidth="1"/>
  </cols>
  <sheetData>
    <row r="1" spans="1:18">
      <c r="A1" s="4" t="s">
        <v>450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451</v>
      </c>
      <c r="H1" s="4" t="s">
        <v>452</v>
      </c>
      <c r="I1" s="4" t="s">
        <v>453</v>
      </c>
      <c r="J1" s="4" t="s">
        <v>454</v>
      </c>
      <c r="K1" s="4" t="s">
        <v>455</v>
      </c>
      <c r="L1" s="4" t="s">
        <v>461</v>
      </c>
      <c r="M1" s="4" t="s">
        <v>462</v>
      </c>
      <c r="N1" t="s">
        <v>456</v>
      </c>
      <c r="O1" s="4" t="s">
        <v>457</v>
      </c>
      <c r="P1" s="4" t="s">
        <v>458</v>
      </c>
      <c r="Q1" s="4" t="s">
        <v>459</v>
      </c>
      <c r="R1" s="4" t="s">
        <v>460</v>
      </c>
    </row>
    <row r="2" spans="1:18">
      <c r="A2" t="str" cm="1">
        <f t="array" ref="A2">_xlfn._xlws.SORT(Vendor_Master!A2)</f>
        <v>VND-001</v>
      </c>
      <c r="B2" t="str">
        <f>_xlfn.XLOOKUP(Compliance_Sheet!A2,Vendor_Master!A2,Vendor_Master!B2,"")</f>
        <v>Vendor_001</v>
      </c>
      <c r="C2" t="str">
        <f>_xlfn.XLOOKUP(A2,Vendor_Master!A2,Vendor_Master!C2,"")</f>
        <v>Waste Services</v>
      </c>
      <c r="D2" t="str">
        <f>_xlfn.XLOOKUP(A2,Vendor_Master!A2,Vendor_Master!D2,"")</f>
        <v>East</v>
      </c>
      <c r="E2">
        <f>_xlfn.XLOOKUP(A2,Vendor_Master!A2,Vendor_Master!E2,0)</f>
        <v>3195278</v>
      </c>
      <c r="F2" t="str">
        <f>_xlfn.XLOOKUP(A2,Vendor_Master!A2,Vendor_Master!H2,"")</f>
        <v>contact1@vendor.com</v>
      </c>
      <c r="G2">
        <f ca="1">COUNTIFS(Sustainability_Documents!$A:$A,$A2,Sustainability_Documents!$H:$H,"Missing")</f>
        <v>0</v>
      </c>
      <c r="H2">
        <f ca="1">COUNTIFS(Sustainability_Documents!$A:$A,$A2,Sustainability_Documents!$H:$H,"Expired")</f>
        <v>0</v>
      </c>
      <c r="I2">
        <f ca="1">COUNTIFS(Sustainability_Documents!$A:$A,$A2,Sustainability_Documents!$H:$H,"Expiring Soon")</f>
        <v>0</v>
      </c>
      <c r="J2">
        <f>COUNTIFS(Sustainability_Documents!$A:$A,$A2,Sustainability_Documents!$C:$C,"Yes")</f>
        <v>4</v>
      </c>
      <c r="K2">
        <f ca="1">IF($J2=0,"",($J2-$G2-$H2)/$J2)</f>
        <v>1</v>
      </c>
      <c r="L2">
        <f>COUNTIFS(OutReach_Log!$A:$A,$A2,OutReach_Log!$G:$G,"Yes")</f>
        <v>0</v>
      </c>
      <c r="M2">
        <f>COUNTIFS(OutReach_Log!$A:$A,$A2,OutReach_Log!$E:$E,"Pending")
 +COUNTIFS(OutReach_Log!$A:$A,$A2,OutReach_Log!$E:$E,"Escalated")</f>
        <v>0</v>
      </c>
      <c r="N2">
        <f>COUNTIFS(Incident_Log!$A:$A,$A2,Incident_Log!$C:$C,"High",Incident_Log!$E:$E,"No")</f>
        <v>0</v>
      </c>
      <c r="O2" t="str">
        <f ca="1">IF(OR(H2&gt;0,I2&gt;0,N2&gt;0),
   "High Attention Required",
   IF(J2&gt;0,
      "Attention Required",
      "Fully Compliant"
   )
)</f>
        <v>Attention Required</v>
      </c>
      <c r="P2">
        <f ca="1">($G2*40)+($H2*30)+($I2*10)+($N2*50)+IF($L2&gt;0,20,0)</f>
        <v>0</v>
      </c>
      <c r="Q2">
        <f ca="1">E2*(P2/100)</f>
        <v>0</v>
      </c>
      <c r="R2">
        <f ca="1">_xlfn.RANK.EQ($Q2,$Q$2:$Q$401,0)</f>
        <v>180</v>
      </c>
    </row>
    <row r="3" spans="1:18">
      <c r="A3" t="str" cm="1">
        <f t="array" ref="A3">_xlfn._xlws.SORT(Vendor_Master!A3)</f>
        <v>VND-002</v>
      </c>
      <c r="B3" t="str">
        <f>_xlfn.XLOOKUP(Compliance_Sheet!A3,Vendor_Master!A3,Vendor_Master!B3,"")</f>
        <v>Vendor_002</v>
      </c>
      <c r="C3" t="str">
        <f>_xlfn.XLOOKUP(A3,Vendor_Master!A3,Vendor_Master!C3,"")</f>
        <v>Waste Services</v>
      </c>
      <c r="D3" t="str">
        <f>_xlfn.XLOOKUP(A3,Vendor_Master!A3,Vendor_Master!D3,"")</f>
        <v>East</v>
      </c>
      <c r="E3">
        <f>_xlfn.XLOOKUP(A3,Vendor_Master!A3,Vendor_Master!E3,0)</f>
        <v>1899565</v>
      </c>
      <c r="F3" t="str">
        <f>_xlfn.XLOOKUP(A3,Vendor_Master!A3,Vendor_Master!H3,"")</f>
        <v>contact2@vendor.com</v>
      </c>
      <c r="G3">
        <f ca="1">COUNTIFS(Sustainability_Documents!$A:$A,$A3,Sustainability_Documents!$H:$H,"Missing")</f>
        <v>0</v>
      </c>
      <c r="H3">
        <f ca="1">COUNTIFS(Sustainability_Documents!$A:$A,$A3,Sustainability_Documents!$H:$H,"Expired")</f>
        <v>0</v>
      </c>
      <c r="I3">
        <f ca="1">COUNTIFS(Sustainability_Documents!$A:$A,$A3,Sustainability_Documents!$H:$H,"Expiring Soon")</f>
        <v>0</v>
      </c>
      <c r="J3">
        <f>COUNTIFS(Sustainability_Documents!$A:$A,$A3,Sustainability_Documents!$C:$C,"Yes")</f>
        <v>4</v>
      </c>
      <c r="K3">
        <f ca="1">IF($J3=0,"",($J3-$G3-$H3)/$J3)</f>
        <v>1</v>
      </c>
      <c r="L3">
        <f>COUNTIFS(OutReach_Log!$A:$A,$A3,OutReach_Log!$G:$G,"Yes")</f>
        <v>0</v>
      </c>
      <c r="M3">
        <f>COUNTIFS(OutReach_Log!$A:$A,$A3,OutReach_Log!$E:$E,"Pending")
 +COUNTIFS(OutReach_Log!$A:$A,$A3,OutReach_Log!$E:$E,"Escalated")</f>
        <v>0</v>
      </c>
      <c r="N3">
        <f>COUNTIFS(Incident_Log!$A:$A,$A3,Incident_Log!$C:$C,"High",Incident_Log!$E:$E,"No")</f>
        <v>0</v>
      </c>
      <c r="O3" t="str">
        <f t="shared" ref="O3:O66" ca="1" si="0">IF(OR(H3&gt;0,I3&gt;0,N3&gt;0),
   "High Attention Required",
   IF(J3&gt;0,
      "Attention Required",
      "Fully Compliant"
   )
)</f>
        <v>Attention Required</v>
      </c>
      <c r="P3">
        <f ca="1">($G3*40)+($H3*30)+($I3*10)+($N3*50)+IF($L3&gt;0,20,0)</f>
        <v>0</v>
      </c>
      <c r="Q3">
        <f ca="1">E3*(P3/100)</f>
        <v>0</v>
      </c>
      <c r="R3">
        <f ca="1">_xlfn.RANK.EQ($Q3,$Q$2:$Q$401,0)</f>
        <v>180</v>
      </c>
    </row>
    <row r="4" spans="1:18">
      <c r="A4" t="str" cm="1">
        <f t="array" ref="A4">_xlfn._xlws.SORT(Vendor_Master!A4)</f>
        <v>VND-003</v>
      </c>
      <c r="B4" t="str">
        <f>_xlfn.XLOOKUP(Compliance_Sheet!A4,Vendor_Master!A4,Vendor_Master!B4,"")</f>
        <v>Vendor_003</v>
      </c>
      <c r="C4" t="str">
        <f>_xlfn.XLOOKUP(A4,Vendor_Master!A4,Vendor_Master!C4,"")</f>
        <v>Waste Services</v>
      </c>
      <c r="D4" t="str">
        <f>_xlfn.XLOOKUP(A4,Vendor_Master!A4,Vendor_Master!D4,"")</f>
        <v>East</v>
      </c>
      <c r="E4">
        <f>_xlfn.XLOOKUP(A4,Vendor_Master!A4,Vendor_Master!E4,0)</f>
        <v>3318457</v>
      </c>
      <c r="F4" t="str">
        <f>_xlfn.XLOOKUP(A4,Vendor_Master!A4,Vendor_Master!H4,"")</f>
        <v>contact3@vendor.com</v>
      </c>
      <c r="G4">
        <f ca="1">COUNTIFS(Sustainability_Documents!$A:$A,$A4,Sustainability_Documents!$H:$H,"Missing")</f>
        <v>0</v>
      </c>
      <c r="H4">
        <f ca="1">COUNTIFS(Sustainability_Documents!$A:$A,$A4,Sustainability_Documents!$H:$H,"Expired")</f>
        <v>0</v>
      </c>
      <c r="I4">
        <f ca="1">COUNTIFS(Sustainability_Documents!$A:$A,$A4,Sustainability_Documents!$H:$H,"Expiring Soon")</f>
        <v>0</v>
      </c>
      <c r="J4">
        <f>COUNTIFS(Sustainability_Documents!$A:$A,$A4,Sustainability_Documents!$C:$C,"Yes")</f>
        <v>4</v>
      </c>
      <c r="K4">
        <f ca="1">IF($J4=0,"",($J4-$G4-$H4)/$J4)</f>
        <v>1</v>
      </c>
      <c r="L4">
        <f>COUNTIFS(OutReach_Log!$A:$A,$A4,OutReach_Log!$G:$G,"Yes")</f>
        <v>0</v>
      </c>
      <c r="M4">
        <f>COUNTIFS(OutReach_Log!$A:$A,$A4,OutReach_Log!$E:$E,"Pending")
 +COUNTIFS(OutReach_Log!$A:$A,$A4,OutReach_Log!$E:$E,"Escalated")</f>
        <v>0</v>
      </c>
      <c r="N4">
        <f>COUNTIFS(Incident_Log!$A:$A,$A4,Incident_Log!$C:$C,"High",Incident_Log!$E:$E,"No")</f>
        <v>0</v>
      </c>
      <c r="O4" t="str">
        <f t="shared" ca="1" si="0"/>
        <v>Attention Required</v>
      </c>
      <c r="P4">
        <f ca="1">($G4*40)+($H4*30)+($I4*10)+($N4*50)+IF($L4&gt;0,20,0)</f>
        <v>0</v>
      </c>
      <c r="Q4">
        <f ca="1">E4*(P4/100)</f>
        <v>0</v>
      </c>
      <c r="R4">
        <f ca="1">_xlfn.RANK.EQ($Q4,$Q$2:$Q$401,0)</f>
        <v>180</v>
      </c>
    </row>
    <row r="5" spans="1:18">
      <c r="A5" t="str" cm="1">
        <f t="array" ref="A5">_xlfn._xlws.SORT(Vendor_Master!A5)</f>
        <v>VND-004</v>
      </c>
      <c r="B5" t="str">
        <f>_xlfn.XLOOKUP(Compliance_Sheet!A5,Vendor_Master!A5,Vendor_Master!B5,"")</f>
        <v>Vendor_004</v>
      </c>
      <c r="C5" t="str">
        <f>_xlfn.XLOOKUP(A5,Vendor_Master!A5,Vendor_Master!C5,"")</f>
        <v>Waste Services</v>
      </c>
      <c r="D5" t="str">
        <f>_xlfn.XLOOKUP(A5,Vendor_Master!A5,Vendor_Master!D5,"")</f>
        <v>East</v>
      </c>
      <c r="E5">
        <f>_xlfn.XLOOKUP(A5,Vendor_Master!A5,Vendor_Master!E5,0)</f>
        <v>3125237</v>
      </c>
      <c r="F5" t="str">
        <f>_xlfn.XLOOKUP(A5,Vendor_Master!A5,Vendor_Master!H5,"")</f>
        <v>contact4@vendor.com</v>
      </c>
      <c r="G5">
        <f ca="1">COUNTIFS(Sustainability_Documents!$A:$A,$A5,Sustainability_Documents!$H:$H,"Missing")</f>
        <v>0</v>
      </c>
      <c r="H5">
        <f ca="1">COUNTIFS(Sustainability_Documents!$A:$A,$A5,Sustainability_Documents!$H:$H,"Expired")</f>
        <v>0</v>
      </c>
      <c r="I5">
        <f ca="1">COUNTIFS(Sustainability_Documents!$A:$A,$A5,Sustainability_Documents!$H:$H,"Expiring Soon")</f>
        <v>0</v>
      </c>
      <c r="J5">
        <f>COUNTIFS(Sustainability_Documents!$A:$A,$A5,Sustainability_Documents!$C:$C,"Yes")</f>
        <v>4</v>
      </c>
      <c r="K5">
        <f ca="1">IF($J5=0,"",($J5-$G5-$H5)/$J5)</f>
        <v>1</v>
      </c>
      <c r="L5">
        <f>COUNTIFS(OutReach_Log!$A:$A,$A5,OutReach_Log!$G:$G,"Yes")</f>
        <v>0</v>
      </c>
      <c r="M5">
        <f>COUNTIFS(OutReach_Log!$A:$A,$A5,OutReach_Log!$E:$E,"Pending")
 +COUNTIFS(OutReach_Log!$A:$A,$A5,OutReach_Log!$E:$E,"Escalated")</f>
        <v>0</v>
      </c>
      <c r="N5">
        <f>COUNTIFS(Incident_Log!$A:$A,$A5,Incident_Log!$C:$C,"High",Incident_Log!$E:$E,"No")</f>
        <v>0</v>
      </c>
      <c r="O5" t="str">
        <f t="shared" ca="1" si="0"/>
        <v>Attention Required</v>
      </c>
      <c r="P5">
        <f ca="1">($G5*40)+($H5*30)+($I5*10)+($N5*50)+IF($L5&gt;0,20,0)</f>
        <v>0</v>
      </c>
      <c r="Q5">
        <f ca="1">E5*(P5/100)</f>
        <v>0</v>
      </c>
      <c r="R5">
        <f ca="1">_xlfn.RANK.EQ($Q5,$Q$2:$Q$401,0)</f>
        <v>180</v>
      </c>
    </row>
    <row r="6" spans="1:18">
      <c r="A6" t="str" cm="1">
        <f t="array" ref="A6">_xlfn._xlws.SORT(Vendor_Master!A6)</f>
        <v>VND-005</v>
      </c>
      <c r="B6" t="str">
        <f>_xlfn.XLOOKUP(Compliance_Sheet!A6,Vendor_Master!A6,Vendor_Master!B6,"")</f>
        <v>Vendor_005</v>
      </c>
      <c r="C6" t="str">
        <f>_xlfn.XLOOKUP(A6,Vendor_Master!A6,Vendor_Master!C6,"")</f>
        <v>Waste Services</v>
      </c>
      <c r="D6" t="str">
        <f>_xlfn.XLOOKUP(A6,Vendor_Master!A6,Vendor_Master!D6,"")</f>
        <v>East</v>
      </c>
      <c r="E6">
        <f>_xlfn.XLOOKUP(A6,Vendor_Master!A6,Vendor_Master!E6,0)</f>
        <v>2761058</v>
      </c>
      <c r="F6" t="str">
        <f>_xlfn.XLOOKUP(A6,Vendor_Master!A6,Vendor_Master!H6,"")</f>
        <v>contact5@vendor.com</v>
      </c>
      <c r="G6">
        <f ca="1">COUNTIFS(Sustainability_Documents!$A:$A,$A6,Sustainability_Documents!$H:$H,"Missing")</f>
        <v>0</v>
      </c>
      <c r="H6">
        <f ca="1">COUNTIFS(Sustainability_Documents!$A:$A,$A6,Sustainability_Documents!$H:$H,"Expired")</f>
        <v>0</v>
      </c>
      <c r="I6">
        <f ca="1">COUNTIFS(Sustainability_Documents!$A:$A,$A6,Sustainability_Documents!$H:$H,"Expiring Soon")</f>
        <v>0</v>
      </c>
      <c r="J6">
        <f>COUNTIFS(Sustainability_Documents!$A:$A,$A6,Sustainability_Documents!$C:$C,"Yes")</f>
        <v>4</v>
      </c>
      <c r="K6">
        <f ca="1">IF($J6=0,"",($J6-$G6-$H6)/$J6)</f>
        <v>1</v>
      </c>
      <c r="L6">
        <f>COUNTIFS(OutReach_Log!$A:$A,$A6,OutReach_Log!$G:$G,"Yes")</f>
        <v>0</v>
      </c>
      <c r="M6">
        <f>COUNTIFS(OutReach_Log!$A:$A,$A6,OutReach_Log!$E:$E,"Pending")
 +COUNTIFS(OutReach_Log!$A:$A,$A6,OutReach_Log!$E:$E,"Escalated")</f>
        <v>0</v>
      </c>
      <c r="N6">
        <f>COUNTIFS(Incident_Log!$A:$A,$A6,Incident_Log!$C:$C,"High",Incident_Log!$E:$E,"No")</f>
        <v>0</v>
      </c>
      <c r="O6" t="str">
        <f t="shared" ca="1" si="0"/>
        <v>Attention Required</v>
      </c>
      <c r="P6">
        <f ca="1">($G6*40)+($H6*30)+($I6*10)+($N6*50)+IF($L6&gt;0,20,0)</f>
        <v>0</v>
      </c>
      <c r="Q6">
        <f ca="1">E6*(P6/100)</f>
        <v>0</v>
      </c>
      <c r="R6">
        <f ca="1">_xlfn.RANK.EQ($Q6,$Q$2:$Q$401,0)</f>
        <v>180</v>
      </c>
    </row>
    <row r="7" spans="1:18">
      <c r="A7" t="str" cm="1">
        <f t="array" ref="A7">_xlfn._xlws.SORT(Vendor_Master!A7)</f>
        <v>VND-006</v>
      </c>
      <c r="B7" t="str">
        <f>_xlfn.XLOOKUP(Compliance_Sheet!A7,Vendor_Master!A7,Vendor_Master!B7,"")</f>
        <v>Vendor_006</v>
      </c>
      <c r="C7" t="str">
        <f>_xlfn.XLOOKUP(A7,Vendor_Master!A7,Vendor_Master!C7,"")</f>
        <v>Waste Services</v>
      </c>
      <c r="D7" t="str">
        <f>_xlfn.XLOOKUP(A7,Vendor_Master!A7,Vendor_Master!D7,"")</f>
        <v>East</v>
      </c>
      <c r="E7">
        <f>_xlfn.XLOOKUP(A7,Vendor_Master!A7,Vendor_Master!E7,0)</f>
        <v>3224304</v>
      </c>
      <c r="F7" t="str">
        <f>_xlfn.XLOOKUP(A7,Vendor_Master!A7,Vendor_Master!H7,"")</f>
        <v>contact6@vendor.com</v>
      </c>
      <c r="G7">
        <f ca="1">COUNTIFS(Sustainability_Documents!$A:$A,$A7,Sustainability_Documents!$H:$H,"Missing")</f>
        <v>0</v>
      </c>
      <c r="H7">
        <f ca="1">COUNTIFS(Sustainability_Documents!$A:$A,$A7,Sustainability_Documents!$H:$H,"Expired")</f>
        <v>0</v>
      </c>
      <c r="I7">
        <f ca="1">COUNTIFS(Sustainability_Documents!$A:$A,$A7,Sustainability_Documents!$H:$H,"Expiring Soon")</f>
        <v>0</v>
      </c>
      <c r="J7">
        <f>COUNTIFS(Sustainability_Documents!$A:$A,$A7,Sustainability_Documents!$C:$C,"Yes")</f>
        <v>4</v>
      </c>
      <c r="K7">
        <f ca="1">IF($J7=0,"",($J7-$G7-$H7)/$J7)</f>
        <v>1</v>
      </c>
      <c r="L7">
        <f>COUNTIFS(OutReach_Log!$A:$A,$A7,OutReach_Log!$G:$G,"Yes")</f>
        <v>0</v>
      </c>
      <c r="M7">
        <f>COUNTIFS(OutReach_Log!$A:$A,$A7,OutReach_Log!$E:$E,"Pending")
 +COUNTIFS(OutReach_Log!$A:$A,$A7,OutReach_Log!$E:$E,"Escalated")</f>
        <v>0</v>
      </c>
      <c r="N7">
        <f>COUNTIFS(Incident_Log!$A:$A,$A7,Incident_Log!$C:$C,"High",Incident_Log!$E:$E,"No")</f>
        <v>0</v>
      </c>
      <c r="O7" t="str">
        <f t="shared" ca="1" si="0"/>
        <v>Attention Required</v>
      </c>
      <c r="P7">
        <f ca="1">($G7*40)+($H7*30)+($I7*10)+($N7*50)+IF($L7&gt;0,20,0)</f>
        <v>0</v>
      </c>
      <c r="Q7">
        <f ca="1">E7*(P7/100)</f>
        <v>0</v>
      </c>
      <c r="R7">
        <f ca="1">_xlfn.RANK.EQ($Q7,$Q$2:$Q$401,0)</f>
        <v>180</v>
      </c>
    </row>
    <row r="8" spans="1:18">
      <c r="A8" t="str" cm="1">
        <f t="array" ref="A8">_xlfn._xlws.SORT(Vendor_Master!A8)</f>
        <v>VND-007</v>
      </c>
      <c r="B8" t="str">
        <f>_xlfn.XLOOKUP(Compliance_Sheet!A8,Vendor_Master!A8,Vendor_Master!B8,"")</f>
        <v>Vendor_007</v>
      </c>
      <c r="C8" t="str">
        <f>_xlfn.XLOOKUP(A8,Vendor_Master!A8,Vendor_Master!C8,"")</f>
        <v>Waste Services</v>
      </c>
      <c r="D8" t="str">
        <f>_xlfn.XLOOKUP(A8,Vendor_Master!A8,Vendor_Master!D8,"")</f>
        <v>East</v>
      </c>
      <c r="E8">
        <f>_xlfn.XLOOKUP(A8,Vendor_Master!A8,Vendor_Master!E8,0)</f>
        <v>2844080</v>
      </c>
      <c r="F8" t="str">
        <f>_xlfn.XLOOKUP(A8,Vendor_Master!A8,Vendor_Master!H8,"")</f>
        <v>contact7@vendor.com</v>
      </c>
      <c r="G8">
        <f ca="1">COUNTIFS(Sustainability_Documents!$A:$A,$A8,Sustainability_Documents!$H:$H,"Missing")</f>
        <v>0</v>
      </c>
      <c r="H8">
        <f ca="1">COUNTIFS(Sustainability_Documents!$A:$A,$A8,Sustainability_Documents!$H:$H,"Expired")</f>
        <v>0</v>
      </c>
      <c r="I8">
        <f ca="1">COUNTIFS(Sustainability_Documents!$A:$A,$A8,Sustainability_Documents!$H:$H,"Expiring Soon")</f>
        <v>0</v>
      </c>
      <c r="J8">
        <f>COUNTIFS(Sustainability_Documents!$A:$A,$A8,Sustainability_Documents!$C:$C,"Yes")</f>
        <v>4</v>
      </c>
      <c r="K8">
        <f ca="1">IF($J8=0,"",($J8-$G8-$H8)/$J8)</f>
        <v>1</v>
      </c>
      <c r="L8">
        <f>COUNTIFS(OutReach_Log!$A:$A,$A8,OutReach_Log!$G:$G,"Yes")</f>
        <v>0</v>
      </c>
      <c r="M8">
        <f>COUNTIFS(OutReach_Log!$A:$A,$A8,OutReach_Log!$E:$E,"Pending")
 +COUNTIFS(OutReach_Log!$A:$A,$A8,OutReach_Log!$E:$E,"Escalated")</f>
        <v>0</v>
      </c>
      <c r="N8">
        <f>COUNTIFS(Incident_Log!$A:$A,$A8,Incident_Log!$C:$C,"High",Incident_Log!$E:$E,"No")</f>
        <v>0</v>
      </c>
      <c r="O8" t="str">
        <f t="shared" ca="1" si="0"/>
        <v>Attention Required</v>
      </c>
      <c r="P8">
        <f ca="1">($G8*40)+($H8*30)+($I8*10)+($N8*50)+IF($L8&gt;0,20,0)</f>
        <v>0</v>
      </c>
      <c r="Q8">
        <f ca="1">E8*(P8/100)</f>
        <v>0</v>
      </c>
      <c r="R8">
        <f ca="1">_xlfn.RANK.EQ($Q8,$Q$2:$Q$401,0)</f>
        <v>180</v>
      </c>
    </row>
    <row r="9" spans="1:18">
      <c r="A9" t="str" cm="1">
        <f t="array" ref="A9">_xlfn._xlws.SORT(Vendor_Master!A9)</f>
        <v>VND-008</v>
      </c>
      <c r="B9" t="str">
        <f>_xlfn.XLOOKUP(Compliance_Sheet!A9,Vendor_Master!A9,Vendor_Master!B9,"")</f>
        <v>Vendor_008</v>
      </c>
      <c r="C9" t="str">
        <f>_xlfn.XLOOKUP(A9,Vendor_Master!A9,Vendor_Master!C9,"")</f>
        <v>Waste Services</v>
      </c>
      <c r="D9" t="str">
        <f>_xlfn.XLOOKUP(A9,Vendor_Master!A9,Vendor_Master!D9,"")</f>
        <v>East</v>
      </c>
      <c r="E9">
        <f>_xlfn.XLOOKUP(A9,Vendor_Master!A9,Vendor_Master!E9,0)</f>
        <v>3354223</v>
      </c>
      <c r="F9" t="str">
        <f>_xlfn.XLOOKUP(A9,Vendor_Master!A9,Vendor_Master!H9,"")</f>
        <v>contact8@vendor.com</v>
      </c>
      <c r="G9">
        <f ca="1">COUNTIFS(Sustainability_Documents!$A:$A,$A9,Sustainability_Documents!$H:$H,"Missing")</f>
        <v>0</v>
      </c>
      <c r="H9">
        <f ca="1">COUNTIFS(Sustainability_Documents!$A:$A,$A9,Sustainability_Documents!$H:$H,"Expired")</f>
        <v>0</v>
      </c>
      <c r="I9">
        <f ca="1">COUNTIFS(Sustainability_Documents!$A:$A,$A9,Sustainability_Documents!$H:$H,"Expiring Soon")</f>
        <v>0</v>
      </c>
      <c r="J9">
        <f>COUNTIFS(Sustainability_Documents!$A:$A,$A9,Sustainability_Documents!$C:$C,"Yes")</f>
        <v>4</v>
      </c>
      <c r="K9">
        <f ca="1">IF($J9=0,"",($J9-$G9-$H9)/$J9)</f>
        <v>1</v>
      </c>
      <c r="L9">
        <f>COUNTIFS(OutReach_Log!$A:$A,$A9,OutReach_Log!$G:$G,"Yes")</f>
        <v>0</v>
      </c>
      <c r="M9">
        <f>COUNTIFS(OutReach_Log!$A:$A,$A9,OutReach_Log!$E:$E,"Pending")
 +COUNTIFS(OutReach_Log!$A:$A,$A9,OutReach_Log!$E:$E,"Escalated")</f>
        <v>0</v>
      </c>
      <c r="N9">
        <f>COUNTIFS(Incident_Log!$A:$A,$A9,Incident_Log!$C:$C,"High",Incident_Log!$E:$E,"No")</f>
        <v>0</v>
      </c>
      <c r="O9" t="str">
        <f t="shared" ca="1" si="0"/>
        <v>Attention Required</v>
      </c>
      <c r="P9">
        <f ca="1">($G9*40)+($H9*30)+($I9*10)+($N9*50)+IF($L9&gt;0,20,0)</f>
        <v>0</v>
      </c>
      <c r="Q9">
        <f ca="1">E9*(P9/100)</f>
        <v>0</v>
      </c>
      <c r="R9">
        <f ca="1">_xlfn.RANK.EQ($Q9,$Q$2:$Q$401,0)</f>
        <v>180</v>
      </c>
    </row>
    <row r="10" spans="1:18">
      <c r="A10" t="str" cm="1">
        <f t="array" ref="A10">_xlfn._xlws.SORT(Vendor_Master!A10)</f>
        <v>VND-009</v>
      </c>
      <c r="B10" t="str">
        <f>_xlfn.XLOOKUP(Compliance_Sheet!A10,Vendor_Master!A10,Vendor_Master!B10,"")</f>
        <v>Vendor_009</v>
      </c>
      <c r="C10" t="str">
        <f>_xlfn.XLOOKUP(A10,Vendor_Master!A10,Vendor_Master!C10,"")</f>
        <v>Waste Services</v>
      </c>
      <c r="D10" t="str">
        <f>_xlfn.XLOOKUP(A10,Vendor_Master!A10,Vendor_Master!D10,"")</f>
        <v>East</v>
      </c>
      <c r="E10">
        <f>_xlfn.XLOOKUP(A10,Vendor_Master!A10,Vendor_Master!E10,0)</f>
        <v>3652769</v>
      </c>
      <c r="F10" t="str">
        <f>_xlfn.XLOOKUP(A10,Vendor_Master!A10,Vendor_Master!H10,"")</f>
        <v>contact9@vendor.com</v>
      </c>
      <c r="G10">
        <f ca="1">COUNTIFS(Sustainability_Documents!$A:$A,$A10,Sustainability_Documents!$H:$H,"Missing")</f>
        <v>0</v>
      </c>
      <c r="H10">
        <f ca="1">COUNTIFS(Sustainability_Documents!$A:$A,$A10,Sustainability_Documents!$H:$H,"Expired")</f>
        <v>0</v>
      </c>
      <c r="I10">
        <f ca="1">COUNTIFS(Sustainability_Documents!$A:$A,$A10,Sustainability_Documents!$H:$H,"Expiring Soon")</f>
        <v>0</v>
      </c>
      <c r="J10">
        <f>COUNTIFS(Sustainability_Documents!$A:$A,$A10,Sustainability_Documents!$C:$C,"Yes")</f>
        <v>4</v>
      </c>
      <c r="K10">
        <f ca="1">IF($J10=0,"",($J10-$G10-$H10)/$J10)</f>
        <v>1</v>
      </c>
      <c r="L10">
        <f>COUNTIFS(OutReach_Log!$A:$A,$A10,OutReach_Log!$G:$G,"Yes")</f>
        <v>0</v>
      </c>
      <c r="M10">
        <f>COUNTIFS(OutReach_Log!$A:$A,$A10,OutReach_Log!$E:$E,"Pending")
 +COUNTIFS(OutReach_Log!$A:$A,$A10,OutReach_Log!$E:$E,"Escalated")</f>
        <v>0</v>
      </c>
      <c r="N10">
        <f>COUNTIFS(Incident_Log!$A:$A,$A10,Incident_Log!$C:$C,"High",Incident_Log!$E:$E,"No")</f>
        <v>0</v>
      </c>
      <c r="O10" t="str">
        <f t="shared" ca="1" si="0"/>
        <v>Attention Required</v>
      </c>
      <c r="P10">
        <f ca="1">($G10*40)+($H10*30)+($I10*10)+($N10*50)+IF($L10&gt;0,20,0)</f>
        <v>0</v>
      </c>
      <c r="Q10">
        <f ca="1">E10*(P10/100)</f>
        <v>0</v>
      </c>
      <c r="R10">
        <f ca="1">_xlfn.RANK.EQ($Q10,$Q$2:$Q$401,0)</f>
        <v>180</v>
      </c>
    </row>
    <row r="11" spans="1:18">
      <c r="A11" t="str" cm="1">
        <f t="array" ref="A11">_xlfn._xlws.SORT(Vendor_Master!A11)</f>
        <v>VND-010</v>
      </c>
      <c r="B11" t="str">
        <f>_xlfn.XLOOKUP(Compliance_Sheet!A11,Vendor_Master!A11,Vendor_Master!B11,"")</f>
        <v>Vendor_010</v>
      </c>
      <c r="C11" t="str">
        <f>_xlfn.XLOOKUP(A11,Vendor_Master!A11,Vendor_Master!C11,"")</f>
        <v>Waste Services</v>
      </c>
      <c r="D11" t="str">
        <f>_xlfn.XLOOKUP(A11,Vendor_Master!A11,Vendor_Master!D11,"")</f>
        <v>East</v>
      </c>
      <c r="E11">
        <f>_xlfn.XLOOKUP(A11,Vendor_Master!A11,Vendor_Master!E11,0)</f>
        <v>1850541</v>
      </c>
      <c r="F11" t="str">
        <f>_xlfn.XLOOKUP(A11,Vendor_Master!A11,Vendor_Master!H11,"")</f>
        <v>contact10@vendor.com</v>
      </c>
      <c r="G11">
        <f ca="1">COUNTIFS(Sustainability_Documents!$A:$A,$A11,Sustainability_Documents!$H:$H,"Missing")</f>
        <v>0</v>
      </c>
      <c r="H11">
        <f ca="1">COUNTIFS(Sustainability_Documents!$A:$A,$A11,Sustainability_Documents!$H:$H,"Expired")</f>
        <v>0</v>
      </c>
      <c r="I11">
        <f ca="1">COUNTIFS(Sustainability_Documents!$A:$A,$A11,Sustainability_Documents!$H:$H,"Expiring Soon")</f>
        <v>0</v>
      </c>
      <c r="J11">
        <f>COUNTIFS(Sustainability_Documents!$A:$A,$A11,Sustainability_Documents!$C:$C,"Yes")</f>
        <v>4</v>
      </c>
      <c r="K11">
        <f ca="1">IF($J11=0,"",($J11-$G11-$H11)/$J11)</f>
        <v>1</v>
      </c>
      <c r="L11">
        <f>COUNTIFS(OutReach_Log!$A:$A,$A11,OutReach_Log!$G:$G,"Yes")</f>
        <v>0</v>
      </c>
      <c r="M11">
        <f>COUNTIFS(OutReach_Log!$A:$A,$A11,OutReach_Log!$E:$E,"Pending")
 +COUNTIFS(OutReach_Log!$A:$A,$A11,OutReach_Log!$E:$E,"Escalated")</f>
        <v>0</v>
      </c>
      <c r="N11">
        <f>COUNTIFS(Incident_Log!$A:$A,$A11,Incident_Log!$C:$C,"High",Incident_Log!$E:$E,"No")</f>
        <v>0</v>
      </c>
      <c r="O11" t="str">
        <f t="shared" ca="1" si="0"/>
        <v>Attention Required</v>
      </c>
      <c r="P11">
        <f ca="1">($G11*40)+($H11*30)+($I11*10)+($N11*50)+IF($L11&gt;0,20,0)</f>
        <v>0</v>
      </c>
      <c r="Q11">
        <f ca="1">E11*(P11/100)</f>
        <v>0</v>
      </c>
      <c r="R11">
        <f ca="1">_xlfn.RANK.EQ($Q11,$Q$2:$Q$401,0)</f>
        <v>180</v>
      </c>
    </row>
    <row r="12" spans="1:18">
      <c r="A12" t="str" cm="1">
        <f t="array" ref="A12">_xlfn._xlws.SORT(Vendor_Master!A12)</f>
        <v>VND-011</v>
      </c>
      <c r="B12" t="str">
        <f>_xlfn.XLOOKUP(Compliance_Sheet!A12,Vendor_Master!A12,Vendor_Master!B12,"")</f>
        <v>Vendor_011</v>
      </c>
      <c r="C12" t="str">
        <f>_xlfn.XLOOKUP(A12,Vendor_Master!A12,Vendor_Master!C12,"")</f>
        <v>Waste Services</v>
      </c>
      <c r="D12" t="str">
        <f>_xlfn.XLOOKUP(A12,Vendor_Master!A12,Vendor_Master!D12,"")</f>
        <v>East</v>
      </c>
      <c r="E12">
        <f>_xlfn.XLOOKUP(A12,Vendor_Master!A12,Vendor_Master!E12,0)</f>
        <v>3639808</v>
      </c>
      <c r="F12" t="str">
        <f>_xlfn.XLOOKUP(A12,Vendor_Master!A12,Vendor_Master!H12,"")</f>
        <v>contact11@vendor.com</v>
      </c>
      <c r="G12">
        <f ca="1">COUNTIFS(Sustainability_Documents!$A:$A,$A12,Sustainability_Documents!$H:$H,"Missing")</f>
        <v>0</v>
      </c>
      <c r="H12">
        <f ca="1">COUNTIFS(Sustainability_Documents!$A:$A,$A12,Sustainability_Documents!$H:$H,"Expired")</f>
        <v>0</v>
      </c>
      <c r="I12">
        <f ca="1">COUNTIFS(Sustainability_Documents!$A:$A,$A12,Sustainability_Documents!$H:$H,"Expiring Soon")</f>
        <v>0</v>
      </c>
      <c r="J12">
        <f>COUNTIFS(Sustainability_Documents!$A:$A,$A12,Sustainability_Documents!$C:$C,"Yes")</f>
        <v>4</v>
      </c>
      <c r="K12">
        <f ca="1">IF($J12=0,"",($J12-$G12-$H12)/$J12)</f>
        <v>1</v>
      </c>
      <c r="L12">
        <f>COUNTIFS(OutReach_Log!$A:$A,$A12,OutReach_Log!$G:$G,"Yes")</f>
        <v>0</v>
      </c>
      <c r="M12">
        <f>COUNTIFS(OutReach_Log!$A:$A,$A12,OutReach_Log!$E:$E,"Pending")
 +COUNTIFS(OutReach_Log!$A:$A,$A12,OutReach_Log!$E:$E,"Escalated")</f>
        <v>0</v>
      </c>
      <c r="N12">
        <f>COUNTIFS(Incident_Log!$A:$A,$A12,Incident_Log!$C:$C,"High",Incident_Log!$E:$E,"No")</f>
        <v>0</v>
      </c>
      <c r="O12" t="str">
        <f t="shared" ca="1" si="0"/>
        <v>Attention Required</v>
      </c>
      <c r="P12">
        <f ca="1">($G12*40)+($H12*30)+($I12*10)+($N12*50)+IF($L12&gt;0,20,0)</f>
        <v>0</v>
      </c>
      <c r="Q12">
        <f ca="1">E12*(P12/100)</f>
        <v>0</v>
      </c>
      <c r="R12">
        <f ca="1">_xlfn.RANK.EQ($Q12,$Q$2:$Q$401,0)</f>
        <v>180</v>
      </c>
    </row>
    <row r="13" spans="1:18">
      <c r="A13" t="str" cm="1">
        <f t="array" ref="A13">_xlfn._xlws.SORT(Vendor_Master!A13)</f>
        <v>VND-012</v>
      </c>
      <c r="B13" t="str">
        <f>_xlfn.XLOOKUP(Compliance_Sheet!A13,Vendor_Master!A13,Vendor_Master!B13,"")</f>
        <v>Vendor_012</v>
      </c>
      <c r="C13" t="str">
        <f>_xlfn.XLOOKUP(A13,Vendor_Master!A13,Vendor_Master!C13,"")</f>
        <v>Waste Services</v>
      </c>
      <c r="D13" t="str">
        <f>_xlfn.XLOOKUP(A13,Vendor_Master!A13,Vendor_Master!D13,"")</f>
        <v>East</v>
      </c>
      <c r="E13">
        <f>_xlfn.XLOOKUP(A13,Vendor_Master!A13,Vendor_Master!E13,0)</f>
        <v>3362434</v>
      </c>
      <c r="F13" t="str">
        <f>_xlfn.XLOOKUP(A13,Vendor_Master!A13,Vendor_Master!H13,"")</f>
        <v>contact12@vendor.com</v>
      </c>
      <c r="G13">
        <f ca="1">COUNTIFS(Sustainability_Documents!$A:$A,$A13,Sustainability_Documents!$H:$H,"Missing")</f>
        <v>0</v>
      </c>
      <c r="H13">
        <f ca="1">COUNTIFS(Sustainability_Documents!$A:$A,$A13,Sustainability_Documents!$H:$H,"Expired")</f>
        <v>0</v>
      </c>
      <c r="I13">
        <f ca="1">COUNTIFS(Sustainability_Documents!$A:$A,$A13,Sustainability_Documents!$H:$H,"Expiring Soon")</f>
        <v>0</v>
      </c>
      <c r="J13">
        <f>COUNTIFS(Sustainability_Documents!$A:$A,$A13,Sustainability_Documents!$C:$C,"Yes")</f>
        <v>4</v>
      </c>
      <c r="K13">
        <f ca="1">IF($J13=0,"",($J13-$G13-$H13)/$J13)</f>
        <v>1</v>
      </c>
      <c r="L13">
        <f>COUNTIFS(OutReach_Log!$A:$A,$A13,OutReach_Log!$G:$G,"Yes")</f>
        <v>0</v>
      </c>
      <c r="M13">
        <f>COUNTIFS(OutReach_Log!$A:$A,$A13,OutReach_Log!$E:$E,"Pending")
 +COUNTIFS(OutReach_Log!$A:$A,$A13,OutReach_Log!$E:$E,"Escalated")</f>
        <v>0</v>
      </c>
      <c r="N13">
        <f>COUNTIFS(Incident_Log!$A:$A,$A13,Incident_Log!$C:$C,"High",Incident_Log!$E:$E,"No")</f>
        <v>0</v>
      </c>
      <c r="O13" t="str">
        <f t="shared" ca="1" si="0"/>
        <v>Attention Required</v>
      </c>
      <c r="P13">
        <f ca="1">($G13*40)+($H13*30)+($I13*10)+($N13*50)+IF($L13&gt;0,20,0)</f>
        <v>0</v>
      </c>
      <c r="Q13">
        <f ca="1">E13*(P13/100)</f>
        <v>0</v>
      </c>
      <c r="R13">
        <f ca="1">_xlfn.RANK.EQ($Q13,$Q$2:$Q$401,0)</f>
        <v>180</v>
      </c>
    </row>
    <row r="14" spans="1:18">
      <c r="A14" t="str" cm="1">
        <f t="array" ref="A14">_xlfn._xlws.SORT(Vendor_Master!A14)</f>
        <v>VND-013</v>
      </c>
      <c r="B14" t="str">
        <f>_xlfn.XLOOKUP(Compliance_Sheet!A14,Vendor_Master!A14,Vendor_Master!B14,"")</f>
        <v>Vendor_013</v>
      </c>
      <c r="C14" t="str">
        <f>_xlfn.XLOOKUP(A14,Vendor_Master!A14,Vendor_Master!C14,"")</f>
        <v>Waste Services</v>
      </c>
      <c r="D14" t="str">
        <f>_xlfn.XLOOKUP(A14,Vendor_Master!A14,Vendor_Master!D14,"")</f>
        <v>East</v>
      </c>
      <c r="E14">
        <f>_xlfn.XLOOKUP(A14,Vendor_Master!A14,Vendor_Master!E14,0)</f>
        <v>2382579</v>
      </c>
      <c r="F14" t="str">
        <f>_xlfn.XLOOKUP(A14,Vendor_Master!A14,Vendor_Master!H14,"")</f>
        <v>contact13@vendor.com</v>
      </c>
      <c r="G14">
        <f ca="1">COUNTIFS(Sustainability_Documents!$A:$A,$A14,Sustainability_Documents!$H:$H,"Missing")</f>
        <v>0</v>
      </c>
      <c r="H14">
        <f ca="1">COUNTIFS(Sustainability_Documents!$A:$A,$A14,Sustainability_Documents!$H:$H,"Expired")</f>
        <v>0</v>
      </c>
      <c r="I14">
        <f ca="1">COUNTIFS(Sustainability_Documents!$A:$A,$A14,Sustainability_Documents!$H:$H,"Expiring Soon")</f>
        <v>0</v>
      </c>
      <c r="J14">
        <f>COUNTIFS(Sustainability_Documents!$A:$A,$A14,Sustainability_Documents!$C:$C,"Yes")</f>
        <v>4</v>
      </c>
      <c r="K14">
        <f ca="1">IF($J14=0,"",($J14-$G14-$H14)/$J14)</f>
        <v>1</v>
      </c>
      <c r="L14">
        <f>COUNTIFS(OutReach_Log!$A:$A,$A14,OutReach_Log!$G:$G,"Yes")</f>
        <v>0</v>
      </c>
      <c r="M14">
        <f>COUNTIFS(OutReach_Log!$A:$A,$A14,OutReach_Log!$E:$E,"Pending")
 +COUNTIFS(OutReach_Log!$A:$A,$A14,OutReach_Log!$E:$E,"Escalated")</f>
        <v>0</v>
      </c>
      <c r="N14">
        <f>COUNTIFS(Incident_Log!$A:$A,$A14,Incident_Log!$C:$C,"High",Incident_Log!$E:$E,"No")</f>
        <v>0</v>
      </c>
      <c r="O14" t="str">
        <f t="shared" ca="1" si="0"/>
        <v>Attention Required</v>
      </c>
      <c r="P14">
        <f ca="1">($G14*40)+($H14*30)+($I14*10)+($N14*50)+IF($L14&gt;0,20,0)</f>
        <v>0</v>
      </c>
      <c r="Q14">
        <f ca="1">E14*(P14/100)</f>
        <v>0</v>
      </c>
      <c r="R14">
        <f ca="1">_xlfn.RANK.EQ($Q14,$Q$2:$Q$401,0)</f>
        <v>180</v>
      </c>
    </row>
    <row r="15" spans="1:18">
      <c r="A15" t="str" cm="1">
        <f t="array" ref="A15">_xlfn._xlws.SORT(Vendor_Master!A15)</f>
        <v>VND-014</v>
      </c>
      <c r="B15" t="str">
        <f>_xlfn.XLOOKUP(Compliance_Sheet!A15,Vendor_Master!A15,Vendor_Master!B15,"")</f>
        <v>Vendor_014</v>
      </c>
      <c r="C15" t="str">
        <f>_xlfn.XLOOKUP(A15,Vendor_Master!A15,Vendor_Master!C15,"")</f>
        <v>Waste Services</v>
      </c>
      <c r="D15" t="str">
        <f>_xlfn.XLOOKUP(A15,Vendor_Master!A15,Vendor_Master!D15,"")</f>
        <v>East</v>
      </c>
      <c r="E15">
        <f>_xlfn.XLOOKUP(A15,Vendor_Master!A15,Vendor_Master!E15,0)</f>
        <v>4565615</v>
      </c>
      <c r="F15" t="str">
        <f>_xlfn.XLOOKUP(A15,Vendor_Master!A15,Vendor_Master!H15,"")</f>
        <v>contact14@vendor.com</v>
      </c>
      <c r="G15">
        <f ca="1">COUNTIFS(Sustainability_Documents!$A:$A,$A15,Sustainability_Documents!$H:$H,"Missing")</f>
        <v>0</v>
      </c>
      <c r="H15">
        <f ca="1">COUNTIFS(Sustainability_Documents!$A:$A,$A15,Sustainability_Documents!$H:$H,"Expired")</f>
        <v>0</v>
      </c>
      <c r="I15">
        <f ca="1">COUNTIFS(Sustainability_Documents!$A:$A,$A15,Sustainability_Documents!$H:$H,"Expiring Soon")</f>
        <v>0</v>
      </c>
      <c r="J15">
        <f>COUNTIFS(Sustainability_Documents!$A:$A,$A15,Sustainability_Documents!$C:$C,"Yes")</f>
        <v>4</v>
      </c>
      <c r="K15">
        <f ca="1">IF($J15=0,"",($J15-$G15-$H15)/$J15)</f>
        <v>1</v>
      </c>
      <c r="L15">
        <f>COUNTIFS(OutReach_Log!$A:$A,$A15,OutReach_Log!$G:$G,"Yes")</f>
        <v>0</v>
      </c>
      <c r="M15">
        <f>COUNTIFS(OutReach_Log!$A:$A,$A15,OutReach_Log!$E:$E,"Pending")
 +COUNTIFS(OutReach_Log!$A:$A,$A15,OutReach_Log!$E:$E,"Escalated")</f>
        <v>0</v>
      </c>
      <c r="N15">
        <f>COUNTIFS(Incident_Log!$A:$A,$A15,Incident_Log!$C:$C,"High",Incident_Log!$E:$E,"No")</f>
        <v>0</v>
      </c>
      <c r="O15" t="str">
        <f t="shared" ca="1" si="0"/>
        <v>Attention Required</v>
      </c>
      <c r="P15">
        <f ca="1">($G15*40)+($H15*30)+($I15*10)+($N15*50)+IF($L15&gt;0,20,0)</f>
        <v>0</v>
      </c>
      <c r="Q15">
        <f ca="1">E15*(P15/100)</f>
        <v>0</v>
      </c>
      <c r="R15">
        <f ca="1">_xlfn.RANK.EQ($Q15,$Q$2:$Q$401,0)</f>
        <v>180</v>
      </c>
    </row>
    <row r="16" spans="1:18">
      <c r="A16" t="str" cm="1">
        <f t="array" ref="A16">_xlfn._xlws.SORT(Vendor_Master!A16)</f>
        <v>VND-015</v>
      </c>
      <c r="B16" t="str">
        <f>_xlfn.XLOOKUP(Compliance_Sheet!A16,Vendor_Master!A16,Vendor_Master!B16,"")</f>
        <v>Vendor_015</v>
      </c>
      <c r="C16" t="str">
        <f>_xlfn.XLOOKUP(A16,Vendor_Master!A16,Vendor_Master!C16,"")</f>
        <v>Waste Services</v>
      </c>
      <c r="D16" t="str">
        <f>_xlfn.XLOOKUP(A16,Vendor_Master!A16,Vendor_Master!D16,"")</f>
        <v>East</v>
      </c>
      <c r="E16">
        <f>_xlfn.XLOOKUP(A16,Vendor_Master!A16,Vendor_Master!E16,0)</f>
        <v>2690817</v>
      </c>
      <c r="F16" t="str">
        <f>_xlfn.XLOOKUP(A16,Vendor_Master!A16,Vendor_Master!H16,"")</f>
        <v>contact15@vendor.com</v>
      </c>
      <c r="G16">
        <f ca="1">COUNTIFS(Sustainability_Documents!$A:$A,$A16,Sustainability_Documents!$H:$H,"Missing")</f>
        <v>0</v>
      </c>
      <c r="H16">
        <f ca="1">COUNTIFS(Sustainability_Documents!$A:$A,$A16,Sustainability_Documents!$H:$H,"Expired")</f>
        <v>0</v>
      </c>
      <c r="I16">
        <f ca="1">COUNTIFS(Sustainability_Documents!$A:$A,$A16,Sustainability_Documents!$H:$H,"Expiring Soon")</f>
        <v>0</v>
      </c>
      <c r="J16">
        <f>COUNTIFS(Sustainability_Documents!$A:$A,$A16,Sustainability_Documents!$C:$C,"Yes")</f>
        <v>4</v>
      </c>
      <c r="K16">
        <f ca="1">IF($J16=0,"",($J16-$G16-$H16)/$J16)</f>
        <v>1</v>
      </c>
      <c r="L16">
        <f>COUNTIFS(OutReach_Log!$A:$A,$A16,OutReach_Log!$G:$G,"Yes")</f>
        <v>0</v>
      </c>
      <c r="M16">
        <f>COUNTIFS(OutReach_Log!$A:$A,$A16,OutReach_Log!$E:$E,"Pending")
 +COUNTIFS(OutReach_Log!$A:$A,$A16,OutReach_Log!$E:$E,"Escalated")</f>
        <v>0</v>
      </c>
      <c r="N16">
        <f>COUNTIFS(Incident_Log!$A:$A,$A16,Incident_Log!$C:$C,"High",Incident_Log!$E:$E,"No")</f>
        <v>0</v>
      </c>
      <c r="O16" t="str">
        <f t="shared" ca="1" si="0"/>
        <v>Attention Required</v>
      </c>
      <c r="P16">
        <f ca="1">($G16*40)+($H16*30)+($I16*10)+($N16*50)+IF($L16&gt;0,20,0)</f>
        <v>0</v>
      </c>
      <c r="Q16">
        <f ca="1">E16*(P16/100)</f>
        <v>0</v>
      </c>
      <c r="R16">
        <f ca="1">_xlfn.RANK.EQ($Q16,$Q$2:$Q$401,0)</f>
        <v>180</v>
      </c>
    </row>
    <row r="17" spans="1:18">
      <c r="A17" t="str" cm="1">
        <f t="array" ref="A17">_xlfn._xlws.SORT(Vendor_Master!A17)</f>
        <v>VND-016</v>
      </c>
      <c r="B17" t="str">
        <f>_xlfn.XLOOKUP(Compliance_Sheet!A17,Vendor_Master!A17,Vendor_Master!B17,"")</f>
        <v>Vendor_016</v>
      </c>
      <c r="C17" t="str">
        <f>_xlfn.XLOOKUP(A17,Vendor_Master!A17,Vendor_Master!C17,"")</f>
        <v>Waste Services</v>
      </c>
      <c r="D17" t="str">
        <f>_xlfn.XLOOKUP(A17,Vendor_Master!A17,Vendor_Master!D17,"")</f>
        <v>East</v>
      </c>
      <c r="E17">
        <f>_xlfn.XLOOKUP(A17,Vendor_Master!A17,Vendor_Master!E17,0)</f>
        <v>3489558</v>
      </c>
      <c r="F17" t="str">
        <f>_xlfn.XLOOKUP(A17,Vendor_Master!A17,Vendor_Master!H17,"")</f>
        <v>contact16@vendor.com</v>
      </c>
      <c r="G17">
        <f ca="1">COUNTIFS(Sustainability_Documents!$A:$A,$A17,Sustainability_Documents!$H:$H,"Missing")</f>
        <v>0</v>
      </c>
      <c r="H17">
        <f ca="1">COUNTIFS(Sustainability_Documents!$A:$A,$A17,Sustainability_Documents!$H:$H,"Expired")</f>
        <v>0</v>
      </c>
      <c r="I17">
        <f ca="1">COUNTIFS(Sustainability_Documents!$A:$A,$A17,Sustainability_Documents!$H:$H,"Expiring Soon")</f>
        <v>0</v>
      </c>
      <c r="J17">
        <f>COUNTIFS(Sustainability_Documents!$A:$A,$A17,Sustainability_Documents!$C:$C,"Yes")</f>
        <v>4</v>
      </c>
      <c r="K17">
        <f ca="1">IF($J17=0,"",($J17-$G17-$H17)/$J17)</f>
        <v>1</v>
      </c>
      <c r="L17">
        <f>COUNTIFS(OutReach_Log!$A:$A,$A17,OutReach_Log!$G:$G,"Yes")</f>
        <v>0</v>
      </c>
      <c r="M17">
        <f>COUNTIFS(OutReach_Log!$A:$A,$A17,OutReach_Log!$E:$E,"Pending")
 +COUNTIFS(OutReach_Log!$A:$A,$A17,OutReach_Log!$E:$E,"Escalated")</f>
        <v>0</v>
      </c>
      <c r="N17">
        <f>COUNTIFS(Incident_Log!$A:$A,$A17,Incident_Log!$C:$C,"High",Incident_Log!$E:$E,"No")</f>
        <v>0</v>
      </c>
      <c r="O17" t="str">
        <f t="shared" ca="1" si="0"/>
        <v>Attention Required</v>
      </c>
      <c r="P17">
        <f ca="1">($G17*40)+($H17*30)+($I17*10)+($N17*50)+IF($L17&gt;0,20,0)</f>
        <v>0</v>
      </c>
      <c r="Q17">
        <f ca="1">E17*(P17/100)</f>
        <v>0</v>
      </c>
      <c r="R17">
        <f ca="1">_xlfn.RANK.EQ($Q17,$Q$2:$Q$401,0)</f>
        <v>180</v>
      </c>
    </row>
    <row r="18" spans="1:18">
      <c r="A18" t="str" cm="1">
        <f t="array" ref="A18">_xlfn._xlws.SORT(Vendor_Master!A18)</f>
        <v>VND-017</v>
      </c>
      <c r="B18" t="str">
        <f>_xlfn.XLOOKUP(Compliance_Sheet!A18,Vendor_Master!A18,Vendor_Master!B18,"")</f>
        <v>Vendor_017</v>
      </c>
      <c r="C18" t="str">
        <f>_xlfn.XLOOKUP(A18,Vendor_Master!A18,Vendor_Master!C18,"")</f>
        <v>Waste Services</v>
      </c>
      <c r="D18" t="str">
        <f>_xlfn.XLOOKUP(A18,Vendor_Master!A18,Vendor_Master!D18,"")</f>
        <v>East</v>
      </c>
      <c r="E18">
        <f>_xlfn.XLOOKUP(A18,Vendor_Master!A18,Vendor_Master!E18,0)</f>
        <v>1988194</v>
      </c>
      <c r="F18" t="str">
        <f>_xlfn.XLOOKUP(A18,Vendor_Master!A18,Vendor_Master!H18,"")</f>
        <v>contact17@vendor.com</v>
      </c>
      <c r="G18">
        <f ca="1">COUNTIFS(Sustainability_Documents!$A:$A,$A18,Sustainability_Documents!$H:$H,"Missing")</f>
        <v>0</v>
      </c>
      <c r="H18">
        <f ca="1">COUNTIFS(Sustainability_Documents!$A:$A,$A18,Sustainability_Documents!$H:$H,"Expired")</f>
        <v>0</v>
      </c>
      <c r="I18">
        <f ca="1">COUNTIFS(Sustainability_Documents!$A:$A,$A18,Sustainability_Documents!$H:$H,"Expiring Soon")</f>
        <v>0</v>
      </c>
      <c r="J18">
        <f>COUNTIFS(Sustainability_Documents!$A:$A,$A18,Sustainability_Documents!$C:$C,"Yes")</f>
        <v>4</v>
      </c>
      <c r="K18">
        <f ca="1">IF($J18=0,"",($J18-$G18-$H18)/$J18)</f>
        <v>1</v>
      </c>
      <c r="L18">
        <f>COUNTIFS(OutReach_Log!$A:$A,$A18,OutReach_Log!$G:$G,"Yes")</f>
        <v>0</v>
      </c>
      <c r="M18">
        <f>COUNTIFS(OutReach_Log!$A:$A,$A18,OutReach_Log!$E:$E,"Pending")
 +COUNTIFS(OutReach_Log!$A:$A,$A18,OutReach_Log!$E:$E,"Escalated")</f>
        <v>0</v>
      </c>
      <c r="N18">
        <f>COUNTIFS(Incident_Log!$A:$A,$A18,Incident_Log!$C:$C,"High",Incident_Log!$E:$E,"No")</f>
        <v>0</v>
      </c>
      <c r="O18" t="str">
        <f t="shared" ca="1" si="0"/>
        <v>Attention Required</v>
      </c>
      <c r="P18">
        <f ca="1">($G18*40)+($H18*30)+($I18*10)+($N18*50)+IF($L18&gt;0,20,0)</f>
        <v>0</v>
      </c>
      <c r="Q18">
        <f ca="1">E18*(P18/100)</f>
        <v>0</v>
      </c>
      <c r="R18">
        <f ca="1">_xlfn.RANK.EQ($Q18,$Q$2:$Q$401,0)</f>
        <v>180</v>
      </c>
    </row>
    <row r="19" spans="1:18">
      <c r="A19" t="str" cm="1">
        <f t="array" ref="A19">_xlfn._xlws.SORT(Vendor_Master!A19)</f>
        <v>VND-018</v>
      </c>
      <c r="B19" t="str">
        <f>_xlfn.XLOOKUP(Compliance_Sheet!A19,Vendor_Master!A19,Vendor_Master!B19,"")</f>
        <v>Vendor_018</v>
      </c>
      <c r="C19" t="str">
        <f>_xlfn.XLOOKUP(A19,Vendor_Master!A19,Vendor_Master!C19,"")</f>
        <v>Waste Services</v>
      </c>
      <c r="D19" t="str">
        <f>_xlfn.XLOOKUP(A19,Vendor_Master!A19,Vendor_Master!D19,"")</f>
        <v>East</v>
      </c>
      <c r="E19">
        <f>_xlfn.XLOOKUP(A19,Vendor_Master!A19,Vendor_Master!E19,0)</f>
        <v>1399198</v>
      </c>
      <c r="F19" t="str">
        <f>_xlfn.XLOOKUP(A19,Vendor_Master!A19,Vendor_Master!H19,"")</f>
        <v>contact18@vendor.com</v>
      </c>
      <c r="G19">
        <f ca="1">COUNTIFS(Sustainability_Documents!$A:$A,$A19,Sustainability_Documents!$H:$H,"Missing")</f>
        <v>0</v>
      </c>
      <c r="H19">
        <f ca="1">COUNTIFS(Sustainability_Documents!$A:$A,$A19,Sustainability_Documents!$H:$H,"Expired")</f>
        <v>0</v>
      </c>
      <c r="I19">
        <f ca="1">COUNTIFS(Sustainability_Documents!$A:$A,$A19,Sustainability_Documents!$H:$H,"Expiring Soon")</f>
        <v>0</v>
      </c>
      <c r="J19">
        <f>COUNTIFS(Sustainability_Documents!$A:$A,$A19,Sustainability_Documents!$C:$C,"Yes")</f>
        <v>4</v>
      </c>
      <c r="K19">
        <f ca="1">IF($J19=0,"",($J19-$G19-$H19)/$J19)</f>
        <v>1</v>
      </c>
      <c r="L19">
        <f>COUNTIFS(OutReach_Log!$A:$A,$A19,OutReach_Log!$G:$G,"Yes")</f>
        <v>0</v>
      </c>
      <c r="M19">
        <f>COUNTIFS(OutReach_Log!$A:$A,$A19,OutReach_Log!$E:$E,"Pending")
 +COUNTIFS(OutReach_Log!$A:$A,$A19,OutReach_Log!$E:$E,"Escalated")</f>
        <v>0</v>
      </c>
      <c r="N19">
        <f>COUNTIFS(Incident_Log!$A:$A,$A19,Incident_Log!$C:$C,"High",Incident_Log!$E:$E,"No")</f>
        <v>0</v>
      </c>
      <c r="O19" t="str">
        <f t="shared" ca="1" si="0"/>
        <v>Attention Required</v>
      </c>
      <c r="P19">
        <f ca="1">($G19*40)+($H19*30)+($I19*10)+($N19*50)+IF($L19&gt;0,20,0)</f>
        <v>0</v>
      </c>
      <c r="Q19">
        <f ca="1">E19*(P19/100)</f>
        <v>0</v>
      </c>
      <c r="R19">
        <f ca="1">_xlfn.RANK.EQ($Q19,$Q$2:$Q$401,0)</f>
        <v>180</v>
      </c>
    </row>
    <row r="20" spans="1:18">
      <c r="A20" t="str" cm="1">
        <f t="array" ref="A20">_xlfn._xlws.SORT(Vendor_Master!A20)</f>
        <v>VND-019</v>
      </c>
      <c r="B20" t="str">
        <f>_xlfn.XLOOKUP(Compliance_Sheet!A20,Vendor_Master!A20,Vendor_Master!B20,"")</f>
        <v>Vendor_019</v>
      </c>
      <c r="C20" t="str">
        <f>_xlfn.XLOOKUP(A20,Vendor_Master!A20,Vendor_Master!C20,"")</f>
        <v>Waste Services</v>
      </c>
      <c r="D20" t="str">
        <f>_xlfn.XLOOKUP(A20,Vendor_Master!A20,Vendor_Master!D20,"")</f>
        <v>East</v>
      </c>
      <c r="E20">
        <f>_xlfn.XLOOKUP(A20,Vendor_Master!A20,Vendor_Master!E20,0)</f>
        <v>1804957</v>
      </c>
      <c r="F20" t="str">
        <f>_xlfn.XLOOKUP(A20,Vendor_Master!A20,Vendor_Master!H20,"")</f>
        <v>contact19@vendor.com</v>
      </c>
      <c r="G20">
        <f ca="1">COUNTIFS(Sustainability_Documents!$A:$A,$A20,Sustainability_Documents!$H:$H,"Missing")</f>
        <v>0</v>
      </c>
      <c r="H20">
        <f ca="1">COUNTIFS(Sustainability_Documents!$A:$A,$A20,Sustainability_Documents!$H:$H,"Expired")</f>
        <v>0</v>
      </c>
      <c r="I20">
        <f ca="1">COUNTIFS(Sustainability_Documents!$A:$A,$A20,Sustainability_Documents!$H:$H,"Expiring Soon")</f>
        <v>0</v>
      </c>
      <c r="J20">
        <f>COUNTIFS(Sustainability_Documents!$A:$A,$A20,Sustainability_Documents!$C:$C,"Yes")</f>
        <v>4</v>
      </c>
      <c r="K20">
        <f ca="1">IF($J20=0,"",($J20-$G20-$H20)/$J20)</f>
        <v>1</v>
      </c>
      <c r="L20">
        <f>COUNTIFS(OutReach_Log!$A:$A,$A20,OutReach_Log!$G:$G,"Yes")</f>
        <v>0</v>
      </c>
      <c r="M20">
        <f>COUNTIFS(OutReach_Log!$A:$A,$A20,OutReach_Log!$E:$E,"Pending")
 +COUNTIFS(OutReach_Log!$A:$A,$A20,OutReach_Log!$E:$E,"Escalated")</f>
        <v>0</v>
      </c>
      <c r="N20">
        <f>COUNTIFS(Incident_Log!$A:$A,$A20,Incident_Log!$C:$C,"High",Incident_Log!$E:$E,"No")</f>
        <v>0</v>
      </c>
      <c r="O20" t="str">
        <f t="shared" ca="1" si="0"/>
        <v>Attention Required</v>
      </c>
      <c r="P20">
        <f ca="1">($G20*40)+($H20*30)+($I20*10)+($N20*50)+IF($L20&gt;0,20,0)</f>
        <v>0</v>
      </c>
      <c r="Q20">
        <f ca="1">E20*(P20/100)</f>
        <v>0</v>
      </c>
      <c r="R20">
        <f ca="1">_xlfn.RANK.EQ($Q20,$Q$2:$Q$401,0)</f>
        <v>180</v>
      </c>
    </row>
    <row r="21" spans="1:18">
      <c r="A21" t="str" cm="1">
        <f t="array" ref="A21">_xlfn._xlws.SORT(Vendor_Master!A21)</f>
        <v>VND-020</v>
      </c>
      <c r="B21" t="str">
        <f>_xlfn.XLOOKUP(Compliance_Sheet!A21,Vendor_Master!A21,Vendor_Master!B21,"")</f>
        <v>Vendor_020</v>
      </c>
      <c r="C21" t="str">
        <f>_xlfn.XLOOKUP(A21,Vendor_Master!A21,Vendor_Master!C21,"")</f>
        <v>Waste Services</v>
      </c>
      <c r="D21" t="str">
        <f>_xlfn.XLOOKUP(A21,Vendor_Master!A21,Vendor_Master!D21,"")</f>
        <v>East</v>
      </c>
      <c r="E21">
        <f>_xlfn.XLOOKUP(A21,Vendor_Master!A21,Vendor_Master!E21,0)</f>
        <v>2678589</v>
      </c>
      <c r="F21" t="str">
        <f>_xlfn.XLOOKUP(A21,Vendor_Master!A21,Vendor_Master!H21,"")</f>
        <v>contact20@vendor.com</v>
      </c>
      <c r="G21">
        <f ca="1">COUNTIFS(Sustainability_Documents!$A:$A,$A21,Sustainability_Documents!$H:$H,"Missing")</f>
        <v>0</v>
      </c>
      <c r="H21">
        <f ca="1">COUNTIFS(Sustainability_Documents!$A:$A,$A21,Sustainability_Documents!$H:$H,"Expired")</f>
        <v>0</v>
      </c>
      <c r="I21">
        <f ca="1">COUNTIFS(Sustainability_Documents!$A:$A,$A21,Sustainability_Documents!$H:$H,"Expiring Soon")</f>
        <v>0</v>
      </c>
      <c r="J21">
        <f>COUNTIFS(Sustainability_Documents!$A:$A,$A21,Sustainability_Documents!$C:$C,"Yes")</f>
        <v>4</v>
      </c>
      <c r="K21">
        <f ca="1">IF($J21=0,"",($J21-$G21-$H21)/$J21)</f>
        <v>1</v>
      </c>
      <c r="L21">
        <f>COUNTIFS(OutReach_Log!$A:$A,$A21,OutReach_Log!$G:$G,"Yes")</f>
        <v>0</v>
      </c>
      <c r="M21">
        <f>COUNTIFS(OutReach_Log!$A:$A,$A21,OutReach_Log!$E:$E,"Pending")
 +COUNTIFS(OutReach_Log!$A:$A,$A21,OutReach_Log!$E:$E,"Escalated")</f>
        <v>0</v>
      </c>
      <c r="N21">
        <f>COUNTIFS(Incident_Log!$A:$A,$A21,Incident_Log!$C:$C,"High",Incident_Log!$E:$E,"No")</f>
        <v>0</v>
      </c>
      <c r="O21" t="str">
        <f t="shared" ca="1" si="0"/>
        <v>Attention Required</v>
      </c>
      <c r="P21">
        <f ca="1">($G21*40)+($H21*30)+($I21*10)+($N21*50)+IF($L21&gt;0,20,0)</f>
        <v>0</v>
      </c>
      <c r="Q21">
        <f ca="1">E21*(P21/100)</f>
        <v>0</v>
      </c>
      <c r="R21">
        <f ca="1">_xlfn.RANK.EQ($Q21,$Q$2:$Q$401,0)</f>
        <v>180</v>
      </c>
    </row>
    <row r="22" spans="1:18">
      <c r="A22" t="str" cm="1">
        <f t="array" ref="A22">_xlfn._xlws.SORT(Vendor_Master!A22)</f>
        <v>VND-021</v>
      </c>
      <c r="B22" t="str">
        <f>_xlfn.XLOOKUP(Compliance_Sheet!A22,Vendor_Master!A22,Vendor_Master!B22,"")</f>
        <v>Vendor_021</v>
      </c>
      <c r="C22" t="str">
        <f>_xlfn.XLOOKUP(A22,Vendor_Master!A22,Vendor_Master!C22,"")</f>
        <v>Waste Services</v>
      </c>
      <c r="D22" t="str">
        <f>_xlfn.XLOOKUP(A22,Vendor_Master!A22,Vendor_Master!D22,"")</f>
        <v>East</v>
      </c>
      <c r="E22">
        <f>_xlfn.XLOOKUP(A22,Vendor_Master!A22,Vendor_Master!E22,0)</f>
        <v>1107895</v>
      </c>
      <c r="F22" t="str">
        <f>_xlfn.XLOOKUP(A22,Vendor_Master!A22,Vendor_Master!H22,"")</f>
        <v>contact21@vendor.com</v>
      </c>
      <c r="G22">
        <f ca="1">COUNTIFS(Sustainability_Documents!$A:$A,$A22,Sustainability_Documents!$H:$H,"Missing")</f>
        <v>0</v>
      </c>
      <c r="H22">
        <f ca="1">COUNTIFS(Sustainability_Documents!$A:$A,$A22,Sustainability_Documents!$H:$H,"Expired")</f>
        <v>0</v>
      </c>
      <c r="I22">
        <f ca="1">COUNTIFS(Sustainability_Documents!$A:$A,$A22,Sustainability_Documents!$H:$H,"Expiring Soon")</f>
        <v>0</v>
      </c>
      <c r="J22">
        <f>COUNTIFS(Sustainability_Documents!$A:$A,$A22,Sustainability_Documents!$C:$C,"Yes")</f>
        <v>4</v>
      </c>
      <c r="K22">
        <f ca="1">IF($J22=0,"",($J22-$G22-$H22)/$J22)</f>
        <v>1</v>
      </c>
      <c r="L22">
        <f>COUNTIFS(OutReach_Log!$A:$A,$A22,OutReach_Log!$G:$G,"Yes")</f>
        <v>0</v>
      </c>
      <c r="M22">
        <f>COUNTIFS(OutReach_Log!$A:$A,$A22,OutReach_Log!$E:$E,"Pending")
 +COUNTIFS(OutReach_Log!$A:$A,$A22,OutReach_Log!$E:$E,"Escalated")</f>
        <v>0</v>
      </c>
      <c r="N22">
        <f>COUNTIFS(Incident_Log!$A:$A,$A22,Incident_Log!$C:$C,"High",Incident_Log!$E:$E,"No")</f>
        <v>0</v>
      </c>
      <c r="O22" t="str">
        <f t="shared" ca="1" si="0"/>
        <v>Attention Required</v>
      </c>
      <c r="P22">
        <f ca="1">($G22*40)+($H22*30)+($I22*10)+($N22*50)+IF($L22&gt;0,20,0)</f>
        <v>0</v>
      </c>
      <c r="Q22">
        <f ca="1">E22*(P22/100)</f>
        <v>0</v>
      </c>
      <c r="R22">
        <f ca="1">_xlfn.RANK.EQ($Q22,$Q$2:$Q$401,0)</f>
        <v>180</v>
      </c>
    </row>
    <row r="23" spans="1:18">
      <c r="A23" t="str" cm="1">
        <f t="array" ref="A23">_xlfn._xlws.SORT(Vendor_Master!A23)</f>
        <v>VND-022</v>
      </c>
      <c r="B23" t="str">
        <f>_xlfn.XLOOKUP(Compliance_Sheet!A23,Vendor_Master!A23,Vendor_Master!B23,"")</f>
        <v>Vendor_022</v>
      </c>
      <c r="C23" t="str">
        <f>_xlfn.XLOOKUP(A23,Vendor_Master!A23,Vendor_Master!C23,"")</f>
        <v>Waste Services</v>
      </c>
      <c r="D23" t="str">
        <f>_xlfn.XLOOKUP(A23,Vendor_Master!A23,Vendor_Master!D23,"")</f>
        <v>East</v>
      </c>
      <c r="E23">
        <f>_xlfn.XLOOKUP(A23,Vendor_Master!A23,Vendor_Master!E23,0)</f>
        <v>2009916</v>
      </c>
      <c r="F23" t="str">
        <f>_xlfn.XLOOKUP(A23,Vendor_Master!A23,Vendor_Master!H23,"")</f>
        <v>contact22@vendor.com</v>
      </c>
      <c r="G23">
        <f ca="1">COUNTIFS(Sustainability_Documents!$A:$A,$A23,Sustainability_Documents!$H:$H,"Missing")</f>
        <v>0</v>
      </c>
      <c r="H23">
        <f ca="1">COUNTIFS(Sustainability_Documents!$A:$A,$A23,Sustainability_Documents!$H:$H,"Expired")</f>
        <v>0</v>
      </c>
      <c r="I23">
        <f ca="1">COUNTIFS(Sustainability_Documents!$A:$A,$A23,Sustainability_Documents!$H:$H,"Expiring Soon")</f>
        <v>0</v>
      </c>
      <c r="J23">
        <f>COUNTIFS(Sustainability_Documents!$A:$A,$A23,Sustainability_Documents!$C:$C,"Yes")</f>
        <v>4</v>
      </c>
      <c r="K23">
        <f ca="1">IF($J23=0,"",($J23-$G23-$H23)/$J23)</f>
        <v>1</v>
      </c>
      <c r="L23">
        <f>COUNTIFS(OutReach_Log!$A:$A,$A23,OutReach_Log!$G:$G,"Yes")</f>
        <v>0</v>
      </c>
      <c r="M23">
        <f>COUNTIFS(OutReach_Log!$A:$A,$A23,OutReach_Log!$E:$E,"Pending")
 +COUNTIFS(OutReach_Log!$A:$A,$A23,OutReach_Log!$E:$E,"Escalated")</f>
        <v>0</v>
      </c>
      <c r="N23">
        <f>COUNTIFS(Incident_Log!$A:$A,$A23,Incident_Log!$C:$C,"High",Incident_Log!$E:$E,"No")</f>
        <v>0</v>
      </c>
      <c r="O23" t="str">
        <f t="shared" ca="1" si="0"/>
        <v>Attention Required</v>
      </c>
      <c r="P23">
        <f ca="1">($G23*40)+($H23*30)+($I23*10)+($N23*50)+IF($L23&gt;0,20,0)</f>
        <v>0</v>
      </c>
      <c r="Q23">
        <f ca="1">E23*(P23/100)</f>
        <v>0</v>
      </c>
      <c r="R23">
        <f ca="1">_xlfn.RANK.EQ($Q23,$Q$2:$Q$401,0)</f>
        <v>180</v>
      </c>
    </row>
    <row r="24" spans="1:18">
      <c r="A24" t="str" cm="1">
        <f t="array" ref="A24">_xlfn._xlws.SORT(Vendor_Master!A24)</f>
        <v>VND-023</v>
      </c>
      <c r="B24" t="str">
        <f>_xlfn.XLOOKUP(Compliance_Sheet!A24,Vendor_Master!A24,Vendor_Master!B24,"")</f>
        <v>Vendor_023</v>
      </c>
      <c r="C24" t="str">
        <f>_xlfn.XLOOKUP(A24,Vendor_Master!A24,Vendor_Master!C24,"")</f>
        <v>Waste Services</v>
      </c>
      <c r="D24" t="str">
        <f>_xlfn.XLOOKUP(A24,Vendor_Master!A24,Vendor_Master!D24,"")</f>
        <v>East</v>
      </c>
      <c r="E24">
        <f>_xlfn.XLOOKUP(A24,Vendor_Master!A24,Vendor_Master!E24,0)</f>
        <v>1143131</v>
      </c>
      <c r="F24" t="str">
        <f>_xlfn.XLOOKUP(A24,Vendor_Master!A24,Vendor_Master!H24,"")</f>
        <v>contact23@vendor.com</v>
      </c>
      <c r="G24">
        <f ca="1">COUNTIFS(Sustainability_Documents!$A:$A,$A24,Sustainability_Documents!$H:$H,"Missing")</f>
        <v>0</v>
      </c>
      <c r="H24">
        <f ca="1">COUNTIFS(Sustainability_Documents!$A:$A,$A24,Sustainability_Documents!$H:$H,"Expired")</f>
        <v>0</v>
      </c>
      <c r="I24">
        <f ca="1">COUNTIFS(Sustainability_Documents!$A:$A,$A24,Sustainability_Documents!$H:$H,"Expiring Soon")</f>
        <v>0</v>
      </c>
      <c r="J24">
        <f>COUNTIFS(Sustainability_Documents!$A:$A,$A24,Sustainability_Documents!$C:$C,"Yes")</f>
        <v>4</v>
      </c>
      <c r="K24">
        <f ca="1">IF($J24=0,"",($J24-$G24-$H24)/$J24)</f>
        <v>1</v>
      </c>
      <c r="L24">
        <f>COUNTIFS(OutReach_Log!$A:$A,$A24,OutReach_Log!$G:$G,"Yes")</f>
        <v>0</v>
      </c>
      <c r="M24">
        <f>COUNTIFS(OutReach_Log!$A:$A,$A24,OutReach_Log!$E:$E,"Pending")
 +COUNTIFS(OutReach_Log!$A:$A,$A24,OutReach_Log!$E:$E,"Escalated")</f>
        <v>0</v>
      </c>
      <c r="N24">
        <f>COUNTIFS(Incident_Log!$A:$A,$A24,Incident_Log!$C:$C,"High",Incident_Log!$E:$E,"No")</f>
        <v>0</v>
      </c>
      <c r="O24" t="str">
        <f t="shared" ca="1" si="0"/>
        <v>Attention Required</v>
      </c>
      <c r="P24">
        <f ca="1">($G24*40)+($H24*30)+($I24*10)+($N24*50)+IF($L24&gt;0,20,0)</f>
        <v>0</v>
      </c>
      <c r="Q24">
        <f ca="1">E24*(P24/100)</f>
        <v>0</v>
      </c>
      <c r="R24">
        <f ca="1">_xlfn.RANK.EQ($Q24,$Q$2:$Q$401,0)</f>
        <v>180</v>
      </c>
    </row>
    <row r="25" spans="1:18">
      <c r="A25" t="str" cm="1">
        <f t="array" ref="A25">_xlfn._xlws.SORT(Vendor_Master!A25)</f>
        <v>VND-024</v>
      </c>
      <c r="B25" t="str">
        <f>_xlfn.XLOOKUP(Compliance_Sheet!A25,Vendor_Master!A25,Vendor_Master!B25,"")</f>
        <v>Vendor_024</v>
      </c>
      <c r="C25" t="str">
        <f>_xlfn.XLOOKUP(A25,Vendor_Master!A25,Vendor_Master!C25,"")</f>
        <v>Waste Services</v>
      </c>
      <c r="D25" t="str">
        <f>_xlfn.XLOOKUP(A25,Vendor_Master!A25,Vendor_Master!D25,"")</f>
        <v>East</v>
      </c>
      <c r="E25">
        <f>_xlfn.XLOOKUP(A25,Vendor_Master!A25,Vendor_Master!E25,0)</f>
        <v>2603662</v>
      </c>
      <c r="F25" t="str">
        <f>_xlfn.XLOOKUP(A25,Vendor_Master!A25,Vendor_Master!H25,"")</f>
        <v>contact24@vendor.com</v>
      </c>
      <c r="G25">
        <f ca="1">COUNTIFS(Sustainability_Documents!$A:$A,$A25,Sustainability_Documents!$H:$H,"Missing")</f>
        <v>0</v>
      </c>
      <c r="H25">
        <f ca="1">COUNTIFS(Sustainability_Documents!$A:$A,$A25,Sustainability_Documents!$H:$H,"Expired")</f>
        <v>0</v>
      </c>
      <c r="I25">
        <f ca="1">COUNTIFS(Sustainability_Documents!$A:$A,$A25,Sustainability_Documents!$H:$H,"Expiring Soon")</f>
        <v>0</v>
      </c>
      <c r="J25">
        <f>COUNTIFS(Sustainability_Documents!$A:$A,$A25,Sustainability_Documents!$C:$C,"Yes")</f>
        <v>4</v>
      </c>
      <c r="K25">
        <f ca="1">IF($J25=0,"",($J25-$G25-$H25)/$J25)</f>
        <v>1</v>
      </c>
      <c r="L25">
        <f>COUNTIFS(OutReach_Log!$A:$A,$A25,OutReach_Log!$G:$G,"Yes")</f>
        <v>0</v>
      </c>
      <c r="M25">
        <f>COUNTIFS(OutReach_Log!$A:$A,$A25,OutReach_Log!$E:$E,"Pending")
 +COUNTIFS(OutReach_Log!$A:$A,$A25,OutReach_Log!$E:$E,"Escalated")</f>
        <v>0</v>
      </c>
      <c r="N25">
        <f>COUNTIFS(Incident_Log!$A:$A,$A25,Incident_Log!$C:$C,"High",Incident_Log!$E:$E,"No")</f>
        <v>0</v>
      </c>
      <c r="O25" t="str">
        <f t="shared" ca="1" si="0"/>
        <v>Attention Required</v>
      </c>
      <c r="P25">
        <f ca="1">($G25*40)+($H25*30)+($I25*10)+($N25*50)+IF($L25&gt;0,20,0)</f>
        <v>0</v>
      </c>
      <c r="Q25">
        <f ca="1">E25*(P25/100)</f>
        <v>0</v>
      </c>
      <c r="R25">
        <f ca="1">_xlfn.RANK.EQ($Q25,$Q$2:$Q$401,0)</f>
        <v>180</v>
      </c>
    </row>
    <row r="26" spans="1:18">
      <c r="A26" t="str" cm="1">
        <f t="array" ref="A26">_xlfn._xlws.SORT(Vendor_Master!A26)</f>
        <v>VND-025</v>
      </c>
      <c r="B26" t="str">
        <f>_xlfn.XLOOKUP(Compliance_Sheet!A26,Vendor_Master!A26,Vendor_Master!B26,"")</f>
        <v>Vendor_025</v>
      </c>
      <c r="C26" t="str">
        <f>_xlfn.XLOOKUP(A26,Vendor_Master!A26,Vendor_Master!C26,"")</f>
        <v>Waste Services</v>
      </c>
      <c r="D26" t="str">
        <f>_xlfn.XLOOKUP(A26,Vendor_Master!A26,Vendor_Master!D26,"")</f>
        <v>East</v>
      </c>
      <c r="E26">
        <f>_xlfn.XLOOKUP(A26,Vendor_Master!A26,Vendor_Master!E26,0)</f>
        <v>4832219</v>
      </c>
      <c r="F26" t="str">
        <f>_xlfn.XLOOKUP(A26,Vendor_Master!A26,Vendor_Master!H26,"")</f>
        <v>contact25@vendor.com</v>
      </c>
      <c r="G26">
        <f ca="1">COUNTIFS(Sustainability_Documents!$A:$A,$A26,Sustainability_Documents!$H:$H,"Missing")</f>
        <v>0</v>
      </c>
      <c r="H26">
        <f ca="1">COUNTIFS(Sustainability_Documents!$A:$A,$A26,Sustainability_Documents!$H:$H,"Expired")</f>
        <v>0</v>
      </c>
      <c r="I26">
        <f ca="1">COUNTIFS(Sustainability_Documents!$A:$A,$A26,Sustainability_Documents!$H:$H,"Expiring Soon")</f>
        <v>0</v>
      </c>
      <c r="J26">
        <f>COUNTIFS(Sustainability_Documents!$A:$A,$A26,Sustainability_Documents!$C:$C,"Yes")</f>
        <v>4</v>
      </c>
      <c r="K26">
        <f ca="1">IF($J26=0,"",($J26-$G26-$H26)/$J26)</f>
        <v>1</v>
      </c>
      <c r="L26">
        <f>COUNTIFS(OutReach_Log!$A:$A,$A26,OutReach_Log!$G:$G,"Yes")</f>
        <v>0</v>
      </c>
      <c r="M26">
        <f>COUNTIFS(OutReach_Log!$A:$A,$A26,OutReach_Log!$E:$E,"Pending")
 +COUNTIFS(OutReach_Log!$A:$A,$A26,OutReach_Log!$E:$E,"Escalated")</f>
        <v>0</v>
      </c>
      <c r="N26">
        <f>COUNTIFS(Incident_Log!$A:$A,$A26,Incident_Log!$C:$C,"High",Incident_Log!$E:$E,"No")</f>
        <v>0</v>
      </c>
      <c r="O26" t="str">
        <f t="shared" ca="1" si="0"/>
        <v>Attention Required</v>
      </c>
      <c r="P26">
        <f ca="1">($G26*40)+($H26*30)+($I26*10)+($N26*50)+IF($L26&gt;0,20,0)</f>
        <v>0</v>
      </c>
      <c r="Q26">
        <f ca="1">E26*(P26/100)</f>
        <v>0</v>
      </c>
      <c r="R26">
        <f ca="1">_xlfn.RANK.EQ($Q26,$Q$2:$Q$401,0)</f>
        <v>180</v>
      </c>
    </row>
    <row r="27" spans="1:18">
      <c r="A27" t="str" cm="1">
        <f t="array" ref="A27">_xlfn._xlws.SORT(Vendor_Master!A27)</f>
        <v>VND-026</v>
      </c>
      <c r="B27" t="str">
        <f>_xlfn.XLOOKUP(Compliance_Sheet!A27,Vendor_Master!A27,Vendor_Master!B27,"")</f>
        <v>Vendor_026</v>
      </c>
      <c r="C27" t="str">
        <f>_xlfn.XLOOKUP(A27,Vendor_Master!A27,Vendor_Master!C27,"")</f>
        <v>Waste Services</v>
      </c>
      <c r="D27" t="str">
        <f>_xlfn.XLOOKUP(A27,Vendor_Master!A27,Vendor_Master!D27,"")</f>
        <v>East</v>
      </c>
      <c r="E27">
        <f>_xlfn.XLOOKUP(A27,Vendor_Master!A27,Vendor_Master!E27,0)</f>
        <v>3480222</v>
      </c>
      <c r="F27" t="str">
        <f>_xlfn.XLOOKUP(A27,Vendor_Master!A27,Vendor_Master!H27,"")</f>
        <v>contact26@vendor.com</v>
      </c>
      <c r="G27">
        <f ca="1">COUNTIFS(Sustainability_Documents!$A:$A,$A27,Sustainability_Documents!$H:$H,"Missing")</f>
        <v>0</v>
      </c>
      <c r="H27">
        <f ca="1">COUNTIFS(Sustainability_Documents!$A:$A,$A27,Sustainability_Documents!$H:$H,"Expired")</f>
        <v>0</v>
      </c>
      <c r="I27">
        <f ca="1">COUNTIFS(Sustainability_Documents!$A:$A,$A27,Sustainability_Documents!$H:$H,"Expiring Soon")</f>
        <v>0</v>
      </c>
      <c r="J27">
        <f>COUNTIFS(Sustainability_Documents!$A:$A,$A27,Sustainability_Documents!$C:$C,"Yes")</f>
        <v>4</v>
      </c>
      <c r="K27">
        <f ca="1">IF($J27=0,"",($J27-$G27-$H27)/$J27)</f>
        <v>1</v>
      </c>
      <c r="L27">
        <f>COUNTIFS(OutReach_Log!$A:$A,$A27,OutReach_Log!$G:$G,"Yes")</f>
        <v>0</v>
      </c>
      <c r="M27">
        <f>COUNTIFS(OutReach_Log!$A:$A,$A27,OutReach_Log!$E:$E,"Pending")
 +COUNTIFS(OutReach_Log!$A:$A,$A27,OutReach_Log!$E:$E,"Escalated")</f>
        <v>0</v>
      </c>
      <c r="N27">
        <f>COUNTIFS(Incident_Log!$A:$A,$A27,Incident_Log!$C:$C,"High",Incident_Log!$E:$E,"No")</f>
        <v>0</v>
      </c>
      <c r="O27" t="str">
        <f t="shared" ca="1" si="0"/>
        <v>Attention Required</v>
      </c>
      <c r="P27">
        <f ca="1">($G27*40)+($H27*30)+($I27*10)+($N27*50)+IF($L27&gt;0,20,0)</f>
        <v>0</v>
      </c>
      <c r="Q27">
        <f ca="1">E27*(P27/100)</f>
        <v>0</v>
      </c>
      <c r="R27">
        <f ca="1">_xlfn.RANK.EQ($Q27,$Q$2:$Q$401,0)</f>
        <v>180</v>
      </c>
    </row>
    <row r="28" spans="1:18">
      <c r="A28" t="str" cm="1">
        <f t="array" ref="A28">_xlfn._xlws.SORT(Vendor_Master!A28)</f>
        <v>VND-027</v>
      </c>
      <c r="B28" t="str">
        <f>_xlfn.XLOOKUP(Compliance_Sheet!A28,Vendor_Master!A28,Vendor_Master!B28,"")</f>
        <v>Vendor_027</v>
      </c>
      <c r="C28" t="str">
        <f>_xlfn.XLOOKUP(A28,Vendor_Master!A28,Vendor_Master!C28,"")</f>
        <v>Waste Services</v>
      </c>
      <c r="D28" t="str">
        <f>_xlfn.XLOOKUP(A28,Vendor_Master!A28,Vendor_Master!D28,"")</f>
        <v>East</v>
      </c>
      <c r="E28">
        <f>_xlfn.XLOOKUP(A28,Vendor_Master!A28,Vendor_Master!E28,0)</f>
        <v>2844664</v>
      </c>
      <c r="F28" t="str">
        <f>_xlfn.XLOOKUP(A28,Vendor_Master!A28,Vendor_Master!H28,"")</f>
        <v>contact27@vendor.com</v>
      </c>
      <c r="G28">
        <f ca="1">COUNTIFS(Sustainability_Documents!$A:$A,$A28,Sustainability_Documents!$H:$H,"Missing")</f>
        <v>0</v>
      </c>
      <c r="H28">
        <f ca="1">COUNTIFS(Sustainability_Documents!$A:$A,$A28,Sustainability_Documents!$H:$H,"Expired")</f>
        <v>0</v>
      </c>
      <c r="I28">
        <f ca="1">COUNTIFS(Sustainability_Documents!$A:$A,$A28,Sustainability_Documents!$H:$H,"Expiring Soon")</f>
        <v>0</v>
      </c>
      <c r="J28">
        <f>COUNTIFS(Sustainability_Documents!$A:$A,$A28,Sustainability_Documents!$C:$C,"Yes")</f>
        <v>4</v>
      </c>
      <c r="K28">
        <f ca="1">IF($J28=0,"",($J28-$G28-$H28)/$J28)</f>
        <v>1</v>
      </c>
      <c r="L28">
        <f>COUNTIFS(OutReach_Log!$A:$A,$A28,OutReach_Log!$G:$G,"Yes")</f>
        <v>0</v>
      </c>
      <c r="M28">
        <f>COUNTIFS(OutReach_Log!$A:$A,$A28,OutReach_Log!$E:$E,"Pending")
 +COUNTIFS(OutReach_Log!$A:$A,$A28,OutReach_Log!$E:$E,"Escalated")</f>
        <v>0</v>
      </c>
      <c r="N28">
        <f>COUNTIFS(Incident_Log!$A:$A,$A28,Incident_Log!$C:$C,"High",Incident_Log!$E:$E,"No")</f>
        <v>0</v>
      </c>
      <c r="O28" t="str">
        <f t="shared" ca="1" si="0"/>
        <v>Attention Required</v>
      </c>
      <c r="P28">
        <f ca="1">($G28*40)+($H28*30)+($I28*10)+($N28*50)+IF($L28&gt;0,20,0)</f>
        <v>0</v>
      </c>
      <c r="Q28">
        <f ca="1">E28*(P28/100)</f>
        <v>0</v>
      </c>
      <c r="R28">
        <f ca="1">_xlfn.RANK.EQ($Q28,$Q$2:$Q$401,0)</f>
        <v>180</v>
      </c>
    </row>
    <row r="29" spans="1:18">
      <c r="A29" t="str" cm="1">
        <f t="array" ref="A29">_xlfn._xlws.SORT(Vendor_Master!A29)</f>
        <v>VND-028</v>
      </c>
      <c r="B29" t="str">
        <f>_xlfn.XLOOKUP(Compliance_Sheet!A29,Vendor_Master!A29,Vendor_Master!B29,"")</f>
        <v>Vendor_028</v>
      </c>
      <c r="C29" t="str">
        <f>_xlfn.XLOOKUP(A29,Vendor_Master!A29,Vendor_Master!C29,"")</f>
        <v>Waste Services</v>
      </c>
      <c r="D29" t="str">
        <f>_xlfn.XLOOKUP(A29,Vendor_Master!A29,Vendor_Master!D29,"")</f>
        <v>East</v>
      </c>
      <c r="E29">
        <f>_xlfn.XLOOKUP(A29,Vendor_Master!A29,Vendor_Master!E29,0)</f>
        <v>2378882</v>
      </c>
      <c r="F29" t="str">
        <f>_xlfn.XLOOKUP(A29,Vendor_Master!A29,Vendor_Master!H29,"")</f>
        <v>contact28@vendor.com</v>
      </c>
      <c r="G29">
        <f ca="1">COUNTIFS(Sustainability_Documents!$A:$A,$A29,Sustainability_Documents!$H:$H,"Missing")</f>
        <v>0</v>
      </c>
      <c r="H29">
        <f ca="1">COUNTIFS(Sustainability_Documents!$A:$A,$A29,Sustainability_Documents!$H:$H,"Expired")</f>
        <v>0</v>
      </c>
      <c r="I29">
        <f ca="1">COUNTIFS(Sustainability_Documents!$A:$A,$A29,Sustainability_Documents!$H:$H,"Expiring Soon")</f>
        <v>0</v>
      </c>
      <c r="J29">
        <f>COUNTIFS(Sustainability_Documents!$A:$A,$A29,Sustainability_Documents!$C:$C,"Yes")</f>
        <v>4</v>
      </c>
      <c r="K29">
        <f ca="1">IF($J29=0,"",($J29-$G29-$H29)/$J29)</f>
        <v>1</v>
      </c>
      <c r="L29">
        <f>COUNTIFS(OutReach_Log!$A:$A,$A29,OutReach_Log!$G:$G,"Yes")</f>
        <v>0</v>
      </c>
      <c r="M29">
        <f>COUNTIFS(OutReach_Log!$A:$A,$A29,OutReach_Log!$E:$E,"Pending")
 +COUNTIFS(OutReach_Log!$A:$A,$A29,OutReach_Log!$E:$E,"Escalated")</f>
        <v>0</v>
      </c>
      <c r="N29">
        <f>COUNTIFS(Incident_Log!$A:$A,$A29,Incident_Log!$C:$C,"High",Incident_Log!$E:$E,"No")</f>
        <v>0</v>
      </c>
      <c r="O29" t="str">
        <f t="shared" ca="1" si="0"/>
        <v>Attention Required</v>
      </c>
      <c r="P29">
        <f ca="1">($G29*40)+($H29*30)+($I29*10)+($N29*50)+IF($L29&gt;0,20,0)</f>
        <v>0</v>
      </c>
      <c r="Q29">
        <f ca="1">E29*(P29/100)</f>
        <v>0</v>
      </c>
      <c r="R29">
        <f ca="1">_xlfn.RANK.EQ($Q29,$Q$2:$Q$401,0)</f>
        <v>180</v>
      </c>
    </row>
    <row r="30" spans="1:18">
      <c r="A30" t="str" cm="1">
        <f t="array" ref="A30">_xlfn._xlws.SORT(Vendor_Master!A30)</f>
        <v>VND-029</v>
      </c>
      <c r="B30" t="str">
        <f>_xlfn.XLOOKUP(Compliance_Sheet!A30,Vendor_Master!A30,Vendor_Master!B30,"")</f>
        <v>Vendor_029</v>
      </c>
      <c r="C30" t="str">
        <f>_xlfn.XLOOKUP(A30,Vendor_Master!A30,Vendor_Master!C30,"")</f>
        <v>Waste Services</v>
      </c>
      <c r="D30" t="str">
        <f>_xlfn.XLOOKUP(A30,Vendor_Master!A30,Vendor_Master!D30,"")</f>
        <v>East</v>
      </c>
      <c r="E30">
        <f>_xlfn.XLOOKUP(A30,Vendor_Master!A30,Vendor_Master!E30,0)</f>
        <v>1077549</v>
      </c>
      <c r="F30" t="str">
        <f>_xlfn.XLOOKUP(A30,Vendor_Master!A30,Vendor_Master!H30,"")</f>
        <v>contact29@vendor.com</v>
      </c>
      <c r="G30">
        <f ca="1">COUNTIFS(Sustainability_Documents!$A:$A,$A30,Sustainability_Documents!$H:$H,"Missing")</f>
        <v>0</v>
      </c>
      <c r="H30">
        <f ca="1">COUNTIFS(Sustainability_Documents!$A:$A,$A30,Sustainability_Documents!$H:$H,"Expired")</f>
        <v>0</v>
      </c>
      <c r="I30">
        <f ca="1">COUNTIFS(Sustainability_Documents!$A:$A,$A30,Sustainability_Documents!$H:$H,"Expiring Soon")</f>
        <v>0</v>
      </c>
      <c r="J30">
        <f>COUNTIFS(Sustainability_Documents!$A:$A,$A30,Sustainability_Documents!$C:$C,"Yes")</f>
        <v>4</v>
      </c>
      <c r="K30">
        <f ca="1">IF($J30=0,"",($J30-$G30-$H30)/$J30)</f>
        <v>1</v>
      </c>
      <c r="L30">
        <f>COUNTIFS(OutReach_Log!$A:$A,$A30,OutReach_Log!$G:$G,"Yes")</f>
        <v>0</v>
      </c>
      <c r="M30">
        <f>COUNTIFS(OutReach_Log!$A:$A,$A30,OutReach_Log!$E:$E,"Pending")
 +COUNTIFS(OutReach_Log!$A:$A,$A30,OutReach_Log!$E:$E,"Escalated")</f>
        <v>0</v>
      </c>
      <c r="N30">
        <f>COUNTIFS(Incident_Log!$A:$A,$A30,Incident_Log!$C:$C,"High",Incident_Log!$E:$E,"No")</f>
        <v>0</v>
      </c>
      <c r="O30" t="str">
        <f t="shared" ca="1" si="0"/>
        <v>Attention Required</v>
      </c>
      <c r="P30">
        <f ca="1">($G30*40)+($H30*30)+($I30*10)+($N30*50)+IF($L30&gt;0,20,0)</f>
        <v>0</v>
      </c>
      <c r="Q30">
        <f ca="1">E30*(P30/100)</f>
        <v>0</v>
      </c>
      <c r="R30">
        <f ca="1">_xlfn.RANK.EQ($Q30,$Q$2:$Q$401,0)</f>
        <v>180</v>
      </c>
    </row>
    <row r="31" spans="1:18">
      <c r="A31" t="str" cm="1">
        <f t="array" ref="A31">_xlfn._xlws.SORT(Vendor_Master!A31)</f>
        <v>VND-030</v>
      </c>
      <c r="B31" t="str">
        <f>_xlfn.XLOOKUP(Compliance_Sheet!A31,Vendor_Master!A31,Vendor_Master!B31,"")</f>
        <v>Vendor_030</v>
      </c>
      <c r="C31" t="str">
        <f>_xlfn.XLOOKUP(A31,Vendor_Master!A31,Vendor_Master!C31,"")</f>
        <v>Waste Services</v>
      </c>
      <c r="D31" t="str">
        <f>_xlfn.XLOOKUP(A31,Vendor_Master!A31,Vendor_Master!D31,"")</f>
        <v>East</v>
      </c>
      <c r="E31">
        <f>_xlfn.XLOOKUP(A31,Vendor_Master!A31,Vendor_Master!E31,0)</f>
        <v>940767</v>
      </c>
      <c r="F31" t="str">
        <f>_xlfn.XLOOKUP(A31,Vendor_Master!A31,Vendor_Master!H31,"")</f>
        <v>contact30@vendor.com</v>
      </c>
      <c r="G31">
        <f ca="1">COUNTIFS(Sustainability_Documents!$A:$A,$A31,Sustainability_Documents!$H:$H,"Missing")</f>
        <v>0</v>
      </c>
      <c r="H31">
        <f ca="1">COUNTIFS(Sustainability_Documents!$A:$A,$A31,Sustainability_Documents!$H:$H,"Expired")</f>
        <v>0</v>
      </c>
      <c r="I31">
        <f ca="1">COUNTIFS(Sustainability_Documents!$A:$A,$A31,Sustainability_Documents!$H:$H,"Expiring Soon")</f>
        <v>0</v>
      </c>
      <c r="J31">
        <f>COUNTIFS(Sustainability_Documents!$A:$A,$A31,Sustainability_Documents!$C:$C,"Yes")</f>
        <v>4</v>
      </c>
      <c r="K31">
        <f ca="1">IF($J31=0,"",($J31-$G31-$H31)/$J31)</f>
        <v>1</v>
      </c>
      <c r="L31">
        <f>COUNTIFS(OutReach_Log!$A:$A,$A31,OutReach_Log!$G:$G,"Yes")</f>
        <v>0</v>
      </c>
      <c r="M31">
        <f>COUNTIFS(OutReach_Log!$A:$A,$A31,OutReach_Log!$E:$E,"Pending")
 +COUNTIFS(OutReach_Log!$A:$A,$A31,OutReach_Log!$E:$E,"Escalated")</f>
        <v>0</v>
      </c>
      <c r="N31">
        <f>COUNTIFS(Incident_Log!$A:$A,$A31,Incident_Log!$C:$C,"High",Incident_Log!$E:$E,"No")</f>
        <v>0</v>
      </c>
      <c r="O31" t="str">
        <f t="shared" ca="1" si="0"/>
        <v>Attention Required</v>
      </c>
      <c r="P31">
        <f ca="1">($G31*40)+($H31*30)+($I31*10)+($N31*50)+IF($L31&gt;0,20,0)</f>
        <v>0</v>
      </c>
      <c r="Q31">
        <f ca="1">E31*(P31/100)</f>
        <v>0</v>
      </c>
      <c r="R31">
        <f ca="1">_xlfn.RANK.EQ($Q31,$Q$2:$Q$401,0)</f>
        <v>180</v>
      </c>
    </row>
    <row r="32" spans="1:18">
      <c r="A32" t="str" cm="1">
        <f t="array" ref="A32">_xlfn._xlws.SORT(Vendor_Master!A32)</f>
        <v>VND-031</v>
      </c>
      <c r="B32" t="str">
        <f>_xlfn.XLOOKUP(Compliance_Sheet!A32,Vendor_Master!A32,Vendor_Master!B32,"")</f>
        <v>Vendor_031</v>
      </c>
      <c r="C32" t="str">
        <f>_xlfn.XLOOKUP(A32,Vendor_Master!A32,Vendor_Master!C32,"")</f>
        <v>Waste Services</v>
      </c>
      <c r="D32" t="str">
        <f>_xlfn.XLOOKUP(A32,Vendor_Master!A32,Vendor_Master!D32,"")</f>
        <v>East</v>
      </c>
      <c r="E32">
        <f>_xlfn.XLOOKUP(A32,Vendor_Master!A32,Vendor_Master!E32,0)</f>
        <v>307728</v>
      </c>
      <c r="F32" t="str">
        <f>_xlfn.XLOOKUP(A32,Vendor_Master!A32,Vendor_Master!H32,"")</f>
        <v>contact31@vendor.com</v>
      </c>
      <c r="G32">
        <f ca="1">COUNTIFS(Sustainability_Documents!$A:$A,$A32,Sustainability_Documents!$H:$H,"Missing")</f>
        <v>0</v>
      </c>
      <c r="H32">
        <f ca="1">COUNTIFS(Sustainability_Documents!$A:$A,$A32,Sustainability_Documents!$H:$H,"Expired")</f>
        <v>0</v>
      </c>
      <c r="I32">
        <f ca="1">COUNTIFS(Sustainability_Documents!$A:$A,$A32,Sustainability_Documents!$H:$H,"Expiring Soon")</f>
        <v>0</v>
      </c>
      <c r="J32">
        <f>COUNTIFS(Sustainability_Documents!$A:$A,$A32,Sustainability_Documents!$C:$C,"Yes")</f>
        <v>4</v>
      </c>
      <c r="K32">
        <f ca="1">IF($J32=0,"",($J32-$G32-$H32)/$J32)</f>
        <v>1</v>
      </c>
      <c r="L32">
        <f>COUNTIFS(OutReach_Log!$A:$A,$A32,OutReach_Log!$G:$G,"Yes")</f>
        <v>0</v>
      </c>
      <c r="M32">
        <f>COUNTIFS(OutReach_Log!$A:$A,$A32,OutReach_Log!$E:$E,"Pending")
 +COUNTIFS(OutReach_Log!$A:$A,$A32,OutReach_Log!$E:$E,"Escalated")</f>
        <v>0</v>
      </c>
      <c r="N32">
        <f>COUNTIFS(Incident_Log!$A:$A,$A32,Incident_Log!$C:$C,"High",Incident_Log!$E:$E,"No")</f>
        <v>0</v>
      </c>
      <c r="O32" t="str">
        <f t="shared" ca="1" si="0"/>
        <v>Attention Required</v>
      </c>
      <c r="P32">
        <f ca="1">($G32*40)+($H32*30)+($I32*10)+($N32*50)+IF($L32&gt;0,20,0)</f>
        <v>0</v>
      </c>
      <c r="Q32">
        <f ca="1">E32*(P32/100)</f>
        <v>0</v>
      </c>
      <c r="R32">
        <f ca="1">_xlfn.RANK.EQ($Q32,$Q$2:$Q$401,0)</f>
        <v>180</v>
      </c>
    </row>
    <row r="33" spans="1:18">
      <c r="A33" t="str" cm="1">
        <f t="array" ref="A33">_xlfn._xlws.SORT(Vendor_Master!A33)</f>
        <v>VND-032</v>
      </c>
      <c r="B33" t="str">
        <f>_xlfn.XLOOKUP(Compliance_Sheet!A33,Vendor_Master!A33,Vendor_Master!B33,"")</f>
        <v>Vendor_032</v>
      </c>
      <c r="C33" t="str">
        <f>_xlfn.XLOOKUP(A33,Vendor_Master!A33,Vendor_Master!C33,"")</f>
        <v>Waste Services</v>
      </c>
      <c r="D33" t="str">
        <f>_xlfn.XLOOKUP(A33,Vendor_Master!A33,Vendor_Master!D33,"")</f>
        <v>East</v>
      </c>
      <c r="E33">
        <f>_xlfn.XLOOKUP(A33,Vendor_Master!A33,Vendor_Master!E33,0)</f>
        <v>587054</v>
      </c>
      <c r="F33" t="str">
        <f>_xlfn.XLOOKUP(A33,Vendor_Master!A33,Vendor_Master!H33,"")</f>
        <v>contact32@vendor.com</v>
      </c>
      <c r="G33">
        <f ca="1">COUNTIFS(Sustainability_Documents!$A:$A,$A33,Sustainability_Documents!$H:$H,"Missing")</f>
        <v>0</v>
      </c>
      <c r="H33">
        <f ca="1">COUNTIFS(Sustainability_Documents!$A:$A,$A33,Sustainability_Documents!$H:$H,"Expired")</f>
        <v>0</v>
      </c>
      <c r="I33">
        <f ca="1">COUNTIFS(Sustainability_Documents!$A:$A,$A33,Sustainability_Documents!$H:$H,"Expiring Soon")</f>
        <v>0</v>
      </c>
      <c r="J33">
        <f>COUNTIFS(Sustainability_Documents!$A:$A,$A33,Sustainability_Documents!$C:$C,"Yes")</f>
        <v>4</v>
      </c>
      <c r="K33">
        <f ca="1">IF($J33=0,"",($J33-$G33-$H33)/$J33)</f>
        <v>1</v>
      </c>
      <c r="L33">
        <f>COUNTIFS(OutReach_Log!$A:$A,$A33,OutReach_Log!$G:$G,"Yes")</f>
        <v>0</v>
      </c>
      <c r="M33">
        <f>COUNTIFS(OutReach_Log!$A:$A,$A33,OutReach_Log!$E:$E,"Pending")
 +COUNTIFS(OutReach_Log!$A:$A,$A33,OutReach_Log!$E:$E,"Escalated")</f>
        <v>0</v>
      </c>
      <c r="N33">
        <f>COUNTIFS(Incident_Log!$A:$A,$A33,Incident_Log!$C:$C,"High",Incident_Log!$E:$E,"No")</f>
        <v>0</v>
      </c>
      <c r="O33" t="str">
        <f t="shared" ca="1" si="0"/>
        <v>Attention Required</v>
      </c>
      <c r="P33">
        <f ca="1">($G33*40)+($H33*30)+($I33*10)+($N33*50)+IF($L33&gt;0,20,0)</f>
        <v>0</v>
      </c>
      <c r="Q33">
        <f ca="1">E33*(P33/100)</f>
        <v>0</v>
      </c>
      <c r="R33">
        <f ca="1">_xlfn.RANK.EQ($Q33,$Q$2:$Q$401,0)</f>
        <v>180</v>
      </c>
    </row>
    <row r="34" spans="1:18">
      <c r="A34" t="str" cm="1">
        <f t="array" ref="A34">_xlfn._xlws.SORT(Vendor_Master!A34)</f>
        <v>VND-033</v>
      </c>
      <c r="B34" t="str">
        <f>_xlfn.XLOOKUP(Compliance_Sheet!A34,Vendor_Master!A34,Vendor_Master!B34,"")</f>
        <v>Vendor_033</v>
      </c>
      <c r="C34" t="str">
        <f>_xlfn.XLOOKUP(A34,Vendor_Master!A34,Vendor_Master!C34,"")</f>
        <v>Waste Services</v>
      </c>
      <c r="D34" t="str">
        <f>_xlfn.XLOOKUP(A34,Vendor_Master!A34,Vendor_Master!D34,"")</f>
        <v>East</v>
      </c>
      <c r="E34">
        <f>_xlfn.XLOOKUP(A34,Vendor_Master!A34,Vendor_Master!E34,0)</f>
        <v>383868</v>
      </c>
      <c r="F34" t="str">
        <f>_xlfn.XLOOKUP(A34,Vendor_Master!A34,Vendor_Master!H34,"")</f>
        <v>contact33@vendor.com</v>
      </c>
      <c r="G34">
        <f ca="1">COUNTIFS(Sustainability_Documents!$A:$A,$A34,Sustainability_Documents!$H:$H,"Missing")</f>
        <v>0</v>
      </c>
      <c r="H34">
        <f ca="1">COUNTIFS(Sustainability_Documents!$A:$A,$A34,Sustainability_Documents!$H:$H,"Expired")</f>
        <v>0</v>
      </c>
      <c r="I34">
        <f ca="1">COUNTIFS(Sustainability_Documents!$A:$A,$A34,Sustainability_Documents!$H:$H,"Expiring Soon")</f>
        <v>0</v>
      </c>
      <c r="J34">
        <f>COUNTIFS(Sustainability_Documents!$A:$A,$A34,Sustainability_Documents!$C:$C,"Yes")</f>
        <v>4</v>
      </c>
      <c r="K34">
        <f ca="1">IF($J34=0,"",($J34-$G34-$H34)/$J34)</f>
        <v>1</v>
      </c>
      <c r="L34">
        <f>COUNTIFS(OutReach_Log!$A:$A,$A34,OutReach_Log!$G:$G,"Yes")</f>
        <v>0</v>
      </c>
      <c r="M34">
        <f>COUNTIFS(OutReach_Log!$A:$A,$A34,OutReach_Log!$E:$E,"Pending")
 +COUNTIFS(OutReach_Log!$A:$A,$A34,OutReach_Log!$E:$E,"Escalated")</f>
        <v>0</v>
      </c>
      <c r="N34">
        <f>COUNTIFS(Incident_Log!$A:$A,$A34,Incident_Log!$C:$C,"High",Incident_Log!$E:$E,"No")</f>
        <v>0</v>
      </c>
      <c r="O34" t="str">
        <f t="shared" ca="1" si="0"/>
        <v>Attention Required</v>
      </c>
      <c r="P34">
        <f ca="1">($G34*40)+($H34*30)+($I34*10)+($N34*50)+IF($L34&gt;0,20,0)</f>
        <v>0</v>
      </c>
      <c r="Q34">
        <f ca="1">E34*(P34/100)</f>
        <v>0</v>
      </c>
      <c r="R34">
        <f ca="1">_xlfn.RANK.EQ($Q34,$Q$2:$Q$401,0)</f>
        <v>180</v>
      </c>
    </row>
    <row r="35" spans="1:18">
      <c r="A35" t="str" cm="1">
        <f t="array" ref="A35">_xlfn._xlws.SORT(Vendor_Master!A35)</f>
        <v>VND-034</v>
      </c>
      <c r="B35" t="str">
        <f>_xlfn.XLOOKUP(Compliance_Sheet!A35,Vendor_Master!A35,Vendor_Master!B35,"")</f>
        <v>Vendor_034</v>
      </c>
      <c r="C35" t="str">
        <f>_xlfn.XLOOKUP(A35,Vendor_Master!A35,Vendor_Master!C35,"")</f>
        <v>Waste Services</v>
      </c>
      <c r="D35" t="str">
        <f>_xlfn.XLOOKUP(A35,Vendor_Master!A35,Vendor_Master!D35,"")</f>
        <v>East</v>
      </c>
      <c r="E35">
        <f>_xlfn.XLOOKUP(A35,Vendor_Master!A35,Vendor_Master!E35,0)</f>
        <v>316419</v>
      </c>
      <c r="F35" t="str">
        <f>_xlfn.XLOOKUP(A35,Vendor_Master!A35,Vendor_Master!H35,"")</f>
        <v>contact34@vendor.com</v>
      </c>
      <c r="G35">
        <f ca="1">COUNTIFS(Sustainability_Documents!$A:$A,$A35,Sustainability_Documents!$H:$H,"Missing")</f>
        <v>0</v>
      </c>
      <c r="H35">
        <f ca="1">COUNTIFS(Sustainability_Documents!$A:$A,$A35,Sustainability_Documents!$H:$H,"Expired")</f>
        <v>0</v>
      </c>
      <c r="I35">
        <f ca="1">COUNTIFS(Sustainability_Documents!$A:$A,$A35,Sustainability_Documents!$H:$H,"Expiring Soon")</f>
        <v>0</v>
      </c>
      <c r="J35">
        <f>COUNTIFS(Sustainability_Documents!$A:$A,$A35,Sustainability_Documents!$C:$C,"Yes")</f>
        <v>4</v>
      </c>
      <c r="K35">
        <f ca="1">IF($J35=0,"",($J35-$G35-$H35)/$J35)</f>
        <v>1</v>
      </c>
      <c r="L35">
        <f>COUNTIFS(OutReach_Log!$A:$A,$A35,OutReach_Log!$G:$G,"Yes")</f>
        <v>0</v>
      </c>
      <c r="M35">
        <f>COUNTIFS(OutReach_Log!$A:$A,$A35,OutReach_Log!$E:$E,"Pending")
 +COUNTIFS(OutReach_Log!$A:$A,$A35,OutReach_Log!$E:$E,"Escalated")</f>
        <v>0</v>
      </c>
      <c r="N35">
        <f>COUNTIFS(Incident_Log!$A:$A,$A35,Incident_Log!$C:$C,"High",Incident_Log!$E:$E,"No")</f>
        <v>0</v>
      </c>
      <c r="O35" t="str">
        <f t="shared" ca="1" si="0"/>
        <v>Attention Required</v>
      </c>
      <c r="P35">
        <f ca="1">($G35*40)+($H35*30)+($I35*10)+($N35*50)+IF($L35&gt;0,20,0)</f>
        <v>0</v>
      </c>
      <c r="Q35">
        <f ca="1">E35*(P35/100)</f>
        <v>0</v>
      </c>
      <c r="R35">
        <f ca="1">_xlfn.RANK.EQ($Q35,$Q$2:$Q$401,0)</f>
        <v>180</v>
      </c>
    </row>
    <row r="36" spans="1:18">
      <c r="A36" t="str" cm="1">
        <f t="array" ref="A36">_xlfn._xlws.SORT(Vendor_Master!A36)</f>
        <v>VND-035</v>
      </c>
      <c r="B36" t="str">
        <f>_xlfn.XLOOKUP(Compliance_Sheet!A36,Vendor_Master!A36,Vendor_Master!B36,"")</f>
        <v>Vendor_035</v>
      </c>
      <c r="C36" t="str">
        <f>_xlfn.XLOOKUP(A36,Vendor_Master!A36,Vendor_Master!C36,"")</f>
        <v>Waste Services</v>
      </c>
      <c r="D36" t="str">
        <f>_xlfn.XLOOKUP(A36,Vendor_Master!A36,Vendor_Master!D36,"")</f>
        <v>East</v>
      </c>
      <c r="E36">
        <f>_xlfn.XLOOKUP(A36,Vendor_Master!A36,Vendor_Master!E36,0)</f>
        <v>867497</v>
      </c>
      <c r="F36" t="str">
        <f>_xlfn.XLOOKUP(A36,Vendor_Master!A36,Vendor_Master!H36,"")</f>
        <v>contact35@vendor.com</v>
      </c>
      <c r="G36">
        <f ca="1">COUNTIFS(Sustainability_Documents!$A:$A,$A36,Sustainability_Documents!$H:$H,"Missing")</f>
        <v>0</v>
      </c>
      <c r="H36">
        <f ca="1">COUNTIFS(Sustainability_Documents!$A:$A,$A36,Sustainability_Documents!$H:$H,"Expired")</f>
        <v>0</v>
      </c>
      <c r="I36">
        <f ca="1">COUNTIFS(Sustainability_Documents!$A:$A,$A36,Sustainability_Documents!$H:$H,"Expiring Soon")</f>
        <v>0</v>
      </c>
      <c r="J36">
        <f>COUNTIFS(Sustainability_Documents!$A:$A,$A36,Sustainability_Documents!$C:$C,"Yes")</f>
        <v>4</v>
      </c>
      <c r="K36">
        <f ca="1">IF($J36=0,"",($J36-$G36-$H36)/$J36)</f>
        <v>1</v>
      </c>
      <c r="L36">
        <f>COUNTIFS(OutReach_Log!$A:$A,$A36,OutReach_Log!$G:$G,"Yes")</f>
        <v>0</v>
      </c>
      <c r="M36">
        <f>COUNTIFS(OutReach_Log!$A:$A,$A36,OutReach_Log!$E:$E,"Pending")
 +COUNTIFS(OutReach_Log!$A:$A,$A36,OutReach_Log!$E:$E,"Escalated")</f>
        <v>0</v>
      </c>
      <c r="N36">
        <f>COUNTIFS(Incident_Log!$A:$A,$A36,Incident_Log!$C:$C,"High",Incident_Log!$E:$E,"No")</f>
        <v>0</v>
      </c>
      <c r="O36" t="str">
        <f t="shared" ca="1" si="0"/>
        <v>Attention Required</v>
      </c>
      <c r="P36">
        <f ca="1">($G36*40)+($H36*30)+($I36*10)+($N36*50)+IF($L36&gt;0,20,0)</f>
        <v>0</v>
      </c>
      <c r="Q36">
        <f ca="1">E36*(P36/100)</f>
        <v>0</v>
      </c>
      <c r="R36">
        <f ca="1">_xlfn.RANK.EQ($Q36,$Q$2:$Q$401,0)</f>
        <v>180</v>
      </c>
    </row>
    <row r="37" spans="1:18">
      <c r="A37" t="str" cm="1">
        <f t="array" ref="A37">_xlfn._xlws.SORT(Vendor_Master!A37)</f>
        <v>VND-036</v>
      </c>
      <c r="B37" t="str">
        <f>_xlfn.XLOOKUP(Compliance_Sheet!A37,Vendor_Master!A37,Vendor_Master!B37,"")</f>
        <v>Vendor_036</v>
      </c>
      <c r="C37" t="str">
        <f>_xlfn.XLOOKUP(A37,Vendor_Master!A37,Vendor_Master!C37,"")</f>
        <v>Waste Services</v>
      </c>
      <c r="D37" t="str">
        <f>_xlfn.XLOOKUP(A37,Vendor_Master!A37,Vendor_Master!D37,"")</f>
        <v>East</v>
      </c>
      <c r="E37">
        <f>_xlfn.XLOOKUP(A37,Vendor_Master!A37,Vendor_Master!E37,0)</f>
        <v>857077</v>
      </c>
      <c r="F37" t="str">
        <f>_xlfn.XLOOKUP(A37,Vendor_Master!A37,Vendor_Master!H37,"")</f>
        <v>contact36@vendor.com</v>
      </c>
      <c r="G37">
        <f ca="1">COUNTIFS(Sustainability_Documents!$A:$A,$A37,Sustainability_Documents!$H:$H,"Missing")</f>
        <v>0</v>
      </c>
      <c r="H37">
        <f ca="1">COUNTIFS(Sustainability_Documents!$A:$A,$A37,Sustainability_Documents!$H:$H,"Expired")</f>
        <v>0</v>
      </c>
      <c r="I37">
        <f ca="1">COUNTIFS(Sustainability_Documents!$A:$A,$A37,Sustainability_Documents!$H:$H,"Expiring Soon")</f>
        <v>0</v>
      </c>
      <c r="J37">
        <f>COUNTIFS(Sustainability_Documents!$A:$A,$A37,Sustainability_Documents!$C:$C,"Yes")</f>
        <v>4</v>
      </c>
      <c r="K37">
        <f ca="1">IF($J37=0,"",($J37-$G37-$H37)/$J37)</f>
        <v>1</v>
      </c>
      <c r="L37">
        <f>COUNTIFS(OutReach_Log!$A:$A,$A37,OutReach_Log!$G:$G,"Yes")</f>
        <v>0</v>
      </c>
      <c r="M37">
        <f>COUNTIFS(OutReach_Log!$A:$A,$A37,OutReach_Log!$E:$E,"Pending")
 +COUNTIFS(OutReach_Log!$A:$A,$A37,OutReach_Log!$E:$E,"Escalated")</f>
        <v>0</v>
      </c>
      <c r="N37">
        <f>COUNTIFS(Incident_Log!$A:$A,$A37,Incident_Log!$C:$C,"High",Incident_Log!$E:$E,"No")</f>
        <v>0</v>
      </c>
      <c r="O37" t="str">
        <f t="shared" ca="1" si="0"/>
        <v>Attention Required</v>
      </c>
      <c r="P37">
        <f ca="1">($G37*40)+($H37*30)+($I37*10)+($N37*50)+IF($L37&gt;0,20,0)</f>
        <v>0</v>
      </c>
      <c r="Q37">
        <f ca="1">E37*(P37/100)</f>
        <v>0</v>
      </c>
      <c r="R37">
        <f ca="1">_xlfn.RANK.EQ($Q37,$Q$2:$Q$401,0)</f>
        <v>180</v>
      </c>
    </row>
    <row r="38" spans="1:18">
      <c r="A38" t="str" cm="1">
        <f t="array" ref="A38">_xlfn._xlws.SORT(Vendor_Master!A38)</f>
        <v>VND-037</v>
      </c>
      <c r="B38" t="str">
        <f>_xlfn.XLOOKUP(Compliance_Sheet!A38,Vendor_Master!A38,Vendor_Master!B38,"")</f>
        <v>Vendor_037</v>
      </c>
      <c r="C38" t="str">
        <f>_xlfn.XLOOKUP(A38,Vendor_Master!A38,Vendor_Master!C38,"")</f>
        <v>Waste Services</v>
      </c>
      <c r="D38" t="str">
        <f>_xlfn.XLOOKUP(A38,Vendor_Master!A38,Vendor_Master!D38,"")</f>
        <v>East</v>
      </c>
      <c r="E38">
        <f>_xlfn.XLOOKUP(A38,Vendor_Master!A38,Vendor_Master!E38,0)</f>
        <v>986843</v>
      </c>
      <c r="F38" t="str">
        <f>_xlfn.XLOOKUP(A38,Vendor_Master!A38,Vendor_Master!H38,"")</f>
        <v>contact37@vendor.com</v>
      </c>
      <c r="G38">
        <f ca="1">COUNTIFS(Sustainability_Documents!$A:$A,$A38,Sustainability_Documents!$H:$H,"Missing")</f>
        <v>0</v>
      </c>
      <c r="H38">
        <f ca="1">COUNTIFS(Sustainability_Documents!$A:$A,$A38,Sustainability_Documents!$H:$H,"Expired")</f>
        <v>0</v>
      </c>
      <c r="I38">
        <f ca="1">COUNTIFS(Sustainability_Documents!$A:$A,$A38,Sustainability_Documents!$H:$H,"Expiring Soon")</f>
        <v>0</v>
      </c>
      <c r="J38">
        <f>COUNTIFS(Sustainability_Documents!$A:$A,$A38,Sustainability_Documents!$C:$C,"Yes")</f>
        <v>4</v>
      </c>
      <c r="K38">
        <f ca="1">IF($J38=0,"",($J38-$G38-$H38)/$J38)</f>
        <v>1</v>
      </c>
      <c r="L38">
        <f>COUNTIFS(OutReach_Log!$A:$A,$A38,OutReach_Log!$G:$G,"Yes")</f>
        <v>0</v>
      </c>
      <c r="M38">
        <f>COUNTIFS(OutReach_Log!$A:$A,$A38,OutReach_Log!$E:$E,"Pending")
 +COUNTIFS(OutReach_Log!$A:$A,$A38,OutReach_Log!$E:$E,"Escalated")</f>
        <v>0</v>
      </c>
      <c r="N38">
        <f>COUNTIFS(Incident_Log!$A:$A,$A38,Incident_Log!$C:$C,"High",Incident_Log!$E:$E,"No")</f>
        <v>0</v>
      </c>
      <c r="O38" t="str">
        <f t="shared" ca="1" si="0"/>
        <v>Attention Required</v>
      </c>
      <c r="P38">
        <f ca="1">($G38*40)+($H38*30)+($I38*10)+($N38*50)+IF($L38&gt;0,20,0)</f>
        <v>0</v>
      </c>
      <c r="Q38">
        <f ca="1">E38*(P38/100)</f>
        <v>0</v>
      </c>
      <c r="R38">
        <f ca="1">_xlfn.RANK.EQ($Q38,$Q$2:$Q$401,0)</f>
        <v>180</v>
      </c>
    </row>
    <row r="39" spans="1:18">
      <c r="A39" t="str" cm="1">
        <f t="array" ref="A39">_xlfn._xlws.SORT(Vendor_Master!A39)</f>
        <v>VND-038</v>
      </c>
      <c r="B39" t="str">
        <f>_xlfn.XLOOKUP(Compliance_Sheet!A39,Vendor_Master!A39,Vendor_Master!B39,"")</f>
        <v>Vendor_038</v>
      </c>
      <c r="C39" t="str">
        <f>_xlfn.XLOOKUP(A39,Vendor_Master!A39,Vendor_Master!C39,"")</f>
        <v>Waste Services</v>
      </c>
      <c r="D39" t="str">
        <f>_xlfn.XLOOKUP(A39,Vendor_Master!A39,Vendor_Master!D39,"")</f>
        <v>East</v>
      </c>
      <c r="E39">
        <f>_xlfn.XLOOKUP(A39,Vendor_Master!A39,Vendor_Master!E39,0)</f>
        <v>913891</v>
      </c>
      <c r="F39" t="str">
        <f>_xlfn.XLOOKUP(A39,Vendor_Master!A39,Vendor_Master!H39,"")</f>
        <v>contact38@vendor.com</v>
      </c>
      <c r="G39">
        <f ca="1">COUNTIFS(Sustainability_Documents!$A:$A,$A39,Sustainability_Documents!$H:$H,"Missing")</f>
        <v>0</v>
      </c>
      <c r="H39">
        <f ca="1">COUNTIFS(Sustainability_Documents!$A:$A,$A39,Sustainability_Documents!$H:$H,"Expired")</f>
        <v>0</v>
      </c>
      <c r="I39">
        <f ca="1">COUNTIFS(Sustainability_Documents!$A:$A,$A39,Sustainability_Documents!$H:$H,"Expiring Soon")</f>
        <v>0</v>
      </c>
      <c r="J39">
        <f>COUNTIFS(Sustainability_Documents!$A:$A,$A39,Sustainability_Documents!$C:$C,"Yes")</f>
        <v>4</v>
      </c>
      <c r="K39">
        <f ca="1">IF($J39=0,"",($J39-$G39-$H39)/$J39)</f>
        <v>1</v>
      </c>
      <c r="L39">
        <f>COUNTIFS(OutReach_Log!$A:$A,$A39,OutReach_Log!$G:$G,"Yes")</f>
        <v>0</v>
      </c>
      <c r="M39">
        <f>COUNTIFS(OutReach_Log!$A:$A,$A39,OutReach_Log!$E:$E,"Pending")
 +COUNTIFS(OutReach_Log!$A:$A,$A39,OutReach_Log!$E:$E,"Escalated")</f>
        <v>0</v>
      </c>
      <c r="N39">
        <f>COUNTIFS(Incident_Log!$A:$A,$A39,Incident_Log!$C:$C,"High",Incident_Log!$E:$E,"No")</f>
        <v>0</v>
      </c>
      <c r="O39" t="str">
        <f t="shared" ca="1" si="0"/>
        <v>Attention Required</v>
      </c>
      <c r="P39">
        <f ca="1">($G39*40)+($H39*30)+($I39*10)+($N39*50)+IF($L39&gt;0,20,0)</f>
        <v>0</v>
      </c>
      <c r="Q39">
        <f ca="1">E39*(P39/100)</f>
        <v>0</v>
      </c>
      <c r="R39">
        <f ca="1">_xlfn.RANK.EQ($Q39,$Q$2:$Q$401,0)</f>
        <v>180</v>
      </c>
    </row>
    <row r="40" spans="1:18">
      <c r="A40" t="str" cm="1">
        <f t="array" ref="A40">_xlfn._xlws.SORT(Vendor_Master!A40)</f>
        <v>VND-039</v>
      </c>
      <c r="B40" t="str">
        <f>_xlfn.XLOOKUP(Compliance_Sheet!A40,Vendor_Master!A40,Vendor_Master!B40,"")</f>
        <v>Vendor_039</v>
      </c>
      <c r="C40" t="str">
        <f>_xlfn.XLOOKUP(A40,Vendor_Master!A40,Vendor_Master!C40,"")</f>
        <v>Waste Services</v>
      </c>
      <c r="D40" t="str">
        <f>_xlfn.XLOOKUP(A40,Vendor_Master!A40,Vendor_Master!D40,"")</f>
        <v>East</v>
      </c>
      <c r="E40">
        <f>_xlfn.XLOOKUP(A40,Vendor_Master!A40,Vendor_Master!E40,0)</f>
        <v>4148318</v>
      </c>
      <c r="F40" t="str">
        <f>_xlfn.XLOOKUP(A40,Vendor_Master!A40,Vendor_Master!H40,"")</f>
        <v>contact39@vendor.com</v>
      </c>
      <c r="G40">
        <f ca="1">COUNTIFS(Sustainability_Documents!$A:$A,$A40,Sustainability_Documents!$H:$H,"Missing")</f>
        <v>0</v>
      </c>
      <c r="H40">
        <f ca="1">COUNTIFS(Sustainability_Documents!$A:$A,$A40,Sustainability_Documents!$H:$H,"Expired")</f>
        <v>0</v>
      </c>
      <c r="I40">
        <f ca="1">COUNTIFS(Sustainability_Documents!$A:$A,$A40,Sustainability_Documents!$H:$H,"Expiring Soon")</f>
        <v>0</v>
      </c>
      <c r="J40">
        <f>COUNTIFS(Sustainability_Documents!$A:$A,$A40,Sustainability_Documents!$C:$C,"Yes")</f>
        <v>4</v>
      </c>
      <c r="K40">
        <f ca="1">IF($J40=0,"",($J40-$G40-$H40)/$J40)</f>
        <v>1</v>
      </c>
      <c r="L40">
        <f>COUNTIFS(OutReach_Log!$A:$A,$A40,OutReach_Log!$G:$G,"Yes")</f>
        <v>0</v>
      </c>
      <c r="M40">
        <f>COUNTIFS(OutReach_Log!$A:$A,$A40,OutReach_Log!$E:$E,"Pending")
 +COUNTIFS(OutReach_Log!$A:$A,$A40,OutReach_Log!$E:$E,"Escalated")</f>
        <v>0</v>
      </c>
      <c r="N40">
        <f>COUNTIFS(Incident_Log!$A:$A,$A40,Incident_Log!$C:$C,"High",Incident_Log!$E:$E,"No")</f>
        <v>0</v>
      </c>
      <c r="O40" t="str">
        <f t="shared" ca="1" si="0"/>
        <v>Attention Required</v>
      </c>
      <c r="P40">
        <f ca="1">($G40*40)+($H40*30)+($I40*10)+($N40*50)+IF($L40&gt;0,20,0)</f>
        <v>0</v>
      </c>
      <c r="Q40">
        <f ca="1">E40*(P40/100)</f>
        <v>0</v>
      </c>
      <c r="R40">
        <f ca="1">_xlfn.RANK.EQ($Q40,$Q$2:$Q$401,0)</f>
        <v>180</v>
      </c>
    </row>
    <row r="41" spans="1:18">
      <c r="A41" t="str" cm="1">
        <f t="array" ref="A41">_xlfn._xlws.SORT(Vendor_Master!A41)</f>
        <v>VND-040</v>
      </c>
      <c r="B41" t="str">
        <f>_xlfn.XLOOKUP(Compliance_Sheet!A41,Vendor_Master!A41,Vendor_Master!B41,"")</f>
        <v>Vendor_040</v>
      </c>
      <c r="C41" t="str">
        <f>_xlfn.XLOOKUP(A41,Vendor_Master!A41,Vendor_Master!C41,"")</f>
        <v>Waste Services</v>
      </c>
      <c r="D41" t="str">
        <f>_xlfn.XLOOKUP(A41,Vendor_Master!A41,Vendor_Master!D41,"")</f>
        <v>East</v>
      </c>
      <c r="E41">
        <f>_xlfn.XLOOKUP(A41,Vendor_Master!A41,Vendor_Master!E41,0)</f>
        <v>2357778</v>
      </c>
      <c r="F41" t="str">
        <f>_xlfn.XLOOKUP(A41,Vendor_Master!A41,Vendor_Master!H41,"")</f>
        <v>contact40@vendor.com</v>
      </c>
      <c r="G41">
        <f ca="1">COUNTIFS(Sustainability_Documents!$A:$A,$A41,Sustainability_Documents!$H:$H,"Missing")</f>
        <v>0</v>
      </c>
      <c r="H41">
        <f ca="1">COUNTIFS(Sustainability_Documents!$A:$A,$A41,Sustainability_Documents!$H:$H,"Expired")</f>
        <v>0</v>
      </c>
      <c r="I41">
        <f ca="1">COUNTIFS(Sustainability_Documents!$A:$A,$A41,Sustainability_Documents!$H:$H,"Expiring Soon")</f>
        <v>0</v>
      </c>
      <c r="J41">
        <f>COUNTIFS(Sustainability_Documents!$A:$A,$A41,Sustainability_Documents!$C:$C,"Yes")</f>
        <v>4</v>
      </c>
      <c r="K41">
        <f ca="1">IF($J41=0,"",($J41-$G41-$H41)/$J41)</f>
        <v>1</v>
      </c>
      <c r="L41">
        <f>COUNTIFS(OutReach_Log!$A:$A,$A41,OutReach_Log!$G:$G,"Yes")</f>
        <v>0</v>
      </c>
      <c r="M41">
        <f>COUNTIFS(OutReach_Log!$A:$A,$A41,OutReach_Log!$E:$E,"Pending")
 +COUNTIFS(OutReach_Log!$A:$A,$A41,OutReach_Log!$E:$E,"Escalated")</f>
        <v>0</v>
      </c>
      <c r="N41">
        <f>COUNTIFS(Incident_Log!$A:$A,$A41,Incident_Log!$C:$C,"High",Incident_Log!$E:$E,"No")</f>
        <v>0</v>
      </c>
      <c r="O41" t="str">
        <f t="shared" ca="1" si="0"/>
        <v>Attention Required</v>
      </c>
      <c r="P41">
        <f ca="1">($G41*40)+($H41*30)+($I41*10)+($N41*50)+IF($L41&gt;0,20,0)</f>
        <v>0</v>
      </c>
      <c r="Q41">
        <f ca="1">E41*(P41/100)</f>
        <v>0</v>
      </c>
      <c r="R41">
        <f ca="1">_xlfn.RANK.EQ($Q41,$Q$2:$Q$401,0)</f>
        <v>180</v>
      </c>
    </row>
    <row r="42" spans="1:18">
      <c r="A42" t="str" cm="1">
        <f t="array" ref="A42">_xlfn._xlws.SORT(Vendor_Master!A42)</f>
        <v>VND-041</v>
      </c>
      <c r="B42" t="str">
        <f>_xlfn.XLOOKUP(Compliance_Sheet!A42,Vendor_Master!A42,Vendor_Master!B42,"")</f>
        <v>Vendor_041</v>
      </c>
      <c r="C42" t="str">
        <f>_xlfn.XLOOKUP(A42,Vendor_Master!A42,Vendor_Master!C42,"")</f>
        <v>Waste Services</v>
      </c>
      <c r="D42" t="str">
        <f>_xlfn.XLOOKUP(A42,Vendor_Master!A42,Vendor_Master!D42,"")</f>
        <v>East</v>
      </c>
      <c r="E42">
        <f>_xlfn.XLOOKUP(A42,Vendor_Master!A42,Vendor_Master!E42,0)</f>
        <v>1207576</v>
      </c>
      <c r="F42" t="str">
        <f>_xlfn.XLOOKUP(A42,Vendor_Master!A42,Vendor_Master!H42,"")</f>
        <v>contact41@vendor.com</v>
      </c>
      <c r="G42">
        <f ca="1">COUNTIFS(Sustainability_Documents!$A:$A,$A42,Sustainability_Documents!$H:$H,"Missing")</f>
        <v>0</v>
      </c>
      <c r="H42">
        <f ca="1">COUNTIFS(Sustainability_Documents!$A:$A,$A42,Sustainability_Documents!$H:$H,"Expired")</f>
        <v>0</v>
      </c>
      <c r="I42">
        <f ca="1">COUNTIFS(Sustainability_Documents!$A:$A,$A42,Sustainability_Documents!$H:$H,"Expiring Soon")</f>
        <v>0</v>
      </c>
      <c r="J42">
        <f>COUNTIFS(Sustainability_Documents!$A:$A,$A42,Sustainability_Documents!$C:$C,"Yes")</f>
        <v>4</v>
      </c>
      <c r="K42">
        <f ca="1">IF($J42=0,"",($J42-$G42-$H42)/$J42)</f>
        <v>1</v>
      </c>
      <c r="L42">
        <f>COUNTIFS(OutReach_Log!$A:$A,$A42,OutReach_Log!$G:$G,"Yes")</f>
        <v>0</v>
      </c>
      <c r="M42">
        <f>COUNTIFS(OutReach_Log!$A:$A,$A42,OutReach_Log!$E:$E,"Pending")
 +COUNTIFS(OutReach_Log!$A:$A,$A42,OutReach_Log!$E:$E,"Escalated")</f>
        <v>0</v>
      </c>
      <c r="N42">
        <f>COUNTIFS(Incident_Log!$A:$A,$A42,Incident_Log!$C:$C,"High",Incident_Log!$E:$E,"No")</f>
        <v>0</v>
      </c>
      <c r="O42" t="str">
        <f t="shared" ca="1" si="0"/>
        <v>Attention Required</v>
      </c>
      <c r="P42">
        <f ca="1">($G42*40)+($H42*30)+($I42*10)+($N42*50)+IF($L42&gt;0,20,0)</f>
        <v>0</v>
      </c>
      <c r="Q42">
        <f ca="1">E42*(P42/100)</f>
        <v>0</v>
      </c>
      <c r="R42">
        <f ca="1">_xlfn.RANK.EQ($Q42,$Q$2:$Q$401,0)</f>
        <v>180</v>
      </c>
    </row>
    <row r="43" spans="1:18">
      <c r="A43" t="str" cm="1">
        <f t="array" ref="A43">_xlfn._xlws.SORT(Vendor_Master!A43)</f>
        <v>VND-042</v>
      </c>
      <c r="B43" t="str">
        <f>_xlfn.XLOOKUP(Compliance_Sheet!A43,Vendor_Master!A43,Vendor_Master!B43,"")</f>
        <v>Vendor_042</v>
      </c>
      <c r="C43" t="str">
        <f>_xlfn.XLOOKUP(A43,Vendor_Master!A43,Vendor_Master!C43,"")</f>
        <v>Waste Services</v>
      </c>
      <c r="D43" t="str">
        <f>_xlfn.XLOOKUP(A43,Vendor_Master!A43,Vendor_Master!D43,"")</f>
        <v>East</v>
      </c>
      <c r="E43">
        <f>_xlfn.XLOOKUP(A43,Vendor_Master!A43,Vendor_Master!E43,0)</f>
        <v>4282083</v>
      </c>
      <c r="F43" t="str">
        <f>_xlfn.XLOOKUP(A43,Vendor_Master!A43,Vendor_Master!H43,"")</f>
        <v>contact42@vendor.com</v>
      </c>
      <c r="G43">
        <f ca="1">COUNTIFS(Sustainability_Documents!$A:$A,$A43,Sustainability_Documents!$H:$H,"Missing")</f>
        <v>0</v>
      </c>
      <c r="H43">
        <f ca="1">COUNTIFS(Sustainability_Documents!$A:$A,$A43,Sustainability_Documents!$H:$H,"Expired")</f>
        <v>0</v>
      </c>
      <c r="I43">
        <f ca="1">COUNTIFS(Sustainability_Documents!$A:$A,$A43,Sustainability_Documents!$H:$H,"Expiring Soon")</f>
        <v>0</v>
      </c>
      <c r="J43">
        <f>COUNTIFS(Sustainability_Documents!$A:$A,$A43,Sustainability_Documents!$C:$C,"Yes")</f>
        <v>4</v>
      </c>
      <c r="K43">
        <f ca="1">IF($J43=0,"",($J43-$G43-$H43)/$J43)</f>
        <v>1</v>
      </c>
      <c r="L43">
        <f>COUNTIFS(OutReach_Log!$A:$A,$A43,OutReach_Log!$G:$G,"Yes")</f>
        <v>0</v>
      </c>
      <c r="M43">
        <f>COUNTIFS(OutReach_Log!$A:$A,$A43,OutReach_Log!$E:$E,"Pending")
 +COUNTIFS(OutReach_Log!$A:$A,$A43,OutReach_Log!$E:$E,"Escalated")</f>
        <v>0</v>
      </c>
      <c r="N43">
        <f>COUNTIFS(Incident_Log!$A:$A,$A43,Incident_Log!$C:$C,"High",Incident_Log!$E:$E,"No")</f>
        <v>0</v>
      </c>
      <c r="O43" t="str">
        <f t="shared" ca="1" si="0"/>
        <v>Attention Required</v>
      </c>
      <c r="P43">
        <f ca="1">($G43*40)+($H43*30)+($I43*10)+($N43*50)+IF($L43&gt;0,20,0)</f>
        <v>0</v>
      </c>
      <c r="Q43">
        <f ca="1">E43*(P43/100)</f>
        <v>0</v>
      </c>
      <c r="R43">
        <f ca="1">_xlfn.RANK.EQ($Q43,$Q$2:$Q$401,0)</f>
        <v>180</v>
      </c>
    </row>
    <row r="44" spans="1:18">
      <c r="A44" t="str" cm="1">
        <f t="array" ref="A44">_xlfn._xlws.SORT(Vendor_Master!A44)</f>
        <v>VND-043</v>
      </c>
      <c r="B44" t="str">
        <f>_xlfn.XLOOKUP(Compliance_Sheet!A44,Vendor_Master!A44,Vendor_Master!B44,"")</f>
        <v>Vendor_043</v>
      </c>
      <c r="C44" t="str">
        <f>_xlfn.XLOOKUP(A44,Vendor_Master!A44,Vendor_Master!C44,"")</f>
        <v>Waste Services</v>
      </c>
      <c r="D44" t="str">
        <f>_xlfn.XLOOKUP(A44,Vendor_Master!A44,Vendor_Master!D44,"")</f>
        <v>East</v>
      </c>
      <c r="E44">
        <f>_xlfn.XLOOKUP(A44,Vendor_Master!A44,Vendor_Master!E44,0)</f>
        <v>2984145</v>
      </c>
      <c r="F44" t="str">
        <f>_xlfn.XLOOKUP(A44,Vendor_Master!A44,Vendor_Master!H44,"")</f>
        <v>contact43@vendor.com</v>
      </c>
      <c r="G44">
        <f ca="1">COUNTIFS(Sustainability_Documents!$A:$A,$A44,Sustainability_Documents!$H:$H,"Missing")</f>
        <v>0</v>
      </c>
      <c r="H44">
        <f ca="1">COUNTIFS(Sustainability_Documents!$A:$A,$A44,Sustainability_Documents!$H:$H,"Expired")</f>
        <v>0</v>
      </c>
      <c r="I44">
        <f ca="1">COUNTIFS(Sustainability_Documents!$A:$A,$A44,Sustainability_Documents!$H:$H,"Expiring Soon")</f>
        <v>0</v>
      </c>
      <c r="J44">
        <f>COUNTIFS(Sustainability_Documents!$A:$A,$A44,Sustainability_Documents!$C:$C,"Yes")</f>
        <v>4</v>
      </c>
      <c r="K44">
        <f ca="1">IF($J44=0,"",($J44-$G44-$H44)/$J44)</f>
        <v>1</v>
      </c>
      <c r="L44">
        <f>COUNTIFS(OutReach_Log!$A:$A,$A44,OutReach_Log!$G:$G,"Yes")</f>
        <v>0</v>
      </c>
      <c r="M44">
        <f>COUNTIFS(OutReach_Log!$A:$A,$A44,OutReach_Log!$E:$E,"Pending")
 +COUNTIFS(OutReach_Log!$A:$A,$A44,OutReach_Log!$E:$E,"Escalated")</f>
        <v>0</v>
      </c>
      <c r="N44">
        <f>COUNTIFS(Incident_Log!$A:$A,$A44,Incident_Log!$C:$C,"High",Incident_Log!$E:$E,"No")</f>
        <v>0</v>
      </c>
      <c r="O44" t="str">
        <f t="shared" ca="1" si="0"/>
        <v>Attention Required</v>
      </c>
      <c r="P44">
        <f ca="1">($G44*40)+($H44*30)+($I44*10)+($N44*50)+IF($L44&gt;0,20,0)</f>
        <v>0</v>
      </c>
      <c r="Q44">
        <f ca="1">E44*(P44/100)</f>
        <v>0</v>
      </c>
      <c r="R44">
        <f ca="1">_xlfn.RANK.EQ($Q44,$Q$2:$Q$401,0)</f>
        <v>180</v>
      </c>
    </row>
    <row r="45" spans="1:18">
      <c r="A45" t="str" cm="1">
        <f t="array" ref="A45">_xlfn._xlws.SORT(Vendor_Master!A45)</f>
        <v>VND-044</v>
      </c>
      <c r="B45" t="str">
        <f>_xlfn.XLOOKUP(Compliance_Sheet!A45,Vendor_Master!A45,Vendor_Master!B45,"")</f>
        <v>Vendor_044</v>
      </c>
      <c r="C45" t="str">
        <f>_xlfn.XLOOKUP(A45,Vendor_Master!A45,Vendor_Master!C45,"")</f>
        <v>Waste Services</v>
      </c>
      <c r="D45" t="str">
        <f>_xlfn.XLOOKUP(A45,Vendor_Master!A45,Vendor_Master!D45,"")</f>
        <v>East</v>
      </c>
      <c r="E45">
        <f>_xlfn.XLOOKUP(A45,Vendor_Master!A45,Vendor_Master!E45,0)</f>
        <v>3582752</v>
      </c>
      <c r="F45" t="str">
        <f>_xlfn.XLOOKUP(A45,Vendor_Master!A45,Vendor_Master!H45,"")</f>
        <v>contact44@vendor.com</v>
      </c>
      <c r="G45">
        <f ca="1">COUNTIFS(Sustainability_Documents!$A:$A,$A45,Sustainability_Documents!$H:$H,"Missing")</f>
        <v>0</v>
      </c>
      <c r="H45">
        <f ca="1">COUNTIFS(Sustainability_Documents!$A:$A,$A45,Sustainability_Documents!$H:$H,"Expired")</f>
        <v>0</v>
      </c>
      <c r="I45">
        <f ca="1">COUNTIFS(Sustainability_Documents!$A:$A,$A45,Sustainability_Documents!$H:$H,"Expiring Soon")</f>
        <v>0</v>
      </c>
      <c r="J45">
        <f>COUNTIFS(Sustainability_Documents!$A:$A,$A45,Sustainability_Documents!$C:$C,"Yes")</f>
        <v>4</v>
      </c>
      <c r="K45">
        <f ca="1">IF($J45=0,"",($J45-$G45-$H45)/$J45)</f>
        <v>1</v>
      </c>
      <c r="L45">
        <f>COUNTIFS(OutReach_Log!$A:$A,$A45,OutReach_Log!$G:$G,"Yes")</f>
        <v>0</v>
      </c>
      <c r="M45">
        <f>COUNTIFS(OutReach_Log!$A:$A,$A45,OutReach_Log!$E:$E,"Pending")
 +COUNTIFS(OutReach_Log!$A:$A,$A45,OutReach_Log!$E:$E,"Escalated")</f>
        <v>0</v>
      </c>
      <c r="N45">
        <f>COUNTIFS(Incident_Log!$A:$A,$A45,Incident_Log!$C:$C,"High",Incident_Log!$E:$E,"No")</f>
        <v>0</v>
      </c>
      <c r="O45" t="str">
        <f t="shared" ca="1" si="0"/>
        <v>Attention Required</v>
      </c>
      <c r="P45">
        <f ca="1">($G45*40)+($H45*30)+($I45*10)+($N45*50)+IF($L45&gt;0,20,0)</f>
        <v>0</v>
      </c>
      <c r="Q45">
        <f ca="1">E45*(P45/100)</f>
        <v>0</v>
      </c>
      <c r="R45">
        <f ca="1">_xlfn.RANK.EQ($Q45,$Q$2:$Q$401,0)</f>
        <v>180</v>
      </c>
    </row>
    <row r="46" spans="1:18">
      <c r="A46" t="str" cm="1">
        <f t="array" ref="A46">_xlfn._xlws.SORT(Vendor_Master!A46)</f>
        <v>VND-045</v>
      </c>
      <c r="B46" t="str">
        <f>_xlfn.XLOOKUP(Compliance_Sheet!A46,Vendor_Master!A46,Vendor_Master!B46,"")</f>
        <v>Vendor_045</v>
      </c>
      <c r="C46" t="str">
        <f>_xlfn.XLOOKUP(A46,Vendor_Master!A46,Vendor_Master!C46,"")</f>
        <v>Waste Services</v>
      </c>
      <c r="D46" t="str">
        <f>_xlfn.XLOOKUP(A46,Vendor_Master!A46,Vendor_Master!D46,"")</f>
        <v>East</v>
      </c>
      <c r="E46">
        <f>_xlfn.XLOOKUP(A46,Vendor_Master!A46,Vendor_Master!E46,0)</f>
        <v>161294</v>
      </c>
      <c r="F46" t="str">
        <f>_xlfn.XLOOKUP(A46,Vendor_Master!A46,Vendor_Master!H46,"")</f>
        <v>contact45@vendor.com</v>
      </c>
      <c r="G46">
        <f ca="1">COUNTIFS(Sustainability_Documents!$A:$A,$A46,Sustainability_Documents!$H:$H,"Missing")</f>
        <v>0</v>
      </c>
      <c r="H46">
        <f ca="1">COUNTIFS(Sustainability_Documents!$A:$A,$A46,Sustainability_Documents!$H:$H,"Expired")</f>
        <v>0</v>
      </c>
      <c r="I46">
        <f ca="1">COUNTIFS(Sustainability_Documents!$A:$A,$A46,Sustainability_Documents!$H:$H,"Expiring Soon")</f>
        <v>0</v>
      </c>
      <c r="J46">
        <f>COUNTIFS(Sustainability_Documents!$A:$A,$A46,Sustainability_Documents!$C:$C,"Yes")</f>
        <v>4</v>
      </c>
      <c r="K46">
        <f ca="1">IF($J46=0,"",($J46-$G46-$H46)/$J46)</f>
        <v>1</v>
      </c>
      <c r="L46">
        <f>COUNTIFS(OutReach_Log!$A:$A,$A46,OutReach_Log!$G:$G,"Yes")</f>
        <v>0</v>
      </c>
      <c r="M46">
        <f>COUNTIFS(OutReach_Log!$A:$A,$A46,OutReach_Log!$E:$E,"Pending")
 +COUNTIFS(OutReach_Log!$A:$A,$A46,OutReach_Log!$E:$E,"Escalated")</f>
        <v>0</v>
      </c>
      <c r="N46">
        <f>COUNTIFS(Incident_Log!$A:$A,$A46,Incident_Log!$C:$C,"High",Incident_Log!$E:$E,"No")</f>
        <v>0</v>
      </c>
      <c r="O46" t="str">
        <f t="shared" ca="1" si="0"/>
        <v>Attention Required</v>
      </c>
      <c r="P46">
        <f ca="1">($G46*40)+($H46*30)+($I46*10)+($N46*50)+IF($L46&gt;0,20,0)</f>
        <v>0</v>
      </c>
      <c r="Q46">
        <f ca="1">E46*(P46/100)</f>
        <v>0</v>
      </c>
      <c r="R46">
        <f ca="1">_xlfn.RANK.EQ($Q46,$Q$2:$Q$401,0)</f>
        <v>180</v>
      </c>
    </row>
    <row r="47" spans="1:18">
      <c r="A47" t="str" cm="1">
        <f t="array" ref="A47">_xlfn._xlws.SORT(Vendor_Master!A47)</f>
        <v>VND-046</v>
      </c>
      <c r="B47" t="str">
        <f>_xlfn.XLOOKUP(Compliance_Sheet!A47,Vendor_Master!A47,Vendor_Master!B47,"")</f>
        <v>Vendor_046</v>
      </c>
      <c r="C47" t="str">
        <f>_xlfn.XLOOKUP(A47,Vendor_Master!A47,Vendor_Master!C47,"")</f>
        <v>Waste Services</v>
      </c>
      <c r="D47" t="str">
        <f>_xlfn.XLOOKUP(A47,Vendor_Master!A47,Vendor_Master!D47,"")</f>
        <v>East</v>
      </c>
      <c r="E47">
        <f>_xlfn.XLOOKUP(A47,Vendor_Master!A47,Vendor_Master!E47,0)</f>
        <v>188730</v>
      </c>
      <c r="F47" t="str">
        <f>_xlfn.XLOOKUP(A47,Vendor_Master!A47,Vendor_Master!H47,"")</f>
        <v>contact46@vendor.com</v>
      </c>
      <c r="G47">
        <f ca="1">COUNTIFS(Sustainability_Documents!$A:$A,$A47,Sustainability_Documents!$H:$H,"Missing")</f>
        <v>0</v>
      </c>
      <c r="H47">
        <f ca="1">COUNTIFS(Sustainability_Documents!$A:$A,$A47,Sustainability_Documents!$H:$H,"Expired")</f>
        <v>0</v>
      </c>
      <c r="I47">
        <f ca="1">COUNTIFS(Sustainability_Documents!$A:$A,$A47,Sustainability_Documents!$H:$H,"Expiring Soon")</f>
        <v>0</v>
      </c>
      <c r="J47">
        <f>COUNTIFS(Sustainability_Documents!$A:$A,$A47,Sustainability_Documents!$C:$C,"Yes")</f>
        <v>4</v>
      </c>
      <c r="K47">
        <f ca="1">IF($J47=0,"",($J47-$G47-$H47)/$J47)</f>
        <v>1</v>
      </c>
      <c r="L47">
        <f>COUNTIFS(OutReach_Log!$A:$A,$A47,OutReach_Log!$G:$G,"Yes")</f>
        <v>0</v>
      </c>
      <c r="M47">
        <f>COUNTIFS(OutReach_Log!$A:$A,$A47,OutReach_Log!$E:$E,"Pending")
 +COUNTIFS(OutReach_Log!$A:$A,$A47,OutReach_Log!$E:$E,"Escalated")</f>
        <v>0</v>
      </c>
      <c r="N47">
        <f>COUNTIFS(Incident_Log!$A:$A,$A47,Incident_Log!$C:$C,"High",Incident_Log!$E:$E,"No")</f>
        <v>0</v>
      </c>
      <c r="O47" t="str">
        <f t="shared" ca="1" si="0"/>
        <v>Attention Required</v>
      </c>
      <c r="P47">
        <f ca="1">($G47*40)+($H47*30)+($I47*10)+($N47*50)+IF($L47&gt;0,20,0)</f>
        <v>0</v>
      </c>
      <c r="Q47">
        <f ca="1">E47*(P47/100)</f>
        <v>0</v>
      </c>
      <c r="R47">
        <f ca="1">_xlfn.RANK.EQ($Q47,$Q$2:$Q$401,0)</f>
        <v>180</v>
      </c>
    </row>
    <row r="48" spans="1:18">
      <c r="A48" t="str" cm="1">
        <f t="array" ref="A48">_xlfn._xlws.SORT(Vendor_Master!A48)</f>
        <v>VND-047</v>
      </c>
      <c r="B48" t="str">
        <f>_xlfn.XLOOKUP(Compliance_Sheet!A48,Vendor_Master!A48,Vendor_Master!B48,"")</f>
        <v>Vendor_047</v>
      </c>
      <c r="C48" t="str">
        <f>_xlfn.XLOOKUP(A48,Vendor_Master!A48,Vendor_Master!C48,"")</f>
        <v>Waste Services</v>
      </c>
      <c r="D48" t="str">
        <f>_xlfn.XLOOKUP(A48,Vendor_Master!A48,Vendor_Master!D48,"")</f>
        <v>East</v>
      </c>
      <c r="E48">
        <f>_xlfn.XLOOKUP(A48,Vendor_Master!A48,Vendor_Master!E48,0)</f>
        <v>147891</v>
      </c>
      <c r="F48" t="str">
        <f>_xlfn.XLOOKUP(A48,Vendor_Master!A48,Vendor_Master!H48,"")</f>
        <v>contact47@vendor.com</v>
      </c>
      <c r="G48">
        <f ca="1">COUNTIFS(Sustainability_Documents!$A:$A,$A48,Sustainability_Documents!$H:$H,"Missing")</f>
        <v>0</v>
      </c>
      <c r="H48">
        <f ca="1">COUNTIFS(Sustainability_Documents!$A:$A,$A48,Sustainability_Documents!$H:$H,"Expired")</f>
        <v>0</v>
      </c>
      <c r="I48">
        <f ca="1">COUNTIFS(Sustainability_Documents!$A:$A,$A48,Sustainability_Documents!$H:$H,"Expiring Soon")</f>
        <v>0</v>
      </c>
      <c r="J48">
        <f>COUNTIFS(Sustainability_Documents!$A:$A,$A48,Sustainability_Documents!$C:$C,"Yes")</f>
        <v>4</v>
      </c>
      <c r="K48">
        <f ca="1">IF($J48=0,"",($J48-$G48-$H48)/$J48)</f>
        <v>1</v>
      </c>
      <c r="L48">
        <f>COUNTIFS(OutReach_Log!$A:$A,$A48,OutReach_Log!$G:$G,"Yes")</f>
        <v>0</v>
      </c>
      <c r="M48">
        <f>COUNTIFS(OutReach_Log!$A:$A,$A48,OutReach_Log!$E:$E,"Pending")
 +COUNTIFS(OutReach_Log!$A:$A,$A48,OutReach_Log!$E:$E,"Escalated")</f>
        <v>0</v>
      </c>
      <c r="N48">
        <f>COUNTIFS(Incident_Log!$A:$A,$A48,Incident_Log!$C:$C,"High",Incident_Log!$E:$E,"No")</f>
        <v>0</v>
      </c>
      <c r="O48" t="str">
        <f t="shared" ca="1" si="0"/>
        <v>Attention Required</v>
      </c>
      <c r="P48">
        <f ca="1">($G48*40)+($H48*30)+($I48*10)+($N48*50)+IF($L48&gt;0,20,0)</f>
        <v>0</v>
      </c>
      <c r="Q48">
        <f ca="1">E48*(P48/100)</f>
        <v>0</v>
      </c>
      <c r="R48">
        <f ca="1">_xlfn.RANK.EQ($Q48,$Q$2:$Q$401,0)</f>
        <v>180</v>
      </c>
    </row>
    <row r="49" spans="1:18">
      <c r="A49" t="str" cm="1">
        <f t="array" ref="A49">_xlfn._xlws.SORT(Vendor_Master!A49)</f>
        <v>VND-048</v>
      </c>
      <c r="B49" t="str">
        <f>_xlfn.XLOOKUP(Compliance_Sheet!A49,Vendor_Master!A49,Vendor_Master!B49,"")</f>
        <v>Vendor_048</v>
      </c>
      <c r="C49" t="str">
        <f>_xlfn.XLOOKUP(A49,Vendor_Master!A49,Vendor_Master!C49,"")</f>
        <v>Waste Services</v>
      </c>
      <c r="D49" t="str">
        <f>_xlfn.XLOOKUP(A49,Vendor_Master!A49,Vendor_Master!D49,"")</f>
        <v>East</v>
      </c>
      <c r="E49">
        <f>_xlfn.XLOOKUP(A49,Vendor_Master!A49,Vendor_Master!E49,0)</f>
        <v>111608</v>
      </c>
      <c r="F49" t="str">
        <f>_xlfn.XLOOKUP(A49,Vendor_Master!A49,Vendor_Master!H49,"")</f>
        <v>contact48@vendor.com</v>
      </c>
      <c r="G49">
        <f ca="1">COUNTIFS(Sustainability_Documents!$A:$A,$A49,Sustainability_Documents!$H:$H,"Missing")</f>
        <v>0</v>
      </c>
      <c r="H49">
        <f ca="1">COUNTIFS(Sustainability_Documents!$A:$A,$A49,Sustainability_Documents!$H:$H,"Expired")</f>
        <v>0</v>
      </c>
      <c r="I49">
        <f ca="1">COUNTIFS(Sustainability_Documents!$A:$A,$A49,Sustainability_Documents!$H:$H,"Expiring Soon")</f>
        <v>0</v>
      </c>
      <c r="J49">
        <f>COUNTIFS(Sustainability_Documents!$A:$A,$A49,Sustainability_Documents!$C:$C,"Yes")</f>
        <v>4</v>
      </c>
      <c r="K49">
        <f ca="1">IF($J49=0,"",($J49-$G49-$H49)/$J49)</f>
        <v>1</v>
      </c>
      <c r="L49">
        <f>COUNTIFS(OutReach_Log!$A:$A,$A49,OutReach_Log!$G:$G,"Yes")</f>
        <v>0</v>
      </c>
      <c r="M49">
        <f>COUNTIFS(OutReach_Log!$A:$A,$A49,OutReach_Log!$E:$E,"Pending")
 +COUNTIFS(OutReach_Log!$A:$A,$A49,OutReach_Log!$E:$E,"Escalated")</f>
        <v>0</v>
      </c>
      <c r="N49">
        <f>COUNTIFS(Incident_Log!$A:$A,$A49,Incident_Log!$C:$C,"High",Incident_Log!$E:$E,"No")</f>
        <v>0</v>
      </c>
      <c r="O49" t="str">
        <f t="shared" ca="1" si="0"/>
        <v>Attention Required</v>
      </c>
      <c r="P49">
        <f ca="1">($G49*40)+($H49*30)+($I49*10)+($N49*50)+IF($L49&gt;0,20,0)</f>
        <v>0</v>
      </c>
      <c r="Q49">
        <f ca="1">E49*(P49/100)</f>
        <v>0</v>
      </c>
      <c r="R49">
        <f ca="1">_xlfn.RANK.EQ($Q49,$Q$2:$Q$401,0)</f>
        <v>180</v>
      </c>
    </row>
    <row r="50" spans="1:18">
      <c r="A50" t="str" cm="1">
        <f t="array" ref="A50">_xlfn._xlws.SORT(Vendor_Master!A50)</f>
        <v>VND-049</v>
      </c>
      <c r="B50" t="str">
        <f>_xlfn.XLOOKUP(Compliance_Sheet!A50,Vendor_Master!A50,Vendor_Master!B50,"")</f>
        <v>Vendor_049</v>
      </c>
      <c r="C50" t="str">
        <f>_xlfn.XLOOKUP(A50,Vendor_Master!A50,Vendor_Master!C50,"")</f>
        <v>Waste Services</v>
      </c>
      <c r="D50" t="str">
        <f>_xlfn.XLOOKUP(A50,Vendor_Master!A50,Vendor_Master!D50,"")</f>
        <v>East</v>
      </c>
      <c r="E50">
        <f>_xlfn.XLOOKUP(A50,Vendor_Master!A50,Vendor_Master!E50,0)</f>
        <v>143411</v>
      </c>
      <c r="F50" t="str">
        <f>_xlfn.XLOOKUP(A50,Vendor_Master!A50,Vendor_Master!H50,"")</f>
        <v>contact49@vendor.com</v>
      </c>
      <c r="G50">
        <f ca="1">COUNTIFS(Sustainability_Documents!$A:$A,$A50,Sustainability_Documents!$H:$H,"Missing")</f>
        <v>0</v>
      </c>
      <c r="H50">
        <f ca="1">COUNTIFS(Sustainability_Documents!$A:$A,$A50,Sustainability_Documents!$H:$H,"Expired")</f>
        <v>0</v>
      </c>
      <c r="I50">
        <f ca="1">COUNTIFS(Sustainability_Documents!$A:$A,$A50,Sustainability_Documents!$H:$H,"Expiring Soon")</f>
        <v>0</v>
      </c>
      <c r="J50">
        <f>COUNTIFS(Sustainability_Documents!$A:$A,$A50,Sustainability_Documents!$C:$C,"Yes")</f>
        <v>4</v>
      </c>
      <c r="K50">
        <f ca="1">IF($J50=0,"",($J50-$G50-$H50)/$J50)</f>
        <v>1</v>
      </c>
      <c r="L50">
        <f>COUNTIFS(OutReach_Log!$A:$A,$A50,OutReach_Log!$G:$G,"Yes")</f>
        <v>0</v>
      </c>
      <c r="M50">
        <f>COUNTIFS(OutReach_Log!$A:$A,$A50,OutReach_Log!$E:$E,"Pending")
 +COUNTIFS(OutReach_Log!$A:$A,$A50,OutReach_Log!$E:$E,"Escalated")</f>
        <v>0</v>
      </c>
      <c r="N50">
        <f>COUNTIFS(Incident_Log!$A:$A,$A50,Incident_Log!$C:$C,"High",Incident_Log!$E:$E,"No")</f>
        <v>0</v>
      </c>
      <c r="O50" t="str">
        <f t="shared" ca="1" si="0"/>
        <v>Attention Required</v>
      </c>
      <c r="P50">
        <f ca="1">($G50*40)+($H50*30)+($I50*10)+($N50*50)+IF($L50&gt;0,20,0)</f>
        <v>0</v>
      </c>
      <c r="Q50">
        <f ca="1">E50*(P50/100)</f>
        <v>0</v>
      </c>
      <c r="R50">
        <f ca="1">_xlfn.RANK.EQ($Q50,$Q$2:$Q$401,0)</f>
        <v>180</v>
      </c>
    </row>
    <row r="51" spans="1:18">
      <c r="A51" t="str" cm="1">
        <f t="array" ref="A51">_xlfn._xlws.SORT(Vendor_Master!A51)</f>
        <v>VND-050</v>
      </c>
      <c r="B51" t="str">
        <f>_xlfn.XLOOKUP(Compliance_Sheet!A51,Vendor_Master!A51,Vendor_Master!B51,"")</f>
        <v>Vendor_050</v>
      </c>
      <c r="C51" t="str">
        <f>_xlfn.XLOOKUP(A51,Vendor_Master!A51,Vendor_Master!C51,"")</f>
        <v>Waste Services</v>
      </c>
      <c r="D51" t="str">
        <f>_xlfn.XLOOKUP(A51,Vendor_Master!A51,Vendor_Master!D51,"")</f>
        <v>East</v>
      </c>
      <c r="E51">
        <f>_xlfn.XLOOKUP(A51,Vendor_Master!A51,Vendor_Master!E51,0)</f>
        <v>219952</v>
      </c>
      <c r="F51" t="str">
        <f>_xlfn.XLOOKUP(A51,Vendor_Master!A51,Vendor_Master!H51,"")</f>
        <v>contact50@vendor.com</v>
      </c>
      <c r="G51">
        <f ca="1">COUNTIFS(Sustainability_Documents!$A:$A,$A51,Sustainability_Documents!$H:$H,"Missing")</f>
        <v>0</v>
      </c>
      <c r="H51">
        <f ca="1">COUNTIFS(Sustainability_Documents!$A:$A,$A51,Sustainability_Documents!$H:$H,"Expired")</f>
        <v>0</v>
      </c>
      <c r="I51">
        <f ca="1">COUNTIFS(Sustainability_Documents!$A:$A,$A51,Sustainability_Documents!$H:$H,"Expiring Soon")</f>
        <v>0</v>
      </c>
      <c r="J51">
        <f>COUNTIFS(Sustainability_Documents!$A:$A,$A51,Sustainability_Documents!$C:$C,"Yes")</f>
        <v>4</v>
      </c>
      <c r="K51">
        <f ca="1">IF($J51=0,"",($J51-$G51-$H51)/$J51)</f>
        <v>1</v>
      </c>
      <c r="L51">
        <f>COUNTIFS(OutReach_Log!$A:$A,$A51,OutReach_Log!$G:$G,"Yes")</f>
        <v>0</v>
      </c>
      <c r="M51">
        <f>COUNTIFS(OutReach_Log!$A:$A,$A51,OutReach_Log!$E:$E,"Pending")
 +COUNTIFS(OutReach_Log!$A:$A,$A51,OutReach_Log!$E:$E,"Escalated")</f>
        <v>0</v>
      </c>
      <c r="N51">
        <f>COUNTIFS(Incident_Log!$A:$A,$A51,Incident_Log!$C:$C,"High",Incident_Log!$E:$E,"No")</f>
        <v>0</v>
      </c>
      <c r="O51" t="str">
        <f t="shared" ca="1" si="0"/>
        <v>Attention Required</v>
      </c>
      <c r="P51">
        <f ca="1">($G51*40)+($H51*30)+($I51*10)+($N51*50)+IF($L51&gt;0,20,0)</f>
        <v>0</v>
      </c>
      <c r="Q51">
        <f ca="1">E51*(P51/100)</f>
        <v>0</v>
      </c>
      <c r="R51">
        <f ca="1">_xlfn.RANK.EQ($Q51,$Q$2:$Q$401,0)</f>
        <v>180</v>
      </c>
    </row>
    <row r="52" spans="1:18">
      <c r="A52" t="str" cm="1">
        <f t="array" ref="A52">_xlfn._xlws.SORT(Vendor_Master!A52)</f>
        <v>VND-051</v>
      </c>
      <c r="B52" t="str">
        <f>_xlfn.XLOOKUP(Compliance_Sheet!A52,Vendor_Master!A52,Vendor_Master!B52,"")</f>
        <v>Vendor_051</v>
      </c>
      <c r="C52" t="str">
        <f>_xlfn.XLOOKUP(A52,Vendor_Master!A52,Vendor_Master!C52,"")</f>
        <v>Waste Services</v>
      </c>
      <c r="D52" t="str">
        <f>_xlfn.XLOOKUP(A52,Vendor_Master!A52,Vendor_Master!D52,"")</f>
        <v>East</v>
      </c>
      <c r="E52">
        <f>_xlfn.XLOOKUP(A52,Vendor_Master!A52,Vendor_Master!E52,0)</f>
        <v>123767</v>
      </c>
      <c r="F52" t="str">
        <f>_xlfn.XLOOKUP(A52,Vendor_Master!A52,Vendor_Master!H52,"")</f>
        <v>contact51@vendor.com</v>
      </c>
      <c r="G52">
        <f ca="1">COUNTIFS(Sustainability_Documents!$A:$A,$A52,Sustainability_Documents!$H:$H,"Missing")</f>
        <v>0</v>
      </c>
      <c r="H52">
        <f ca="1">COUNTIFS(Sustainability_Documents!$A:$A,$A52,Sustainability_Documents!$H:$H,"Expired")</f>
        <v>0</v>
      </c>
      <c r="I52">
        <f ca="1">COUNTIFS(Sustainability_Documents!$A:$A,$A52,Sustainability_Documents!$H:$H,"Expiring Soon")</f>
        <v>0</v>
      </c>
      <c r="J52">
        <f>COUNTIFS(Sustainability_Documents!$A:$A,$A52,Sustainability_Documents!$C:$C,"Yes")</f>
        <v>4</v>
      </c>
      <c r="K52">
        <f ca="1">IF($J52=0,"",($J52-$G52-$H52)/$J52)</f>
        <v>1</v>
      </c>
      <c r="L52">
        <f>COUNTIFS(OutReach_Log!$A:$A,$A52,OutReach_Log!$G:$G,"Yes")</f>
        <v>0</v>
      </c>
      <c r="M52">
        <f>COUNTIFS(OutReach_Log!$A:$A,$A52,OutReach_Log!$E:$E,"Pending")
 +COUNTIFS(OutReach_Log!$A:$A,$A52,OutReach_Log!$E:$E,"Escalated")</f>
        <v>0</v>
      </c>
      <c r="N52">
        <f>COUNTIFS(Incident_Log!$A:$A,$A52,Incident_Log!$C:$C,"High",Incident_Log!$E:$E,"No")</f>
        <v>0</v>
      </c>
      <c r="O52" t="str">
        <f t="shared" ca="1" si="0"/>
        <v>Attention Required</v>
      </c>
      <c r="P52">
        <f ca="1">($G52*40)+($H52*30)+($I52*10)+($N52*50)+IF($L52&gt;0,20,0)</f>
        <v>0</v>
      </c>
      <c r="Q52">
        <f ca="1">E52*(P52/100)</f>
        <v>0</v>
      </c>
      <c r="R52">
        <f ca="1">_xlfn.RANK.EQ($Q52,$Q$2:$Q$401,0)</f>
        <v>180</v>
      </c>
    </row>
    <row r="53" spans="1:18">
      <c r="A53" t="str" cm="1">
        <f t="array" ref="A53">_xlfn._xlws.SORT(Vendor_Master!A53)</f>
        <v>VND-052</v>
      </c>
      <c r="B53" t="str">
        <f>_xlfn.XLOOKUP(Compliance_Sheet!A53,Vendor_Master!A53,Vendor_Master!B53,"")</f>
        <v>Vendor_052</v>
      </c>
      <c r="C53" t="str">
        <f>_xlfn.XLOOKUP(A53,Vendor_Master!A53,Vendor_Master!C53,"")</f>
        <v>Waste Services</v>
      </c>
      <c r="D53" t="str">
        <f>_xlfn.XLOOKUP(A53,Vendor_Master!A53,Vendor_Master!D53,"")</f>
        <v>East</v>
      </c>
      <c r="E53">
        <f>_xlfn.XLOOKUP(A53,Vendor_Master!A53,Vendor_Master!E53,0)</f>
        <v>143578</v>
      </c>
      <c r="F53" t="str">
        <f>_xlfn.XLOOKUP(A53,Vendor_Master!A53,Vendor_Master!H53,"")</f>
        <v>contact52@vendor.com</v>
      </c>
      <c r="G53">
        <f ca="1">COUNTIFS(Sustainability_Documents!$A:$A,$A53,Sustainability_Documents!$H:$H,"Missing")</f>
        <v>0</v>
      </c>
      <c r="H53">
        <f ca="1">COUNTIFS(Sustainability_Documents!$A:$A,$A53,Sustainability_Documents!$H:$H,"Expired")</f>
        <v>0</v>
      </c>
      <c r="I53">
        <f ca="1">COUNTIFS(Sustainability_Documents!$A:$A,$A53,Sustainability_Documents!$H:$H,"Expiring Soon")</f>
        <v>0</v>
      </c>
      <c r="J53">
        <f>COUNTIFS(Sustainability_Documents!$A:$A,$A53,Sustainability_Documents!$C:$C,"Yes")</f>
        <v>4</v>
      </c>
      <c r="K53">
        <f ca="1">IF($J53=0,"",($J53-$G53-$H53)/$J53)</f>
        <v>1</v>
      </c>
      <c r="L53">
        <f>COUNTIFS(OutReach_Log!$A:$A,$A53,OutReach_Log!$G:$G,"Yes")</f>
        <v>0</v>
      </c>
      <c r="M53">
        <f>COUNTIFS(OutReach_Log!$A:$A,$A53,OutReach_Log!$E:$E,"Pending")
 +COUNTIFS(OutReach_Log!$A:$A,$A53,OutReach_Log!$E:$E,"Escalated")</f>
        <v>0</v>
      </c>
      <c r="N53">
        <f>COUNTIFS(Incident_Log!$A:$A,$A53,Incident_Log!$C:$C,"High",Incident_Log!$E:$E,"No")</f>
        <v>0</v>
      </c>
      <c r="O53" t="str">
        <f t="shared" ca="1" si="0"/>
        <v>Attention Required</v>
      </c>
      <c r="P53">
        <f ca="1">($G53*40)+($H53*30)+($I53*10)+($N53*50)+IF($L53&gt;0,20,0)</f>
        <v>0</v>
      </c>
      <c r="Q53">
        <f ca="1">E53*(P53/100)</f>
        <v>0</v>
      </c>
      <c r="R53">
        <f ca="1">_xlfn.RANK.EQ($Q53,$Q$2:$Q$401,0)</f>
        <v>180</v>
      </c>
    </row>
    <row r="54" spans="1:18">
      <c r="A54" t="str" cm="1">
        <f t="array" ref="A54">_xlfn._xlws.SORT(Vendor_Master!A54)</f>
        <v>VND-053</v>
      </c>
      <c r="B54" t="str">
        <f>_xlfn.XLOOKUP(Compliance_Sheet!A54,Vendor_Master!A54,Vendor_Master!B54,"")</f>
        <v>Vendor_053</v>
      </c>
      <c r="C54" t="str">
        <f>_xlfn.XLOOKUP(A54,Vendor_Master!A54,Vendor_Master!C54,"")</f>
        <v>Waste Services</v>
      </c>
      <c r="D54" t="str">
        <f>_xlfn.XLOOKUP(A54,Vendor_Master!A54,Vendor_Master!D54,"")</f>
        <v>East</v>
      </c>
      <c r="E54">
        <f>_xlfn.XLOOKUP(A54,Vendor_Master!A54,Vendor_Master!E54,0)</f>
        <v>66858</v>
      </c>
      <c r="F54" t="str">
        <f>_xlfn.XLOOKUP(A54,Vendor_Master!A54,Vendor_Master!H54,"")</f>
        <v>contact53@vendor.com</v>
      </c>
      <c r="G54">
        <f ca="1">COUNTIFS(Sustainability_Documents!$A:$A,$A54,Sustainability_Documents!$H:$H,"Missing")</f>
        <v>0</v>
      </c>
      <c r="H54">
        <f ca="1">COUNTIFS(Sustainability_Documents!$A:$A,$A54,Sustainability_Documents!$H:$H,"Expired")</f>
        <v>0</v>
      </c>
      <c r="I54">
        <f ca="1">COUNTIFS(Sustainability_Documents!$A:$A,$A54,Sustainability_Documents!$H:$H,"Expiring Soon")</f>
        <v>0</v>
      </c>
      <c r="J54">
        <f>COUNTIFS(Sustainability_Documents!$A:$A,$A54,Sustainability_Documents!$C:$C,"Yes")</f>
        <v>4</v>
      </c>
      <c r="K54">
        <f ca="1">IF($J54=0,"",($J54-$G54-$H54)/$J54)</f>
        <v>1</v>
      </c>
      <c r="L54">
        <f>COUNTIFS(OutReach_Log!$A:$A,$A54,OutReach_Log!$G:$G,"Yes")</f>
        <v>0</v>
      </c>
      <c r="M54">
        <f>COUNTIFS(OutReach_Log!$A:$A,$A54,OutReach_Log!$E:$E,"Pending")
 +COUNTIFS(OutReach_Log!$A:$A,$A54,OutReach_Log!$E:$E,"Escalated")</f>
        <v>0</v>
      </c>
      <c r="N54">
        <f>COUNTIFS(Incident_Log!$A:$A,$A54,Incident_Log!$C:$C,"High",Incident_Log!$E:$E,"No")</f>
        <v>0</v>
      </c>
      <c r="O54" t="str">
        <f t="shared" ca="1" si="0"/>
        <v>Attention Required</v>
      </c>
      <c r="P54">
        <f ca="1">($G54*40)+($H54*30)+($I54*10)+($N54*50)+IF($L54&gt;0,20,0)</f>
        <v>0</v>
      </c>
      <c r="Q54">
        <f ca="1">E54*(P54/100)</f>
        <v>0</v>
      </c>
      <c r="R54">
        <f ca="1">_xlfn.RANK.EQ($Q54,$Q$2:$Q$401,0)</f>
        <v>180</v>
      </c>
    </row>
    <row r="55" spans="1:18">
      <c r="A55" t="str" cm="1">
        <f t="array" ref="A55">_xlfn._xlws.SORT(Vendor_Master!A55)</f>
        <v>VND-054</v>
      </c>
      <c r="B55" t="str">
        <f>_xlfn.XLOOKUP(Compliance_Sheet!A55,Vendor_Master!A55,Vendor_Master!B55,"")</f>
        <v>Vendor_054</v>
      </c>
      <c r="C55" t="str">
        <f>_xlfn.XLOOKUP(A55,Vendor_Master!A55,Vendor_Master!C55,"")</f>
        <v>Waste Services</v>
      </c>
      <c r="D55" t="str">
        <f>_xlfn.XLOOKUP(A55,Vendor_Master!A55,Vendor_Master!D55,"")</f>
        <v>East</v>
      </c>
      <c r="E55">
        <f>_xlfn.XLOOKUP(A55,Vendor_Master!A55,Vendor_Master!E55,0)</f>
        <v>82987</v>
      </c>
      <c r="F55" t="str">
        <f>_xlfn.XLOOKUP(A55,Vendor_Master!A55,Vendor_Master!H55,"")</f>
        <v>contact54@vendor.com</v>
      </c>
      <c r="G55">
        <f ca="1">COUNTIFS(Sustainability_Documents!$A:$A,$A55,Sustainability_Documents!$H:$H,"Missing")</f>
        <v>0</v>
      </c>
      <c r="H55">
        <f ca="1">COUNTIFS(Sustainability_Documents!$A:$A,$A55,Sustainability_Documents!$H:$H,"Expired")</f>
        <v>0</v>
      </c>
      <c r="I55">
        <f ca="1">COUNTIFS(Sustainability_Documents!$A:$A,$A55,Sustainability_Documents!$H:$H,"Expiring Soon")</f>
        <v>0</v>
      </c>
      <c r="J55">
        <f>COUNTIFS(Sustainability_Documents!$A:$A,$A55,Sustainability_Documents!$C:$C,"Yes")</f>
        <v>4</v>
      </c>
      <c r="K55">
        <f ca="1">IF($J55=0,"",($J55-$G55-$H55)/$J55)</f>
        <v>1</v>
      </c>
      <c r="L55">
        <f>COUNTIFS(OutReach_Log!$A:$A,$A55,OutReach_Log!$G:$G,"Yes")</f>
        <v>0</v>
      </c>
      <c r="M55">
        <f>COUNTIFS(OutReach_Log!$A:$A,$A55,OutReach_Log!$E:$E,"Pending")
 +COUNTIFS(OutReach_Log!$A:$A,$A55,OutReach_Log!$E:$E,"Escalated")</f>
        <v>0</v>
      </c>
      <c r="N55">
        <f>COUNTIFS(Incident_Log!$A:$A,$A55,Incident_Log!$C:$C,"High",Incident_Log!$E:$E,"No")</f>
        <v>0</v>
      </c>
      <c r="O55" t="str">
        <f t="shared" ca="1" si="0"/>
        <v>Attention Required</v>
      </c>
      <c r="P55">
        <f ca="1">($G55*40)+($H55*30)+($I55*10)+($N55*50)+IF($L55&gt;0,20,0)</f>
        <v>0</v>
      </c>
      <c r="Q55">
        <f ca="1">E55*(P55/100)</f>
        <v>0</v>
      </c>
      <c r="R55">
        <f ca="1">_xlfn.RANK.EQ($Q55,$Q$2:$Q$401,0)</f>
        <v>180</v>
      </c>
    </row>
    <row r="56" spans="1:18">
      <c r="A56" t="str" cm="1">
        <f t="array" ref="A56">_xlfn._xlws.SORT(Vendor_Master!A56)</f>
        <v>VND-055</v>
      </c>
      <c r="B56" t="str">
        <f>_xlfn.XLOOKUP(Compliance_Sheet!A56,Vendor_Master!A56,Vendor_Master!B56,"")</f>
        <v>Vendor_055</v>
      </c>
      <c r="C56" t="str">
        <f>_xlfn.XLOOKUP(A56,Vendor_Master!A56,Vendor_Master!C56,"")</f>
        <v>Waste Services</v>
      </c>
      <c r="D56" t="str">
        <f>_xlfn.XLOOKUP(A56,Vendor_Master!A56,Vendor_Master!D56,"")</f>
        <v>East</v>
      </c>
      <c r="E56">
        <f>_xlfn.XLOOKUP(A56,Vendor_Master!A56,Vendor_Master!E56,0)</f>
        <v>198869</v>
      </c>
      <c r="F56" t="str">
        <f>_xlfn.XLOOKUP(A56,Vendor_Master!A56,Vendor_Master!H56,"")</f>
        <v>contact55@vendor.com</v>
      </c>
      <c r="G56">
        <f ca="1">COUNTIFS(Sustainability_Documents!$A:$A,$A56,Sustainability_Documents!$H:$H,"Missing")</f>
        <v>0</v>
      </c>
      <c r="H56">
        <f ca="1">COUNTIFS(Sustainability_Documents!$A:$A,$A56,Sustainability_Documents!$H:$H,"Expired")</f>
        <v>0</v>
      </c>
      <c r="I56">
        <f ca="1">COUNTIFS(Sustainability_Documents!$A:$A,$A56,Sustainability_Documents!$H:$H,"Expiring Soon")</f>
        <v>0</v>
      </c>
      <c r="J56">
        <f>COUNTIFS(Sustainability_Documents!$A:$A,$A56,Sustainability_Documents!$C:$C,"Yes")</f>
        <v>4</v>
      </c>
      <c r="K56">
        <f ca="1">IF($J56=0,"",($J56-$G56-$H56)/$J56)</f>
        <v>1</v>
      </c>
      <c r="L56">
        <f>COUNTIFS(OutReach_Log!$A:$A,$A56,OutReach_Log!$G:$G,"Yes")</f>
        <v>0</v>
      </c>
      <c r="M56">
        <f>COUNTIFS(OutReach_Log!$A:$A,$A56,OutReach_Log!$E:$E,"Pending")
 +COUNTIFS(OutReach_Log!$A:$A,$A56,OutReach_Log!$E:$E,"Escalated")</f>
        <v>0</v>
      </c>
      <c r="N56">
        <f>COUNTIFS(Incident_Log!$A:$A,$A56,Incident_Log!$C:$C,"High",Incident_Log!$E:$E,"No")</f>
        <v>0</v>
      </c>
      <c r="O56" t="str">
        <f t="shared" ca="1" si="0"/>
        <v>Attention Required</v>
      </c>
      <c r="P56">
        <f ca="1">($G56*40)+($H56*30)+($I56*10)+($N56*50)+IF($L56&gt;0,20,0)</f>
        <v>0</v>
      </c>
      <c r="Q56">
        <f ca="1">E56*(P56/100)</f>
        <v>0</v>
      </c>
      <c r="R56">
        <f ca="1">_xlfn.RANK.EQ($Q56,$Q$2:$Q$401,0)</f>
        <v>180</v>
      </c>
    </row>
    <row r="57" spans="1:18">
      <c r="A57" t="str" cm="1">
        <f t="array" ref="A57">_xlfn._xlws.SORT(Vendor_Master!A57)</f>
        <v>VND-056</v>
      </c>
      <c r="B57" t="str">
        <f>_xlfn.XLOOKUP(Compliance_Sheet!A57,Vendor_Master!A57,Vendor_Master!B57,"")</f>
        <v>Vendor_056</v>
      </c>
      <c r="C57" t="str">
        <f>_xlfn.XLOOKUP(A57,Vendor_Master!A57,Vendor_Master!C57,"")</f>
        <v>Waste Services</v>
      </c>
      <c r="D57" t="str">
        <f>_xlfn.XLOOKUP(A57,Vendor_Master!A57,Vendor_Master!D57,"")</f>
        <v>East</v>
      </c>
      <c r="E57">
        <f>_xlfn.XLOOKUP(A57,Vendor_Master!A57,Vendor_Master!E57,0)</f>
        <v>110052</v>
      </c>
      <c r="F57" t="str">
        <f>_xlfn.XLOOKUP(A57,Vendor_Master!A57,Vendor_Master!H57,"")</f>
        <v>contact56@vendor.com</v>
      </c>
      <c r="G57">
        <f ca="1">COUNTIFS(Sustainability_Documents!$A:$A,$A57,Sustainability_Documents!$H:$H,"Missing")</f>
        <v>0</v>
      </c>
      <c r="H57">
        <f ca="1">COUNTIFS(Sustainability_Documents!$A:$A,$A57,Sustainability_Documents!$H:$H,"Expired")</f>
        <v>0</v>
      </c>
      <c r="I57">
        <f ca="1">COUNTIFS(Sustainability_Documents!$A:$A,$A57,Sustainability_Documents!$H:$H,"Expiring Soon")</f>
        <v>0</v>
      </c>
      <c r="J57">
        <f>COUNTIFS(Sustainability_Documents!$A:$A,$A57,Sustainability_Documents!$C:$C,"Yes")</f>
        <v>4</v>
      </c>
      <c r="K57">
        <f ca="1">IF($J57=0,"",($J57-$G57-$H57)/$J57)</f>
        <v>1</v>
      </c>
      <c r="L57">
        <f>COUNTIFS(OutReach_Log!$A:$A,$A57,OutReach_Log!$G:$G,"Yes")</f>
        <v>0</v>
      </c>
      <c r="M57">
        <f>COUNTIFS(OutReach_Log!$A:$A,$A57,OutReach_Log!$E:$E,"Pending")
 +COUNTIFS(OutReach_Log!$A:$A,$A57,OutReach_Log!$E:$E,"Escalated")</f>
        <v>0</v>
      </c>
      <c r="N57">
        <f>COUNTIFS(Incident_Log!$A:$A,$A57,Incident_Log!$C:$C,"High",Incident_Log!$E:$E,"No")</f>
        <v>0</v>
      </c>
      <c r="O57" t="str">
        <f t="shared" ca="1" si="0"/>
        <v>Attention Required</v>
      </c>
      <c r="P57">
        <f ca="1">($G57*40)+($H57*30)+($I57*10)+($N57*50)+IF($L57&gt;0,20,0)</f>
        <v>0</v>
      </c>
      <c r="Q57">
        <f ca="1">E57*(P57/100)</f>
        <v>0</v>
      </c>
      <c r="R57">
        <f ca="1">_xlfn.RANK.EQ($Q57,$Q$2:$Q$401,0)</f>
        <v>180</v>
      </c>
    </row>
    <row r="58" spans="1:18">
      <c r="A58" t="str" cm="1">
        <f t="array" ref="A58">_xlfn._xlws.SORT(Vendor_Master!A58)</f>
        <v>VND-057</v>
      </c>
      <c r="B58" t="str">
        <f>_xlfn.XLOOKUP(Compliance_Sheet!A58,Vendor_Master!A58,Vendor_Master!B58,"")</f>
        <v>Vendor_057</v>
      </c>
      <c r="C58" t="str">
        <f>_xlfn.XLOOKUP(A58,Vendor_Master!A58,Vendor_Master!C58,"")</f>
        <v>Waste Services</v>
      </c>
      <c r="D58" t="str">
        <f>_xlfn.XLOOKUP(A58,Vendor_Master!A58,Vendor_Master!D58,"")</f>
        <v>East</v>
      </c>
      <c r="E58">
        <f>_xlfn.XLOOKUP(A58,Vendor_Master!A58,Vendor_Master!E58,0)</f>
        <v>225791</v>
      </c>
      <c r="F58" t="str">
        <f>_xlfn.XLOOKUP(A58,Vendor_Master!A58,Vendor_Master!H58,"")</f>
        <v>contact57@vendor.com</v>
      </c>
      <c r="G58">
        <f ca="1">COUNTIFS(Sustainability_Documents!$A:$A,$A58,Sustainability_Documents!$H:$H,"Missing")</f>
        <v>0</v>
      </c>
      <c r="H58">
        <f ca="1">COUNTIFS(Sustainability_Documents!$A:$A,$A58,Sustainability_Documents!$H:$H,"Expired")</f>
        <v>0</v>
      </c>
      <c r="I58">
        <f ca="1">COUNTIFS(Sustainability_Documents!$A:$A,$A58,Sustainability_Documents!$H:$H,"Expiring Soon")</f>
        <v>0</v>
      </c>
      <c r="J58">
        <f>COUNTIFS(Sustainability_Documents!$A:$A,$A58,Sustainability_Documents!$C:$C,"Yes")</f>
        <v>4</v>
      </c>
      <c r="K58">
        <f ca="1">IF($J58=0,"",($J58-$G58-$H58)/$J58)</f>
        <v>1</v>
      </c>
      <c r="L58">
        <f>COUNTIFS(OutReach_Log!$A:$A,$A58,OutReach_Log!$G:$G,"Yes")</f>
        <v>0</v>
      </c>
      <c r="M58">
        <f>COUNTIFS(OutReach_Log!$A:$A,$A58,OutReach_Log!$E:$E,"Pending")
 +COUNTIFS(OutReach_Log!$A:$A,$A58,OutReach_Log!$E:$E,"Escalated")</f>
        <v>0</v>
      </c>
      <c r="N58">
        <f>COUNTIFS(Incident_Log!$A:$A,$A58,Incident_Log!$C:$C,"High",Incident_Log!$E:$E,"No")</f>
        <v>0</v>
      </c>
      <c r="O58" t="str">
        <f t="shared" ca="1" si="0"/>
        <v>Attention Required</v>
      </c>
      <c r="P58">
        <f ca="1">($G58*40)+($H58*30)+($I58*10)+($N58*50)+IF($L58&gt;0,20,0)</f>
        <v>0</v>
      </c>
      <c r="Q58">
        <f ca="1">E58*(P58/100)</f>
        <v>0</v>
      </c>
      <c r="R58">
        <f ca="1">_xlfn.RANK.EQ($Q58,$Q$2:$Q$401,0)</f>
        <v>180</v>
      </c>
    </row>
    <row r="59" spans="1:18">
      <c r="A59" t="str" cm="1">
        <f t="array" ref="A59">_xlfn._xlws.SORT(Vendor_Master!A59)</f>
        <v>VND-058</v>
      </c>
      <c r="B59" t="str">
        <f>_xlfn.XLOOKUP(Compliance_Sheet!A59,Vendor_Master!A59,Vendor_Master!B59,"")</f>
        <v>Vendor_058</v>
      </c>
      <c r="C59" t="str">
        <f>_xlfn.XLOOKUP(A59,Vendor_Master!A59,Vendor_Master!C59,"")</f>
        <v>Waste Services</v>
      </c>
      <c r="D59" t="str">
        <f>_xlfn.XLOOKUP(A59,Vendor_Master!A59,Vendor_Master!D59,"")</f>
        <v>East</v>
      </c>
      <c r="E59">
        <f>_xlfn.XLOOKUP(A59,Vendor_Master!A59,Vendor_Master!E59,0)</f>
        <v>943736</v>
      </c>
      <c r="F59" t="str">
        <f>_xlfn.XLOOKUP(A59,Vendor_Master!A59,Vendor_Master!H59,"")</f>
        <v>contact58@vendor.com</v>
      </c>
      <c r="G59">
        <f ca="1">COUNTIFS(Sustainability_Documents!$A:$A,$A59,Sustainability_Documents!$H:$H,"Missing")</f>
        <v>0</v>
      </c>
      <c r="H59">
        <f ca="1">COUNTIFS(Sustainability_Documents!$A:$A,$A59,Sustainability_Documents!$H:$H,"Expired")</f>
        <v>0</v>
      </c>
      <c r="I59">
        <f ca="1">COUNTIFS(Sustainability_Documents!$A:$A,$A59,Sustainability_Documents!$H:$H,"Expiring Soon")</f>
        <v>0</v>
      </c>
      <c r="J59">
        <f>COUNTIFS(Sustainability_Documents!$A:$A,$A59,Sustainability_Documents!$C:$C,"Yes")</f>
        <v>4</v>
      </c>
      <c r="K59">
        <f ca="1">IF($J59=0,"",($J59-$G59-$H59)/$J59)</f>
        <v>1</v>
      </c>
      <c r="L59">
        <f>COUNTIFS(OutReach_Log!$A:$A,$A59,OutReach_Log!$G:$G,"Yes")</f>
        <v>0</v>
      </c>
      <c r="M59">
        <f>COUNTIFS(OutReach_Log!$A:$A,$A59,OutReach_Log!$E:$E,"Pending")
 +COUNTIFS(OutReach_Log!$A:$A,$A59,OutReach_Log!$E:$E,"Escalated")</f>
        <v>0</v>
      </c>
      <c r="N59">
        <f>COUNTIFS(Incident_Log!$A:$A,$A59,Incident_Log!$C:$C,"High",Incident_Log!$E:$E,"No")</f>
        <v>0</v>
      </c>
      <c r="O59" t="str">
        <f t="shared" ca="1" si="0"/>
        <v>Attention Required</v>
      </c>
      <c r="P59">
        <f ca="1">($G59*40)+($H59*30)+($I59*10)+($N59*50)+IF($L59&gt;0,20,0)</f>
        <v>0</v>
      </c>
      <c r="Q59">
        <f ca="1">E59*(P59/100)</f>
        <v>0</v>
      </c>
      <c r="R59">
        <f ca="1">_xlfn.RANK.EQ($Q59,$Q$2:$Q$401,0)</f>
        <v>180</v>
      </c>
    </row>
    <row r="60" spans="1:18">
      <c r="A60" t="str" cm="1">
        <f t="array" ref="A60">_xlfn._xlws.SORT(Vendor_Master!A60)</f>
        <v>VND-059</v>
      </c>
      <c r="B60" t="str">
        <f>_xlfn.XLOOKUP(Compliance_Sheet!A60,Vendor_Master!A60,Vendor_Master!B60,"")</f>
        <v>Vendor_059</v>
      </c>
      <c r="C60" t="str">
        <f>_xlfn.XLOOKUP(A60,Vendor_Master!A60,Vendor_Master!C60,"")</f>
        <v>Waste Services</v>
      </c>
      <c r="D60" t="str">
        <f>_xlfn.XLOOKUP(A60,Vendor_Master!A60,Vendor_Master!D60,"")</f>
        <v>East</v>
      </c>
      <c r="E60">
        <f>_xlfn.XLOOKUP(A60,Vendor_Master!A60,Vendor_Master!E60,0)</f>
        <v>504482</v>
      </c>
      <c r="F60" t="str">
        <f>_xlfn.XLOOKUP(A60,Vendor_Master!A60,Vendor_Master!H60,"")</f>
        <v>contact59@vendor.com</v>
      </c>
      <c r="G60">
        <f ca="1">COUNTIFS(Sustainability_Documents!$A:$A,$A60,Sustainability_Documents!$H:$H,"Missing")</f>
        <v>0</v>
      </c>
      <c r="H60">
        <f ca="1">COUNTIFS(Sustainability_Documents!$A:$A,$A60,Sustainability_Documents!$H:$H,"Expired")</f>
        <v>0</v>
      </c>
      <c r="I60">
        <f ca="1">COUNTIFS(Sustainability_Documents!$A:$A,$A60,Sustainability_Documents!$H:$H,"Expiring Soon")</f>
        <v>0</v>
      </c>
      <c r="J60">
        <f>COUNTIFS(Sustainability_Documents!$A:$A,$A60,Sustainability_Documents!$C:$C,"Yes")</f>
        <v>4</v>
      </c>
      <c r="K60">
        <f ca="1">IF($J60=0,"",($J60-$G60-$H60)/$J60)</f>
        <v>1</v>
      </c>
      <c r="L60">
        <f>COUNTIFS(OutReach_Log!$A:$A,$A60,OutReach_Log!$G:$G,"Yes")</f>
        <v>0</v>
      </c>
      <c r="M60">
        <f>COUNTIFS(OutReach_Log!$A:$A,$A60,OutReach_Log!$E:$E,"Pending")
 +COUNTIFS(OutReach_Log!$A:$A,$A60,OutReach_Log!$E:$E,"Escalated")</f>
        <v>0</v>
      </c>
      <c r="N60">
        <f>COUNTIFS(Incident_Log!$A:$A,$A60,Incident_Log!$C:$C,"High",Incident_Log!$E:$E,"No")</f>
        <v>0</v>
      </c>
      <c r="O60" t="str">
        <f t="shared" ca="1" si="0"/>
        <v>Attention Required</v>
      </c>
      <c r="P60">
        <f ca="1">($G60*40)+($H60*30)+($I60*10)+($N60*50)+IF($L60&gt;0,20,0)</f>
        <v>0</v>
      </c>
      <c r="Q60">
        <f ca="1">E60*(P60/100)</f>
        <v>0</v>
      </c>
      <c r="R60">
        <f ca="1">_xlfn.RANK.EQ($Q60,$Q$2:$Q$401,0)</f>
        <v>180</v>
      </c>
    </row>
    <row r="61" spans="1:18">
      <c r="A61" t="str" cm="1">
        <f t="array" ref="A61">_xlfn._xlws.SORT(Vendor_Master!A61)</f>
        <v>VND-060</v>
      </c>
      <c r="B61" t="str">
        <f>_xlfn.XLOOKUP(Compliance_Sheet!A61,Vendor_Master!A61,Vendor_Master!B61,"")</f>
        <v>Vendor_060</v>
      </c>
      <c r="C61" t="str">
        <f>_xlfn.XLOOKUP(A61,Vendor_Master!A61,Vendor_Master!C61,"")</f>
        <v>Waste Services</v>
      </c>
      <c r="D61" t="str">
        <f>_xlfn.XLOOKUP(A61,Vendor_Master!A61,Vendor_Master!D61,"")</f>
        <v>East</v>
      </c>
      <c r="E61">
        <f>_xlfn.XLOOKUP(A61,Vendor_Master!A61,Vendor_Master!E61,0)</f>
        <v>967713</v>
      </c>
      <c r="F61" t="str">
        <f>_xlfn.XLOOKUP(A61,Vendor_Master!A61,Vendor_Master!H61,"")</f>
        <v>contact60@vendor.com</v>
      </c>
      <c r="G61">
        <f ca="1">COUNTIFS(Sustainability_Documents!$A:$A,$A61,Sustainability_Documents!$H:$H,"Missing")</f>
        <v>0</v>
      </c>
      <c r="H61">
        <f ca="1">COUNTIFS(Sustainability_Documents!$A:$A,$A61,Sustainability_Documents!$H:$H,"Expired")</f>
        <v>0</v>
      </c>
      <c r="I61">
        <f ca="1">COUNTIFS(Sustainability_Documents!$A:$A,$A61,Sustainability_Documents!$H:$H,"Expiring Soon")</f>
        <v>0</v>
      </c>
      <c r="J61">
        <f>COUNTIFS(Sustainability_Documents!$A:$A,$A61,Sustainability_Documents!$C:$C,"Yes")</f>
        <v>4</v>
      </c>
      <c r="K61">
        <f ca="1">IF($J61=0,"",($J61-$G61-$H61)/$J61)</f>
        <v>1</v>
      </c>
      <c r="L61">
        <f>COUNTIFS(OutReach_Log!$A:$A,$A61,OutReach_Log!$G:$G,"Yes")</f>
        <v>0</v>
      </c>
      <c r="M61">
        <f>COUNTIFS(OutReach_Log!$A:$A,$A61,OutReach_Log!$E:$E,"Pending")
 +COUNTIFS(OutReach_Log!$A:$A,$A61,OutReach_Log!$E:$E,"Escalated")</f>
        <v>0</v>
      </c>
      <c r="N61">
        <f>COUNTIFS(Incident_Log!$A:$A,$A61,Incident_Log!$C:$C,"High",Incident_Log!$E:$E,"No")</f>
        <v>0</v>
      </c>
      <c r="O61" t="str">
        <f t="shared" ca="1" si="0"/>
        <v>Attention Required</v>
      </c>
      <c r="P61">
        <f ca="1">($G61*40)+($H61*30)+($I61*10)+($N61*50)+IF($L61&gt;0,20,0)</f>
        <v>0</v>
      </c>
      <c r="Q61">
        <f ca="1">E61*(P61/100)</f>
        <v>0</v>
      </c>
      <c r="R61">
        <f ca="1">_xlfn.RANK.EQ($Q61,$Q$2:$Q$401,0)</f>
        <v>180</v>
      </c>
    </row>
    <row r="62" spans="1:18">
      <c r="A62" t="str" cm="1">
        <f t="array" ref="A62">_xlfn._xlws.SORT(Vendor_Master!A62)</f>
        <v>VND-061</v>
      </c>
      <c r="B62" t="str">
        <f>_xlfn.XLOOKUP(Compliance_Sheet!A62,Vendor_Master!A62,Vendor_Master!B62,"")</f>
        <v>Vendor_061</v>
      </c>
      <c r="C62" t="str">
        <f>_xlfn.XLOOKUP(A62,Vendor_Master!A62,Vendor_Master!C62,"")</f>
        <v>Waste Services</v>
      </c>
      <c r="D62" t="str">
        <f>_xlfn.XLOOKUP(A62,Vendor_Master!A62,Vendor_Master!D62,"")</f>
        <v>East</v>
      </c>
      <c r="E62">
        <f>_xlfn.XLOOKUP(A62,Vendor_Master!A62,Vendor_Master!E62,0)</f>
        <v>601352</v>
      </c>
      <c r="F62" t="str">
        <f>_xlfn.XLOOKUP(A62,Vendor_Master!A62,Vendor_Master!H62,"")</f>
        <v>contact61@vendor.com</v>
      </c>
      <c r="G62">
        <f ca="1">COUNTIFS(Sustainability_Documents!$A:$A,$A62,Sustainability_Documents!$H:$H,"Missing")</f>
        <v>0</v>
      </c>
      <c r="H62">
        <f ca="1">COUNTIFS(Sustainability_Documents!$A:$A,$A62,Sustainability_Documents!$H:$H,"Expired")</f>
        <v>0</v>
      </c>
      <c r="I62">
        <f ca="1">COUNTIFS(Sustainability_Documents!$A:$A,$A62,Sustainability_Documents!$H:$H,"Expiring Soon")</f>
        <v>0</v>
      </c>
      <c r="J62">
        <f>COUNTIFS(Sustainability_Documents!$A:$A,$A62,Sustainability_Documents!$C:$C,"Yes")</f>
        <v>4</v>
      </c>
      <c r="K62">
        <f ca="1">IF($J62=0,"",($J62-$G62-$H62)/$J62)</f>
        <v>1</v>
      </c>
      <c r="L62">
        <f>COUNTIFS(OutReach_Log!$A:$A,$A62,OutReach_Log!$G:$G,"Yes")</f>
        <v>0</v>
      </c>
      <c r="M62">
        <f>COUNTIFS(OutReach_Log!$A:$A,$A62,OutReach_Log!$E:$E,"Pending")
 +COUNTIFS(OutReach_Log!$A:$A,$A62,OutReach_Log!$E:$E,"Escalated")</f>
        <v>0</v>
      </c>
      <c r="N62">
        <f>COUNTIFS(Incident_Log!$A:$A,$A62,Incident_Log!$C:$C,"High",Incident_Log!$E:$E,"No")</f>
        <v>1</v>
      </c>
      <c r="O62" t="str">
        <f t="shared" ca="1" si="0"/>
        <v>High Attention Required</v>
      </c>
      <c r="P62">
        <f ca="1">($G62*40)+($H62*30)+($I62*10)+($N62*50)+IF($L62&gt;0,20,0)</f>
        <v>50</v>
      </c>
      <c r="Q62">
        <f ca="1">E62*(P62/100)</f>
        <v>300676</v>
      </c>
      <c r="R62">
        <f ca="1">_xlfn.RANK.EQ($Q62,$Q$2:$Q$401,0)</f>
        <v>104</v>
      </c>
    </row>
    <row r="63" spans="1:18">
      <c r="A63" t="str" cm="1">
        <f t="array" ref="A63">_xlfn._xlws.SORT(Vendor_Master!A63)</f>
        <v>VND-062</v>
      </c>
      <c r="B63" t="str">
        <f>_xlfn.XLOOKUP(Compliance_Sheet!A63,Vendor_Master!A63,Vendor_Master!B63,"")</f>
        <v>Vendor_062</v>
      </c>
      <c r="C63" t="str">
        <f>_xlfn.XLOOKUP(A63,Vendor_Master!A63,Vendor_Master!C63,"")</f>
        <v>Waste Services</v>
      </c>
      <c r="D63" t="str">
        <f>_xlfn.XLOOKUP(A63,Vendor_Master!A63,Vendor_Master!D63,"")</f>
        <v>East</v>
      </c>
      <c r="E63">
        <f>_xlfn.XLOOKUP(A63,Vendor_Master!A63,Vendor_Master!E63,0)</f>
        <v>642368</v>
      </c>
      <c r="F63" t="str">
        <f>_xlfn.XLOOKUP(A63,Vendor_Master!A63,Vendor_Master!H63,"")</f>
        <v>contact62@vendor.com</v>
      </c>
      <c r="G63">
        <f ca="1">COUNTIFS(Sustainability_Documents!$A:$A,$A63,Sustainability_Documents!$H:$H,"Missing")</f>
        <v>0</v>
      </c>
      <c r="H63">
        <f ca="1">COUNTIFS(Sustainability_Documents!$A:$A,$A63,Sustainability_Documents!$H:$H,"Expired")</f>
        <v>0</v>
      </c>
      <c r="I63">
        <f ca="1">COUNTIFS(Sustainability_Documents!$A:$A,$A63,Sustainability_Documents!$H:$H,"Expiring Soon")</f>
        <v>0</v>
      </c>
      <c r="J63">
        <f>COUNTIFS(Sustainability_Documents!$A:$A,$A63,Sustainability_Documents!$C:$C,"Yes")</f>
        <v>4</v>
      </c>
      <c r="K63">
        <f ca="1">IF($J63=0,"",($J63-$G63-$H63)/$J63)</f>
        <v>1</v>
      </c>
      <c r="L63">
        <f>COUNTIFS(OutReach_Log!$A:$A,$A63,OutReach_Log!$G:$G,"Yes")</f>
        <v>0</v>
      </c>
      <c r="M63">
        <f>COUNTIFS(OutReach_Log!$A:$A,$A63,OutReach_Log!$E:$E,"Pending")
 +COUNTIFS(OutReach_Log!$A:$A,$A63,OutReach_Log!$E:$E,"Escalated")</f>
        <v>0</v>
      </c>
      <c r="N63">
        <f>COUNTIFS(Incident_Log!$A:$A,$A63,Incident_Log!$C:$C,"High",Incident_Log!$E:$E,"No")</f>
        <v>0</v>
      </c>
      <c r="O63" t="str">
        <f t="shared" ca="1" si="0"/>
        <v>Attention Required</v>
      </c>
      <c r="P63">
        <f ca="1">($G63*40)+($H63*30)+($I63*10)+($N63*50)+IF($L63&gt;0,20,0)</f>
        <v>0</v>
      </c>
      <c r="Q63">
        <f ca="1">E63*(P63/100)</f>
        <v>0</v>
      </c>
      <c r="R63">
        <f ca="1">_xlfn.RANK.EQ($Q63,$Q$2:$Q$401,0)</f>
        <v>180</v>
      </c>
    </row>
    <row r="64" spans="1:18">
      <c r="A64" t="str" cm="1">
        <f t="array" ref="A64">_xlfn._xlws.SORT(Vendor_Master!A64)</f>
        <v>VND-063</v>
      </c>
      <c r="B64" t="str">
        <f>_xlfn.XLOOKUP(Compliance_Sheet!A64,Vendor_Master!A64,Vendor_Master!B64,"")</f>
        <v>Vendor_063</v>
      </c>
      <c r="C64" t="str">
        <f>_xlfn.XLOOKUP(A64,Vendor_Master!A64,Vendor_Master!C64,"")</f>
        <v>Waste Services</v>
      </c>
      <c r="D64" t="str">
        <f>_xlfn.XLOOKUP(A64,Vendor_Master!A64,Vendor_Master!D64,"")</f>
        <v>East</v>
      </c>
      <c r="E64">
        <f>_xlfn.XLOOKUP(A64,Vendor_Master!A64,Vendor_Master!E64,0)</f>
        <v>979044</v>
      </c>
      <c r="F64" t="str">
        <f>_xlfn.XLOOKUP(A64,Vendor_Master!A64,Vendor_Master!H64,"")</f>
        <v>contact63@vendor.com</v>
      </c>
      <c r="G64">
        <f ca="1">COUNTIFS(Sustainability_Documents!$A:$A,$A64,Sustainability_Documents!$H:$H,"Missing")</f>
        <v>0</v>
      </c>
      <c r="H64">
        <f ca="1">COUNTIFS(Sustainability_Documents!$A:$A,$A64,Sustainability_Documents!$H:$H,"Expired")</f>
        <v>0</v>
      </c>
      <c r="I64">
        <f ca="1">COUNTIFS(Sustainability_Documents!$A:$A,$A64,Sustainability_Documents!$H:$H,"Expiring Soon")</f>
        <v>0</v>
      </c>
      <c r="J64">
        <f>COUNTIFS(Sustainability_Documents!$A:$A,$A64,Sustainability_Documents!$C:$C,"Yes")</f>
        <v>4</v>
      </c>
      <c r="K64">
        <f ca="1">IF($J64=0,"",($J64-$G64-$H64)/$J64)</f>
        <v>1</v>
      </c>
      <c r="L64">
        <f>COUNTIFS(OutReach_Log!$A:$A,$A64,OutReach_Log!$G:$G,"Yes")</f>
        <v>0</v>
      </c>
      <c r="M64">
        <f>COUNTIFS(OutReach_Log!$A:$A,$A64,OutReach_Log!$E:$E,"Pending")
 +COUNTIFS(OutReach_Log!$A:$A,$A64,OutReach_Log!$E:$E,"Escalated")</f>
        <v>0</v>
      </c>
      <c r="N64">
        <f>COUNTIFS(Incident_Log!$A:$A,$A64,Incident_Log!$C:$C,"High",Incident_Log!$E:$E,"No")</f>
        <v>0</v>
      </c>
      <c r="O64" t="str">
        <f t="shared" ca="1" si="0"/>
        <v>Attention Required</v>
      </c>
      <c r="P64">
        <f ca="1">($G64*40)+($H64*30)+($I64*10)+($N64*50)+IF($L64&gt;0,20,0)</f>
        <v>0</v>
      </c>
      <c r="Q64">
        <f ca="1">E64*(P64/100)</f>
        <v>0</v>
      </c>
      <c r="R64">
        <f ca="1">_xlfn.RANK.EQ($Q64,$Q$2:$Q$401,0)</f>
        <v>180</v>
      </c>
    </row>
    <row r="65" spans="1:18">
      <c r="A65" t="str" cm="1">
        <f t="array" ref="A65">_xlfn._xlws.SORT(Vendor_Master!A65)</f>
        <v>VND-064</v>
      </c>
      <c r="B65" t="str">
        <f>_xlfn.XLOOKUP(Compliance_Sheet!A65,Vendor_Master!A65,Vendor_Master!B65,"")</f>
        <v>Vendor_064</v>
      </c>
      <c r="C65" t="str">
        <f>_xlfn.XLOOKUP(A65,Vendor_Master!A65,Vendor_Master!C65,"")</f>
        <v>Waste Services</v>
      </c>
      <c r="D65" t="str">
        <f>_xlfn.XLOOKUP(A65,Vendor_Master!A65,Vendor_Master!D65,"")</f>
        <v>East</v>
      </c>
      <c r="E65">
        <f>_xlfn.XLOOKUP(A65,Vendor_Master!A65,Vendor_Master!E65,0)</f>
        <v>584191</v>
      </c>
      <c r="F65" t="str">
        <f>_xlfn.XLOOKUP(A65,Vendor_Master!A65,Vendor_Master!H65,"")</f>
        <v>contact64@vendor.com</v>
      </c>
      <c r="G65">
        <f ca="1">COUNTIFS(Sustainability_Documents!$A:$A,$A65,Sustainability_Documents!$H:$H,"Missing")</f>
        <v>0</v>
      </c>
      <c r="H65">
        <f ca="1">COUNTIFS(Sustainability_Documents!$A:$A,$A65,Sustainability_Documents!$H:$H,"Expired")</f>
        <v>0</v>
      </c>
      <c r="I65">
        <f ca="1">COUNTIFS(Sustainability_Documents!$A:$A,$A65,Sustainability_Documents!$H:$H,"Expiring Soon")</f>
        <v>0</v>
      </c>
      <c r="J65">
        <f>COUNTIFS(Sustainability_Documents!$A:$A,$A65,Sustainability_Documents!$C:$C,"Yes")</f>
        <v>4</v>
      </c>
      <c r="K65">
        <f ca="1">IF($J65=0,"",($J65-$G65-$H65)/$J65)</f>
        <v>1</v>
      </c>
      <c r="L65">
        <f>COUNTIFS(OutReach_Log!$A:$A,$A65,OutReach_Log!$G:$G,"Yes")</f>
        <v>0</v>
      </c>
      <c r="M65">
        <f>COUNTIFS(OutReach_Log!$A:$A,$A65,OutReach_Log!$E:$E,"Pending")
 +COUNTIFS(OutReach_Log!$A:$A,$A65,OutReach_Log!$E:$E,"Escalated")</f>
        <v>0</v>
      </c>
      <c r="N65">
        <f>COUNTIFS(Incident_Log!$A:$A,$A65,Incident_Log!$C:$C,"High",Incident_Log!$E:$E,"No")</f>
        <v>0</v>
      </c>
      <c r="O65" t="str">
        <f t="shared" ca="1" si="0"/>
        <v>Attention Required</v>
      </c>
      <c r="P65">
        <f ca="1">($G65*40)+($H65*30)+($I65*10)+($N65*50)+IF($L65&gt;0,20,0)</f>
        <v>0</v>
      </c>
      <c r="Q65">
        <f ca="1">E65*(P65/100)</f>
        <v>0</v>
      </c>
      <c r="R65">
        <f ca="1">_xlfn.RANK.EQ($Q65,$Q$2:$Q$401,0)</f>
        <v>180</v>
      </c>
    </row>
    <row r="66" spans="1:18">
      <c r="A66" t="str" cm="1">
        <f t="array" ref="A66">_xlfn._xlws.SORT(Vendor_Master!A66)</f>
        <v>VND-065</v>
      </c>
      <c r="B66" t="str">
        <f>_xlfn.XLOOKUP(Compliance_Sheet!A66,Vendor_Master!A66,Vendor_Master!B66,"")</f>
        <v>Vendor_065</v>
      </c>
      <c r="C66" t="str">
        <f>_xlfn.XLOOKUP(A66,Vendor_Master!A66,Vendor_Master!C66,"")</f>
        <v>Waste Services</v>
      </c>
      <c r="D66" t="str">
        <f>_xlfn.XLOOKUP(A66,Vendor_Master!A66,Vendor_Master!D66,"")</f>
        <v>East</v>
      </c>
      <c r="E66">
        <f>_xlfn.XLOOKUP(A66,Vendor_Master!A66,Vendor_Master!E66,0)</f>
        <v>757531</v>
      </c>
      <c r="F66" t="str">
        <f>_xlfn.XLOOKUP(A66,Vendor_Master!A66,Vendor_Master!H66,"")</f>
        <v>contact65@vendor.com</v>
      </c>
      <c r="G66">
        <f ca="1">COUNTIFS(Sustainability_Documents!$A:$A,$A66,Sustainability_Documents!$H:$H,"Missing")</f>
        <v>0</v>
      </c>
      <c r="H66">
        <f ca="1">COUNTIFS(Sustainability_Documents!$A:$A,$A66,Sustainability_Documents!$H:$H,"Expired")</f>
        <v>0</v>
      </c>
      <c r="I66">
        <f ca="1">COUNTIFS(Sustainability_Documents!$A:$A,$A66,Sustainability_Documents!$H:$H,"Expiring Soon")</f>
        <v>0</v>
      </c>
      <c r="J66">
        <f>COUNTIFS(Sustainability_Documents!$A:$A,$A66,Sustainability_Documents!$C:$C,"Yes")</f>
        <v>4</v>
      </c>
      <c r="K66">
        <f ca="1">IF($J66=0,"",($J66-$G66-$H66)/$J66)</f>
        <v>1</v>
      </c>
      <c r="L66">
        <f>COUNTIFS(OutReach_Log!$A:$A,$A66,OutReach_Log!$G:$G,"Yes")</f>
        <v>0</v>
      </c>
      <c r="M66">
        <f>COUNTIFS(OutReach_Log!$A:$A,$A66,OutReach_Log!$E:$E,"Pending")
 +COUNTIFS(OutReach_Log!$A:$A,$A66,OutReach_Log!$E:$E,"Escalated")</f>
        <v>0</v>
      </c>
      <c r="N66">
        <f>COUNTIFS(Incident_Log!$A:$A,$A66,Incident_Log!$C:$C,"High",Incident_Log!$E:$E,"No")</f>
        <v>0</v>
      </c>
      <c r="O66" t="str">
        <f t="shared" ca="1" si="0"/>
        <v>Attention Required</v>
      </c>
      <c r="P66">
        <f ca="1">($G66*40)+($H66*30)+($I66*10)+($N66*50)+IF($L66&gt;0,20,0)</f>
        <v>0</v>
      </c>
      <c r="Q66">
        <f ca="1">E66*(P66/100)</f>
        <v>0</v>
      </c>
      <c r="R66">
        <f ca="1">_xlfn.RANK.EQ($Q66,$Q$2:$Q$401,0)</f>
        <v>180</v>
      </c>
    </row>
    <row r="67" spans="1:18">
      <c r="A67" t="str" cm="1">
        <f t="array" ref="A67">_xlfn._xlws.SORT(Vendor_Master!A67)</f>
        <v>VND-066</v>
      </c>
      <c r="B67" t="str">
        <f>_xlfn.XLOOKUP(Compliance_Sheet!A67,Vendor_Master!A67,Vendor_Master!B67,"")</f>
        <v>Vendor_066</v>
      </c>
      <c r="C67" t="str">
        <f>_xlfn.XLOOKUP(A67,Vendor_Master!A67,Vendor_Master!C67,"")</f>
        <v>Waste Services</v>
      </c>
      <c r="D67" t="str">
        <f>_xlfn.XLOOKUP(A67,Vendor_Master!A67,Vendor_Master!D67,"")</f>
        <v>East</v>
      </c>
      <c r="E67">
        <f>_xlfn.XLOOKUP(A67,Vendor_Master!A67,Vendor_Master!E67,0)</f>
        <v>585873</v>
      </c>
      <c r="F67" t="str">
        <f>_xlfn.XLOOKUP(A67,Vendor_Master!A67,Vendor_Master!H67,"")</f>
        <v>contact66@vendor.com</v>
      </c>
      <c r="G67">
        <f ca="1">COUNTIFS(Sustainability_Documents!$A:$A,$A67,Sustainability_Documents!$H:$H,"Missing")</f>
        <v>0</v>
      </c>
      <c r="H67">
        <f ca="1">COUNTIFS(Sustainability_Documents!$A:$A,$A67,Sustainability_Documents!$H:$H,"Expired")</f>
        <v>0</v>
      </c>
      <c r="I67">
        <f ca="1">COUNTIFS(Sustainability_Documents!$A:$A,$A67,Sustainability_Documents!$H:$H,"Expiring Soon")</f>
        <v>0</v>
      </c>
      <c r="J67">
        <f>COUNTIFS(Sustainability_Documents!$A:$A,$A67,Sustainability_Documents!$C:$C,"Yes")</f>
        <v>4</v>
      </c>
      <c r="K67">
        <f ca="1">IF($J67=0,"",($J67-$G67-$H67)/$J67)</f>
        <v>1</v>
      </c>
      <c r="L67">
        <f>COUNTIFS(OutReach_Log!$A:$A,$A67,OutReach_Log!$G:$G,"Yes")</f>
        <v>0</v>
      </c>
      <c r="M67">
        <f>COUNTIFS(OutReach_Log!$A:$A,$A67,OutReach_Log!$E:$E,"Pending")
 +COUNTIFS(OutReach_Log!$A:$A,$A67,OutReach_Log!$E:$E,"Escalated")</f>
        <v>0</v>
      </c>
      <c r="N67">
        <f>COUNTIFS(Incident_Log!$A:$A,$A67,Incident_Log!$C:$C,"High",Incident_Log!$E:$E,"No")</f>
        <v>0</v>
      </c>
      <c r="O67" t="str">
        <f t="shared" ref="O67:O130" ca="1" si="1">IF(OR(H67&gt;0,I67&gt;0,N67&gt;0),
   "High Attention Required",
   IF(J67&gt;0,
      "Attention Required",
      "Fully Compliant"
   )
)</f>
        <v>Attention Required</v>
      </c>
      <c r="P67">
        <f ca="1">($G67*40)+($H67*30)+($I67*10)+($N67*50)+IF($L67&gt;0,20,0)</f>
        <v>0</v>
      </c>
      <c r="Q67">
        <f ca="1">E67*(P67/100)</f>
        <v>0</v>
      </c>
      <c r="R67">
        <f ca="1">_xlfn.RANK.EQ($Q67,$Q$2:$Q$401,0)</f>
        <v>180</v>
      </c>
    </row>
    <row r="68" spans="1:18">
      <c r="A68" t="str" cm="1">
        <f t="array" ref="A68">_xlfn._xlws.SORT(Vendor_Master!A68)</f>
        <v>VND-067</v>
      </c>
      <c r="B68" t="str">
        <f>_xlfn.XLOOKUP(Compliance_Sheet!A68,Vendor_Master!A68,Vendor_Master!B68,"")</f>
        <v>Vendor_067</v>
      </c>
      <c r="C68" t="str">
        <f>_xlfn.XLOOKUP(A68,Vendor_Master!A68,Vendor_Master!C68,"")</f>
        <v>Waste Services</v>
      </c>
      <c r="D68" t="str">
        <f>_xlfn.XLOOKUP(A68,Vendor_Master!A68,Vendor_Master!D68,"")</f>
        <v>East</v>
      </c>
      <c r="E68">
        <f>_xlfn.XLOOKUP(A68,Vendor_Master!A68,Vendor_Master!E68,0)</f>
        <v>808214</v>
      </c>
      <c r="F68" t="str">
        <f>_xlfn.XLOOKUP(A68,Vendor_Master!A68,Vendor_Master!H68,"")</f>
        <v>contact67@vendor.com</v>
      </c>
      <c r="G68">
        <f ca="1">COUNTIFS(Sustainability_Documents!$A:$A,$A68,Sustainability_Documents!$H:$H,"Missing")</f>
        <v>0</v>
      </c>
      <c r="H68">
        <f ca="1">COUNTIFS(Sustainability_Documents!$A:$A,$A68,Sustainability_Documents!$H:$H,"Expired")</f>
        <v>0</v>
      </c>
      <c r="I68">
        <f ca="1">COUNTIFS(Sustainability_Documents!$A:$A,$A68,Sustainability_Documents!$H:$H,"Expiring Soon")</f>
        <v>0</v>
      </c>
      <c r="J68">
        <f>COUNTIFS(Sustainability_Documents!$A:$A,$A68,Sustainability_Documents!$C:$C,"Yes")</f>
        <v>4</v>
      </c>
      <c r="K68">
        <f ca="1">IF($J68=0,"",($J68-$G68-$H68)/$J68)</f>
        <v>1</v>
      </c>
      <c r="L68">
        <f>COUNTIFS(OutReach_Log!$A:$A,$A68,OutReach_Log!$G:$G,"Yes")</f>
        <v>0</v>
      </c>
      <c r="M68">
        <f>COUNTIFS(OutReach_Log!$A:$A,$A68,OutReach_Log!$E:$E,"Pending")
 +COUNTIFS(OutReach_Log!$A:$A,$A68,OutReach_Log!$E:$E,"Escalated")</f>
        <v>0</v>
      </c>
      <c r="N68">
        <f>COUNTIFS(Incident_Log!$A:$A,$A68,Incident_Log!$C:$C,"High",Incident_Log!$E:$E,"No")</f>
        <v>0</v>
      </c>
      <c r="O68" t="str">
        <f t="shared" ca="1" si="1"/>
        <v>Attention Required</v>
      </c>
      <c r="P68">
        <f ca="1">($G68*40)+($H68*30)+($I68*10)+($N68*50)+IF($L68&gt;0,20,0)</f>
        <v>0</v>
      </c>
      <c r="Q68">
        <f ca="1">E68*(P68/100)</f>
        <v>0</v>
      </c>
      <c r="R68">
        <f ca="1">_xlfn.RANK.EQ($Q68,$Q$2:$Q$401,0)</f>
        <v>180</v>
      </c>
    </row>
    <row r="69" spans="1:18">
      <c r="A69" t="str" cm="1">
        <f t="array" ref="A69">_xlfn._xlws.SORT(Vendor_Master!A69)</f>
        <v>VND-068</v>
      </c>
      <c r="B69" t="str">
        <f>_xlfn.XLOOKUP(Compliance_Sheet!A69,Vendor_Master!A69,Vendor_Master!B69,"")</f>
        <v>Vendor_068</v>
      </c>
      <c r="C69" t="str">
        <f>_xlfn.XLOOKUP(A69,Vendor_Master!A69,Vendor_Master!C69,"")</f>
        <v>Waste Services</v>
      </c>
      <c r="D69" t="str">
        <f>_xlfn.XLOOKUP(A69,Vendor_Master!A69,Vendor_Master!D69,"")</f>
        <v>East</v>
      </c>
      <c r="E69">
        <f>_xlfn.XLOOKUP(A69,Vendor_Master!A69,Vendor_Master!E69,0)</f>
        <v>858337</v>
      </c>
      <c r="F69" t="str">
        <f>_xlfn.XLOOKUP(A69,Vendor_Master!A69,Vendor_Master!H69,"")</f>
        <v>contact68@vendor.com</v>
      </c>
      <c r="G69">
        <f ca="1">COUNTIFS(Sustainability_Documents!$A:$A,$A69,Sustainability_Documents!$H:$H,"Missing")</f>
        <v>0</v>
      </c>
      <c r="H69">
        <f ca="1">COUNTIFS(Sustainability_Documents!$A:$A,$A69,Sustainability_Documents!$H:$H,"Expired")</f>
        <v>0</v>
      </c>
      <c r="I69">
        <f ca="1">COUNTIFS(Sustainability_Documents!$A:$A,$A69,Sustainability_Documents!$H:$H,"Expiring Soon")</f>
        <v>0</v>
      </c>
      <c r="J69">
        <f>COUNTIFS(Sustainability_Documents!$A:$A,$A69,Sustainability_Documents!$C:$C,"Yes")</f>
        <v>4</v>
      </c>
      <c r="K69">
        <f ca="1">IF($J69=0,"",($J69-$G69-$H69)/$J69)</f>
        <v>1</v>
      </c>
      <c r="L69">
        <f>COUNTIFS(OutReach_Log!$A:$A,$A69,OutReach_Log!$G:$G,"Yes")</f>
        <v>0</v>
      </c>
      <c r="M69">
        <f>COUNTIFS(OutReach_Log!$A:$A,$A69,OutReach_Log!$E:$E,"Pending")
 +COUNTIFS(OutReach_Log!$A:$A,$A69,OutReach_Log!$E:$E,"Escalated")</f>
        <v>0</v>
      </c>
      <c r="N69">
        <f>COUNTIFS(Incident_Log!$A:$A,$A69,Incident_Log!$C:$C,"High",Incident_Log!$E:$E,"No")</f>
        <v>0</v>
      </c>
      <c r="O69" t="str">
        <f t="shared" ca="1" si="1"/>
        <v>Attention Required</v>
      </c>
      <c r="P69">
        <f ca="1">($G69*40)+($H69*30)+($I69*10)+($N69*50)+IF($L69&gt;0,20,0)</f>
        <v>0</v>
      </c>
      <c r="Q69">
        <f ca="1">E69*(P69/100)</f>
        <v>0</v>
      </c>
      <c r="R69">
        <f ca="1">_xlfn.RANK.EQ($Q69,$Q$2:$Q$401,0)</f>
        <v>180</v>
      </c>
    </row>
    <row r="70" spans="1:18">
      <c r="A70" t="str" cm="1">
        <f t="array" ref="A70">_xlfn._xlws.SORT(Vendor_Master!A70)</f>
        <v>VND-069</v>
      </c>
      <c r="B70" t="str">
        <f>_xlfn.XLOOKUP(Compliance_Sheet!A70,Vendor_Master!A70,Vendor_Master!B70,"")</f>
        <v>Vendor_069</v>
      </c>
      <c r="C70" t="str">
        <f>_xlfn.XLOOKUP(A70,Vendor_Master!A70,Vendor_Master!C70,"")</f>
        <v>Waste Services</v>
      </c>
      <c r="D70" t="str">
        <f>_xlfn.XLOOKUP(A70,Vendor_Master!A70,Vendor_Master!D70,"")</f>
        <v>East</v>
      </c>
      <c r="E70">
        <f>_xlfn.XLOOKUP(A70,Vendor_Master!A70,Vendor_Master!E70,0)</f>
        <v>859559</v>
      </c>
      <c r="F70" t="str">
        <f>_xlfn.XLOOKUP(A70,Vendor_Master!A70,Vendor_Master!H70,"")</f>
        <v>contact69@vendor.com</v>
      </c>
      <c r="G70">
        <f ca="1">COUNTIFS(Sustainability_Documents!$A:$A,$A70,Sustainability_Documents!$H:$H,"Missing")</f>
        <v>0</v>
      </c>
      <c r="H70">
        <f ca="1">COUNTIFS(Sustainability_Documents!$A:$A,$A70,Sustainability_Documents!$H:$H,"Expired")</f>
        <v>0</v>
      </c>
      <c r="I70">
        <f ca="1">COUNTIFS(Sustainability_Documents!$A:$A,$A70,Sustainability_Documents!$H:$H,"Expiring Soon")</f>
        <v>0</v>
      </c>
      <c r="J70">
        <f>COUNTIFS(Sustainability_Documents!$A:$A,$A70,Sustainability_Documents!$C:$C,"Yes")</f>
        <v>4</v>
      </c>
      <c r="K70">
        <f ca="1">IF($J70=0,"",($J70-$G70-$H70)/$J70)</f>
        <v>1</v>
      </c>
      <c r="L70">
        <f>COUNTIFS(OutReach_Log!$A:$A,$A70,OutReach_Log!$G:$G,"Yes")</f>
        <v>0</v>
      </c>
      <c r="M70">
        <f>COUNTIFS(OutReach_Log!$A:$A,$A70,OutReach_Log!$E:$E,"Pending")
 +COUNTIFS(OutReach_Log!$A:$A,$A70,OutReach_Log!$E:$E,"Escalated")</f>
        <v>0</v>
      </c>
      <c r="N70">
        <f>COUNTIFS(Incident_Log!$A:$A,$A70,Incident_Log!$C:$C,"High",Incident_Log!$E:$E,"No")</f>
        <v>0</v>
      </c>
      <c r="O70" t="str">
        <f t="shared" ca="1" si="1"/>
        <v>Attention Required</v>
      </c>
      <c r="P70">
        <f ca="1">($G70*40)+($H70*30)+($I70*10)+($N70*50)+IF($L70&gt;0,20,0)</f>
        <v>0</v>
      </c>
      <c r="Q70">
        <f ca="1">E70*(P70/100)</f>
        <v>0</v>
      </c>
      <c r="R70">
        <f ca="1">_xlfn.RANK.EQ($Q70,$Q$2:$Q$401,0)</f>
        <v>180</v>
      </c>
    </row>
    <row r="71" spans="1:18">
      <c r="A71" t="str" cm="1">
        <f t="array" ref="A71">_xlfn._xlws.SORT(Vendor_Master!A71)</f>
        <v>VND-070</v>
      </c>
      <c r="B71" t="str">
        <f>_xlfn.XLOOKUP(Compliance_Sheet!A71,Vendor_Master!A71,Vendor_Master!B71,"")</f>
        <v>Vendor_070</v>
      </c>
      <c r="C71" t="str">
        <f>_xlfn.XLOOKUP(A71,Vendor_Master!A71,Vendor_Master!C71,"")</f>
        <v>Waste Services</v>
      </c>
      <c r="D71" t="str">
        <f>_xlfn.XLOOKUP(A71,Vendor_Master!A71,Vendor_Master!D71,"")</f>
        <v>East</v>
      </c>
      <c r="E71">
        <f>_xlfn.XLOOKUP(A71,Vendor_Master!A71,Vendor_Master!E71,0)</f>
        <v>209370</v>
      </c>
      <c r="F71" t="str">
        <f>_xlfn.XLOOKUP(A71,Vendor_Master!A71,Vendor_Master!H71,"")</f>
        <v>contact70@vendor.com</v>
      </c>
      <c r="G71">
        <f ca="1">COUNTIFS(Sustainability_Documents!$A:$A,$A71,Sustainability_Documents!$H:$H,"Missing")</f>
        <v>0</v>
      </c>
      <c r="H71">
        <f ca="1">COUNTIFS(Sustainability_Documents!$A:$A,$A71,Sustainability_Documents!$H:$H,"Expired")</f>
        <v>0</v>
      </c>
      <c r="I71">
        <f ca="1">COUNTIFS(Sustainability_Documents!$A:$A,$A71,Sustainability_Documents!$H:$H,"Expiring Soon")</f>
        <v>0</v>
      </c>
      <c r="J71">
        <f>COUNTIFS(Sustainability_Documents!$A:$A,$A71,Sustainability_Documents!$C:$C,"Yes")</f>
        <v>4</v>
      </c>
      <c r="K71">
        <f ca="1">IF($J71=0,"",($J71-$G71-$H71)/$J71)</f>
        <v>1</v>
      </c>
      <c r="L71">
        <f>COUNTIFS(OutReach_Log!$A:$A,$A71,OutReach_Log!$G:$G,"Yes")</f>
        <v>0</v>
      </c>
      <c r="M71">
        <f>COUNTIFS(OutReach_Log!$A:$A,$A71,OutReach_Log!$E:$E,"Pending")
 +COUNTIFS(OutReach_Log!$A:$A,$A71,OutReach_Log!$E:$E,"Escalated")</f>
        <v>0</v>
      </c>
      <c r="N71">
        <f>COUNTIFS(Incident_Log!$A:$A,$A71,Incident_Log!$C:$C,"High",Incident_Log!$E:$E,"No")</f>
        <v>0</v>
      </c>
      <c r="O71" t="str">
        <f t="shared" ca="1" si="1"/>
        <v>Attention Required</v>
      </c>
      <c r="P71">
        <f ca="1">($G71*40)+($H71*30)+($I71*10)+($N71*50)+IF($L71&gt;0,20,0)</f>
        <v>0</v>
      </c>
      <c r="Q71">
        <f ca="1">E71*(P71/100)</f>
        <v>0</v>
      </c>
      <c r="R71">
        <f ca="1">_xlfn.RANK.EQ($Q71,$Q$2:$Q$401,0)</f>
        <v>180</v>
      </c>
    </row>
    <row r="72" spans="1:18">
      <c r="A72" t="str" cm="1">
        <f t="array" ref="A72">_xlfn._xlws.SORT(Vendor_Master!A72)</f>
        <v>VND-071</v>
      </c>
      <c r="B72" t="str">
        <f>_xlfn.XLOOKUP(Compliance_Sheet!A72,Vendor_Master!A72,Vendor_Master!B72,"")</f>
        <v>Vendor_071</v>
      </c>
      <c r="C72" t="str">
        <f>_xlfn.XLOOKUP(A72,Vendor_Master!A72,Vendor_Master!C72,"")</f>
        <v>Waste Services</v>
      </c>
      <c r="D72" t="str">
        <f>_xlfn.XLOOKUP(A72,Vendor_Master!A72,Vendor_Master!D72,"")</f>
        <v>East</v>
      </c>
      <c r="E72">
        <f>_xlfn.XLOOKUP(A72,Vendor_Master!A72,Vendor_Master!E72,0)</f>
        <v>420206</v>
      </c>
      <c r="F72" t="str">
        <f>_xlfn.XLOOKUP(A72,Vendor_Master!A72,Vendor_Master!H72,"")</f>
        <v>contact71@vendor.com</v>
      </c>
      <c r="G72">
        <f ca="1">COUNTIFS(Sustainability_Documents!$A:$A,$A72,Sustainability_Documents!$H:$H,"Missing")</f>
        <v>0</v>
      </c>
      <c r="H72">
        <f ca="1">COUNTIFS(Sustainability_Documents!$A:$A,$A72,Sustainability_Documents!$H:$H,"Expired")</f>
        <v>0</v>
      </c>
      <c r="I72">
        <f ca="1">COUNTIFS(Sustainability_Documents!$A:$A,$A72,Sustainability_Documents!$H:$H,"Expiring Soon")</f>
        <v>0</v>
      </c>
      <c r="J72">
        <f>COUNTIFS(Sustainability_Documents!$A:$A,$A72,Sustainability_Documents!$C:$C,"Yes")</f>
        <v>4</v>
      </c>
      <c r="K72">
        <f ca="1">IF($J72=0,"",($J72-$G72-$H72)/$J72)</f>
        <v>1</v>
      </c>
      <c r="L72">
        <f>COUNTIFS(OutReach_Log!$A:$A,$A72,OutReach_Log!$G:$G,"Yes")</f>
        <v>0</v>
      </c>
      <c r="M72">
        <f>COUNTIFS(OutReach_Log!$A:$A,$A72,OutReach_Log!$E:$E,"Pending")
 +COUNTIFS(OutReach_Log!$A:$A,$A72,OutReach_Log!$E:$E,"Escalated")</f>
        <v>0</v>
      </c>
      <c r="N72">
        <f>COUNTIFS(Incident_Log!$A:$A,$A72,Incident_Log!$C:$C,"High",Incident_Log!$E:$E,"No")</f>
        <v>0</v>
      </c>
      <c r="O72" t="str">
        <f t="shared" ca="1" si="1"/>
        <v>Attention Required</v>
      </c>
      <c r="P72">
        <f ca="1">($G72*40)+($H72*30)+($I72*10)+($N72*50)+IF($L72&gt;0,20,0)</f>
        <v>0</v>
      </c>
      <c r="Q72">
        <f ca="1">E72*(P72/100)</f>
        <v>0</v>
      </c>
      <c r="R72">
        <f ca="1">_xlfn.RANK.EQ($Q72,$Q$2:$Q$401,0)</f>
        <v>180</v>
      </c>
    </row>
    <row r="73" spans="1:18">
      <c r="A73" t="str" cm="1">
        <f t="array" ref="A73">_xlfn._xlws.SORT(Vendor_Master!A73)</f>
        <v>VND-072</v>
      </c>
      <c r="B73" t="str">
        <f>_xlfn.XLOOKUP(Compliance_Sheet!A73,Vendor_Master!A73,Vendor_Master!B73,"")</f>
        <v>Vendor_072</v>
      </c>
      <c r="C73" t="str">
        <f>_xlfn.XLOOKUP(A73,Vendor_Master!A73,Vendor_Master!C73,"")</f>
        <v>Waste Services</v>
      </c>
      <c r="D73" t="str">
        <f>_xlfn.XLOOKUP(A73,Vendor_Master!A73,Vendor_Master!D73,"")</f>
        <v>East</v>
      </c>
      <c r="E73">
        <f>_xlfn.XLOOKUP(A73,Vendor_Master!A73,Vendor_Master!E73,0)</f>
        <v>310917</v>
      </c>
      <c r="F73" t="str">
        <f>_xlfn.XLOOKUP(A73,Vendor_Master!A73,Vendor_Master!H73,"")</f>
        <v>contact72@vendor.com</v>
      </c>
      <c r="G73">
        <f ca="1">COUNTIFS(Sustainability_Documents!$A:$A,$A73,Sustainability_Documents!$H:$H,"Missing")</f>
        <v>0</v>
      </c>
      <c r="H73">
        <f ca="1">COUNTIFS(Sustainability_Documents!$A:$A,$A73,Sustainability_Documents!$H:$H,"Expired")</f>
        <v>0</v>
      </c>
      <c r="I73">
        <f ca="1">COUNTIFS(Sustainability_Documents!$A:$A,$A73,Sustainability_Documents!$H:$H,"Expiring Soon")</f>
        <v>0</v>
      </c>
      <c r="J73">
        <f>COUNTIFS(Sustainability_Documents!$A:$A,$A73,Sustainability_Documents!$C:$C,"Yes")</f>
        <v>4</v>
      </c>
      <c r="K73">
        <f ca="1">IF($J73=0,"",($J73-$G73-$H73)/$J73)</f>
        <v>1</v>
      </c>
      <c r="L73">
        <f>COUNTIFS(OutReach_Log!$A:$A,$A73,OutReach_Log!$G:$G,"Yes")</f>
        <v>0</v>
      </c>
      <c r="M73">
        <f>COUNTIFS(OutReach_Log!$A:$A,$A73,OutReach_Log!$E:$E,"Pending")
 +COUNTIFS(OutReach_Log!$A:$A,$A73,OutReach_Log!$E:$E,"Escalated")</f>
        <v>0</v>
      </c>
      <c r="N73">
        <f>COUNTIFS(Incident_Log!$A:$A,$A73,Incident_Log!$C:$C,"High",Incident_Log!$E:$E,"No")</f>
        <v>0</v>
      </c>
      <c r="O73" t="str">
        <f t="shared" ca="1" si="1"/>
        <v>Attention Required</v>
      </c>
      <c r="P73">
        <f ca="1">($G73*40)+($H73*30)+($I73*10)+($N73*50)+IF($L73&gt;0,20,0)</f>
        <v>0</v>
      </c>
      <c r="Q73">
        <f ca="1">E73*(P73/100)</f>
        <v>0</v>
      </c>
      <c r="R73">
        <f ca="1">_xlfn.RANK.EQ($Q73,$Q$2:$Q$401,0)</f>
        <v>180</v>
      </c>
    </row>
    <row r="74" spans="1:18">
      <c r="A74" t="str" cm="1">
        <f t="array" ref="A74">_xlfn._xlws.SORT(Vendor_Master!A74)</f>
        <v>VND-073</v>
      </c>
      <c r="B74" t="str">
        <f>_xlfn.XLOOKUP(Compliance_Sheet!A74,Vendor_Master!A74,Vendor_Master!B74,"")</f>
        <v>Vendor_073</v>
      </c>
      <c r="C74" t="str">
        <f>_xlfn.XLOOKUP(A74,Vendor_Master!A74,Vendor_Master!C74,"")</f>
        <v>Waste Services</v>
      </c>
      <c r="D74" t="str">
        <f>_xlfn.XLOOKUP(A74,Vendor_Master!A74,Vendor_Master!D74,"")</f>
        <v>East</v>
      </c>
      <c r="E74">
        <f>_xlfn.XLOOKUP(A74,Vendor_Master!A74,Vendor_Master!E74,0)</f>
        <v>948247</v>
      </c>
      <c r="F74" t="str">
        <f>_xlfn.XLOOKUP(A74,Vendor_Master!A74,Vendor_Master!H74,"")</f>
        <v>contact73@vendor.com</v>
      </c>
      <c r="G74">
        <f ca="1">COUNTIFS(Sustainability_Documents!$A:$A,$A74,Sustainability_Documents!$H:$H,"Missing")</f>
        <v>0</v>
      </c>
      <c r="H74">
        <f ca="1">COUNTIFS(Sustainability_Documents!$A:$A,$A74,Sustainability_Documents!$H:$H,"Expired")</f>
        <v>0</v>
      </c>
      <c r="I74">
        <f ca="1">COUNTIFS(Sustainability_Documents!$A:$A,$A74,Sustainability_Documents!$H:$H,"Expiring Soon")</f>
        <v>0</v>
      </c>
      <c r="J74">
        <f>COUNTIFS(Sustainability_Documents!$A:$A,$A74,Sustainability_Documents!$C:$C,"Yes")</f>
        <v>4</v>
      </c>
      <c r="K74">
        <f ca="1">IF($J74=0,"",($J74-$G74-$H74)/$J74)</f>
        <v>1</v>
      </c>
      <c r="L74">
        <f>COUNTIFS(OutReach_Log!$A:$A,$A74,OutReach_Log!$G:$G,"Yes")</f>
        <v>0</v>
      </c>
      <c r="M74">
        <f>COUNTIFS(OutReach_Log!$A:$A,$A74,OutReach_Log!$E:$E,"Pending")
 +COUNTIFS(OutReach_Log!$A:$A,$A74,OutReach_Log!$E:$E,"Escalated")</f>
        <v>0</v>
      </c>
      <c r="N74">
        <f>COUNTIFS(Incident_Log!$A:$A,$A74,Incident_Log!$C:$C,"High",Incident_Log!$E:$E,"No")</f>
        <v>0</v>
      </c>
      <c r="O74" t="str">
        <f t="shared" ca="1" si="1"/>
        <v>Attention Required</v>
      </c>
      <c r="P74">
        <f ca="1">($G74*40)+($H74*30)+($I74*10)+($N74*50)+IF($L74&gt;0,20,0)</f>
        <v>0</v>
      </c>
      <c r="Q74">
        <f ca="1">E74*(P74/100)</f>
        <v>0</v>
      </c>
      <c r="R74">
        <f ca="1">_xlfn.RANK.EQ($Q74,$Q$2:$Q$401,0)</f>
        <v>180</v>
      </c>
    </row>
    <row r="75" spans="1:18">
      <c r="A75" t="str" cm="1">
        <f t="array" ref="A75">_xlfn._xlws.SORT(Vendor_Master!A75)</f>
        <v>VND-074</v>
      </c>
      <c r="B75" t="str">
        <f>_xlfn.XLOOKUP(Compliance_Sheet!A75,Vendor_Master!A75,Vendor_Master!B75,"")</f>
        <v>Vendor_074</v>
      </c>
      <c r="C75" t="str">
        <f>_xlfn.XLOOKUP(A75,Vendor_Master!A75,Vendor_Master!C75,"")</f>
        <v>Waste Services</v>
      </c>
      <c r="D75" t="str">
        <f>_xlfn.XLOOKUP(A75,Vendor_Master!A75,Vendor_Master!D75,"")</f>
        <v>East</v>
      </c>
      <c r="E75">
        <f>_xlfn.XLOOKUP(A75,Vendor_Master!A75,Vendor_Master!E75,0)</f>
        <v>539339</v>
      </c>
      <c r="F75" t="str">
        <f>_xlfn.XLOOKUP(A75,Vendor_Master!A75,Vendor_Master!H75,"")</f>
        <v>contact74@vendor.com</v>
      </c>
      <c r="G75">
        <f ca="1">COUNTIFS(Sustainability_Documents!$A:$A,$A75,Sustainability_Documents!$H:$H,"Missing")</f>
        <v>0</v>
      </c>
      <c r="H75">
        <f ca="1">COUNTIFS(Sustainability_Documents!$A:$A,$A75,Sustainability_Documents!$H:$H,"Expired")</f>
        <v>0</v>
      </c>
      <c r="I75">
        <f ca="1">COUNTIFS(Sustainability_Documents!$A:$A,$A75,Sustainability_Documents!$H:$H,"Expiring Soon")</f>
        <v>0</v>
      </c>
      <c r="J75">
        <f>COUNTIFS(Sustainability_Documents!$A:$A,$A75,Sustainability_Documents!$C:$C,"Yes")</f>
        <v>4</v>
      </c>
      <c r="K75">
        <f ca="1">IF($J75=0,"",($J75-$G75-$H75)/$J75)</f>
        <v>1</v>
      </c>
      <c r="L75">
        <f>COUNTIFS(OutReach_Log!$A:$A,$A75,OutReach_Log!$G:$G,"Yes")</f>
        <v>0</v>
      </c>
      <c r="M75">
        <f>COUNTIFS(OutReach_Log!$A:$A,$A75,OutReach_Log!$E:$E,"Pending")
 +COUNTIFS(OutReach_Log!$A:$A,$A75,OutReach_Log!$E:$E,"Escalated")</f>
        <v>0</v>
      </c>
      <c r="N75">
        <f>COUNTIFS(Incident_Log!$A:$A,$A75,Incident_Log!$C:$C,"High",Incident_Log!$E:$E,"No")</f>
        <v>0</v>
      </c>
      <c r="O75" t="str">
        <f t="shared" ca="1" si="1"/>
        <v>Attention Required</v>
      </c>
      <c r="P75">
        <f ca="1">($G75*40)+($H75*30)+($I75*10)+($N75*50)+IF($L75&gt;0,20,0)</f>
        <v>0</v>
      </c>
      <c r="Q75">
        <f ca="1">E75*(P75/100)</f>
        <v>0</v>
      </c>
      <c r="R75">
        <f ca="1">_xlfn.RANK.EQ($Q75,$Q$2:$Q$401,0)</f>
        <v>180</v>
      </c>
    </row>
    <row r="76" spans="1:18">
      <c r="A76" t="str" cm="1">
        <f t="array" ref="A76">_xlfn._xlws.SORT(Vendor_Master!A76)</f>
        <v>VND-075</v>
      </c>
      <c r="B76" t="str">
        <f>_xlfn.XLOOKUP(Compliance_Sheet!A76,Vendor_Master!A76,Vendor_Master!B76,"")</f>
        <v>Vendor_075</v>
      </c>
      <c r="C76" t="str">
        <f>_xlfn.XLOOKUP(A76,Vendor_Master!A76,Vendor_Master!C76,"")</f>
        <v>Waste Services</v>
      </c>
      <c r="D76" t="str">
        <f>_xlfn.XLOOKUP(A76,Vendor_Master!A76,Vendor_Master!D76,"")</f>
        <v>East</v>
      </c>
      <c r="E76">
        <f>_xlfn.XLOOKUP(A76,Vendor_Master!A76,Vendor_Master!E76,0)</f>
        <v>907124</v>
      </c>
      <c r="F76" t="str">
        <f>_xlfn.XLOOKUP(A76,Vendor_Master!A76,Vendor_Master!H76,"")</f>
        <v>contact75@vendor.com</v>
      </c>
      <c r="G76">
        <f ca="1">COUNTIFS(Sustainability_Documents!$A:$A,$A76,Sustainability_Documents!$H:$H,"Missing")</f>
        <v>0</v>
      </c>
      <c r="H76">
        <f ca="1">COUNTIFS(Sustainability_Documents!$A:$A,$A76,Sustainability_Documents!$H:$H,"Expired")</f>
        <v>0</v>
      </c>
      <c r="I76">
        <f ca="1">COUNTIFS(Sustainability_Documents!$A:$A,$A76,Sustainability_Documents!$H:$H,"Expiring Soon")</f>
        <v>0</v>
      </c>
      <c r="J76">
        <f>COUNTIFS(Sustainability_Documents!$A:$A,$A76,Sustainability_Documents!$C:$C,"Yes")</f>
        <v>4</v>
      </c>
      <c r="K76">
        <f ca="1">IF($J76=0,"",($J76-$G76-$H76)/$J76)</f>
        <v>1</v>
      </c>
      <c r="L76">
        <f>COUNTIFS(OutReach_Log!$A:$A,$A76,OutReach_Log!$G:$G,"Yes")</f>
        <v>0</v>
      </c>
      <c r="M76">
        <f>COUNTIFS(OutReach_Log!$A:$A,$A76,OutReach_Log!$E:$E,"Pending")
 +COUNTIFS(OutReach_Log!$A:$A,$A76,OutReach_Log!$E:$E,"Escalated")</f>
        <v>0</v>
      </c>
      <c r="N76">
        <f>COUNTIFS(Incident_Log!$A:$A,$A76,Incident_Log!$C:$C,"High",Incident_Log!$E:$E,"No")</f>
        <v>0</v>
      </c>
      <c r="O76" t="str">
        <f t="shared" ca="1" si="1"/>
        <v>Attention Required</v>
      </c>
      <c r="P76">
        <f ca="1">($G76*40)+($H76*30)+($I76*10)+($N76*50)+IF($L76&gt;0,20,0)</f>
        <v>0</v>
      </c>
      <c r="Q76">
        <f ca="1">E76*(P76/100)</f>
        <v>0</v>
      </c>
      <c r="R76">
        <f ca="1">_xlfn.RANK.EQ($Q76,$Q$2:$Q$401,0)</f>
        <v>180</v>
      </c>
    </row>
    <row r="77" spans="1:18">
      <c r="A77" t="str" cm="1">
        <f t="array" ref="A77">_xlfn._xlws.SORT(Vendor_Master!A77)</f>
        <v>VND-076</v>
      </c>
      <c r="B77" t="str">
        <f>_xlfn.XLOOKUP(Compliance_Sheet!A77,Vendor_Master!A77,Vendor_Master!B77,"")</f>
        <v>Vendor_076</v>
      </c>
      <c r="C77" t="str">
        <f>_xlfn.XLOOKUP(A77,Vendor_Master!A77,Vendor_Master!C77,"")</f>
        <v>Waste Services</v>
      </c>
      <c r="D77" t="str">
        <f>_xlfn.XLOOKUP(A77,Vendor_Master!A77,Vendor_Master!D77,"")</f>
        <v>East</v>
      </c>
      <c r="E77">
        <f>_xlfn.XLOOKUP(A77,Vendor_Master!A77,Vendor_Master!E77,0)</f>
        <v>862772</v>
      </c>
      <c r="F77" t="str">
        <f>_xlfn.XLOOKUP(A77,Vendor_Master!A77,Vendor_Master!H77,"")</f>
        <v>contact76@vendor.com</v>
      </c>
      <c r="G77">
        <f ca="1">COUNTIFS(Sustainability_Documents!$A:$A,$A77,Sustainability_Documents!$H:$H,"Missing")</f>
        <v>0</v>
      </c>
      <c r="H77">
        <f ca="1">COUNTIFS(Sustainability_Documents!$A:$A,$A77,Sustainability_Documents!$H:$H,"Expired")</f>
        <v>0</v>
      </c>
      <c r="I77">
        <f ca="1">COUNTIFS(Sustainability_Documents!$A:$A,$A77,Sustainability_Documents!$H:$H,"Expiring Soon")</f>
        <v>0</v>
      </c>
      <c r="J77">
        <f>COUNTIFS(Sustainability_Documents!$A:$A,$A77,Sustainability_Documents!$C:$C,"Yes")</f>
        <v>4</v>
      </c>
      <c r="K77">
        <f ca="1">IF($J77=0,"",($J77-$G77-$H77)/$J77)</f>
        <v>1</v>
      </c>
      <c r="L77">
        <f>COUNTIFS(OutReach_Log!$A:$A,$A77,OutReach_Log!$G:$G,"Yes")</f>
        <v>0</v>
      </c>
      <c r="M77">
        <f>COUNTIFS(OutReach_Log!$A:$A,$A77,OutReach_Log!$E:$E,"Pending")
 +COUNTIFS(OutReach_Log!$A:$A,$A77,OutReach_Log!$E:$E,"Escalated")</f>
        <v>0</v>
      </c>
      <c r="N77">
        <f>COUNTIFS(Incident_Log!$A:$A,$A77,Incident_Log!$C:$C,"High",Incident_Log!$E:$E,"No")</f>
        <v>0</v>
      </c>
      <c r="O77" t="str">
        <f t="shared" ca="1" si="1"/>
        <v>Attention Required</v>
      </c>
      <c r="P77">
        <f ca="1">($G77*40)+($H77*30)+($I77*10)+($N77*50)+IF($L77&gt;0,20,0)</f>
        <v>0</v>
      </c>
      <c r="Q77">
        <f ca="1">E77*(P77/100)</f>
        <v>0</v>
      </c>
      <c r="R77">
        <f ca="1">_xlfn.RANK.EQ($Q77,$Q$2:$Q$401,0)</f>
        <v>180</v>
      </c>
    </row>
    <row r="78" spans="1:18">
      <c r="A78" t="str" cm="1">
        <f t="array" ref="A78">_xlfn._xlws.SORT(Vendor_Master!A78)</f>
        <v>VND-077</v>
      </c>
      <c r="B78" t="str">
        <f>_xlfn.XLOOKUP(Compliance_Sheet!A78,Vendor_Master!A78,Vendor_Master!B78,"")</f>
        <v>Vendor_077</v>
      </c>
      <c r="C78" t="str">
        <f>_xlfn.XLOOKUP(A78,Vendor_Master!A78,Vendor_Master!C78,"")</f>
        <v>Waste Services</v>
      </c>
      <c r="D78" t="str">
        <f>_xlfn.XLOOKUP(A78,Vendor_Master!A78,Vendor_Master!D78,"")</f>
        <v>East</v>
      </c>
      <c r="E78">
        <f>_xlfn.XLOOKUP(A78,Vendor_Master!A78,Vendor_Master!E78,0)</f>
        <v>832602</v>
      </c>
      <c r="F78" t="str">
        <f>_xlfn.XLOOKUP(A78,Vendor_Master!A78,Vendor_Master!H78,"")</f>
        <v>contact77@vendor.com</v>
      </c>
      <c r="G78">
        <f ca="1">COUNTIFS(Sustainability_Documents!$A:$A,$A78,Sustainability_Documents!$H:$H,"Missing")</f>
        <v>0</v>
      </c>
      <c r="H78">
        <f ca="1">COUNTIFS(Sustainability_Documents!$A:$A,$A78,Sustainability_Documents!$H:$H,"Expired")</f>
        <v>0</v>
      </c>
      <c r="I78">
        <f ca="1">COUNTIFS(Sustainability_Documents!$A:$A,$A78,Sustainability_Documents!$H:$H,"Expiring Soon")</f>
        <v>0</v>
      </c>
      <c r="J78">
        <f>COUNTIFS(Sustainability_Documents!$A:$A,$A78,Sustainability_Documents!$C:$C,"Yes")</f>
        <v>4</v>
      </c>
      <c r="K78">
        <f ca="1">IF($J78=0,"",($J78-$G78-$H78)/$J78)</f>
        <v>1</v>
      </c>
      <c r="L78">
        <f>COUNTIFS(OutReach_Log!$A:$A,$A78,OutReach_Log!$G:$G,"Yes")</f>
        <v>0</v>
      </c>
      <c r="M78">
        <f>COUNTIFS(OutReach_Log!$A:$A,$A78,OutReach_Log!$E:$E,"Pending")
 +COUNTIFS(OutReach_Log!$A:$A,$A78,OutReach_Log!$E:$E,"Escalated")</f>
        <v>0</v>
      </c>
      <c r="N78">
        <f>COUNTIFS(Incident_Log!$A:$A,$A78,Incident_Log!$C:$C,"High",Incident_Log!$E:$E,"No")</f>
        <v>0</v>
      </c>
      <c r="O78" t="str">
        <f t="shared" ca="1" si="1"/>
        <v>Attention Required</v>
      </c>
      <c r="P78">
        <f ca="1">($G78*40)+($H78*30)+($I78*10)+($N78*50)+IF($L78&gt;0,20,0)</f>
        <v>0</v>
      </c>
      <c r="Q78">
        <f ca="1">E78*(P78/100)</f>
        <v>0</v>
      </c>
      <c r="R78">
        <f ca="1">_xlfn.RANK.EQ($Q78,$Q$2:$Q$401,0)</f>
        <v>180</v>
      </c>
    </row>
    <row r="79" spans="1:18">
      <c r="A79" t="str" cm="1">
        <f t="array" ref="A79">_xlfn._xlws.SORT(Vendor_Master!A79)</f>
        <v>VND-078</v>
      </c>
      <c r="B79" t="str">
        <f>_xlfn.XLOOKUP(Compliance_Sheet!A79,Vendor_Master!A79,Vendor_Master!B79,"")</f>
        <v>Vendor_078</v>
      </c>
      <c r="C79" t="str">
        <f>_xlfn.XLOOKUP(A79,Vendor_Master!A79,Vendor_Master!C79,"")</f>
        <v>Waste Services</v>
      </c>
      <c r="D79" t="str">
        <f>_xlfn.XLOOKUP(A79,Vendor_Master!A79,Vendor_Master!D79,"")</f>
        <v>East</v>
      </c>
      <c r="E79">
        <f>_xlfn.XLOOKUP(A79,Vendor_Master!A79,Vendor_Master!E79,0)</f>
        <v>449146</v>
      </c>
      <c r="F79" t="str">
        <f>_xlfn.XLOOKUP(A79,Vendor_Master!A79,Vendor_Master!H79,"")</f>
        <v>contact78@vendor.com</v>
      </c>
      <c r="G79">
        <f ca="1">COUNTIFS(Sustainability_Documents!$A:$A,$A79,Sustainability_Documents!$H:$H,"Missing")</f>
        <v>0</v>
      </c>
      <c r="H79">
        <f ca="1">COUNTIFS(Sustainability_Documents!$A:$A,$A79,Sustainability_Documents!$H:$H,"Expired")</f>
        <v>0</v>
      </c>
      <c r="I79">
        <f ca="1">COUNTIFS(Sustainability_Documents!$A:$A,$A79,Sustainability_Documents!$H:$H,"Expiring Soon")</f>
        <v>0</v>
      </c>
      <c r="J79">
        <f>COUNTIFS(Sustainability_Documents!$A:$A,$A79,Sustainability_Documents!$C:$C,"Yes")</f>
        <v>4</v>
      </c>
      <c r="K79">
        <f ca="1">IF($J79=0,"",($J79-$G79-$H79)/$J79)</f>
        <v>1</v>
      </c>
      <c r="L79">
        <f>COUNTIFS(OutReach_Log!$A:$A,$A79,OutReach_Log!$G:$G,"Yes")</f>
        <v>0</v>
      </c>
      <c r="M79">
        <f>COUNTIFS(OutReach_Log!$A:$A,$A79,OutReach_Log!$E:$E,"Pending")
 +COUNTIFS(OutReach_Log!$A:$A,$A79,OutReach_Log!$E:$E,"Escalated")</f>
        <v>0</v>
      </c>
      <c r="N79">
        <f>COUNTIFS(Incident_Log!$A:$A,$A79,Incident_Log!$C:$C,"High",Incident_Log!$E:$E,"No")</f>
        <v>0</v>
      </c>
      <c r="O79" t="str">
        <f t="shared" ca="1" si="1"/>
        <v>Attention Required</v>
      </c>
      <c r="P79">
        <f ca="1">($G79*40)+($H79*30)+($I79*10)+($N79*50)+IF($L79&gt;0,20,0)</f>
        <v>0</v>
      </c>
      <c r="Q79">
        <f ca="1">E79*(P79/100)</f>
        <v>0</v>
      </c>
      <c r="R79">
        <f ca="1">_xlfn.RANK.EQ($Q79,$Q$2:$Q$401,0)</f>
        <v>180</v>
      </c>
    </row>
    <row r="80" spans="1:18">
      <c r="A80" t="str" cm="1">
        <f t="array" ref="A80">_xlfn._xlws.SORT(Vendor_Master!A80)</f>
        <v>VND-079</v>
      </c>
      <c r="B80" t="str">
        <f>_xlfn.XLOOKUP(Compliance_Sheet!A80,Vendor_Master!A80,Vendor_Master!B80,"")</f>
        <v>Vendor_079</v>
      </c>
      <c r="C80" t="str">
        <f>_xlfn.XLOOKUP(A80,Vendor_Master!A80,Vendor_Master!C80,"")</f>
        <v>Waste Services</v>
      </c>
      <c r="D80" t="str">
        <f>_xlfn.XLOOKUP(A80,Vendor_Master!A80,Vendor_Master!D80,"")</f>
        <v>East</v>
      </c>
      <c r="E80">
        <f>_xlfn.XLOOKUP(A80,Vendor_Master!A80,Vendor_Master!E80,0)</f>
        <v>803101</v>
      </c>
      <c r="F80" t="str">
        <f>_xlfn.XLOOKUP(A80,Vendor_Master!A80,Vendor_Master!H80,"")</f>
        <v>contact79@vendor.com</v>
      </c>
      <c r="G80">
        <f ca="1">COUNTIFS(Sustainability_Documents!$A:$A,$A80,Sustainability_Documents!$H:$H,"Missing")</f>
        <v>0</v>
      </c>
      <c r="H80">
        <f ca="1">COUNTIFS(Sustainability_Documents!$A:$A,$A80,Sustainability_Documents!$H:$H,"Expired")</f>
        <v>0</v>
      </c>
      <c r="I80">
        <f ca="1">COUNTIFS(Sustainability_Documents!$A:$A,$A80,Sustainability_Documents!$H:$H,"Expiring Soon")</f>
        <v>0</v>
      </c>
      <c r="J80">
        <f>COUNTIFS(Sustainability_Documents!$A:$A,$A80,Sustainability_Documents!$C:$C,"Yes")</f>
        <v>4</v>
      </c>
      <c r="K80">
        <f ca="1">IF($J80=0,"",($J80-$G80-$H80)/$J80)</f>
        <v>1</v>
      </c>
      <c r="L80">
        <f>COUNTIFS(OutReach_Log!$A:$A,$A80,OutReach_Log!$G:$G,"Yes")</f>
        <v>0</v>
      </c>
      <c r="M80">
        <f>COUNTIFS(OutReach_Log!$A:$A,$A80,OutReach_Log!$E:$E,"Pending")
 +COUNTIFS(OutReach_Log!$A:$A,$A80,OutReach_Log!$E:$E,"Escalated")</f>
        <v>0</v>
      </c>
      <c r="N80">
        <f>COUNTIFS(Incident_Log!$A:$A,$A80,Incident_Log!$C:$C,"High",Incident_Log!$E:$E,"No")</f>
        <v>0</v>
      </c>
      <c r="O80" t="str">
        <f t="shared" ca="1" si="1"/>
        <v>Attention Required</v>
      </c>
      <c r="P80">
        <f ca="1">($G80*40)+($H80*30)+($I80*10)+($N80*50)+IF($L80&gt;0,20,0)</f>
        <v>0</v>
      </c>
      <c r="Q80">
        <f ca="1">E80*(P80/100)</f>
        <v>0</v>
      </c>
      <c r="R80">
        <f ca="1">_xlfn.RANK.EQ($Q80,$Q$2:$Q$401,0)</f>
        <v>180</v>
      </c>
    </row>
    <row r="81" spans="1:18">
      <c r="A81" t="str" cm="1">
        <f t="array" ref="A81">_xlfn._xlws.SORT(Vendor_Master!A81)</f>
        <v>VND-080</v>
      </c>
      <c r="B81" t="str">
        <f>_xlfn.XLOOKUP(Compliance_Sheet!A81,Vendor_Master!A81,Vendor_Master!B81,"")</f>
        <v>Vendor_080</v>
      </c>
      <c r="C81" t="str">
        <f>_xlfn.XLOOKUP(A81,Vendor_Master!A81,Vendor_Master!C81,"")</f>
        <v>Rail Services</v>
      </c>
      <c r="D81" t="str">
        <f>_xlfn.XLOOKUP(A81,Vendor_Master!A81,Vendor_Master!D81,"")</f>
        <v>East</v>
      </c>
      <c r="E81">
        <f>_xlfn.XLOOKUP(A81,Vendor_Master!A81,Vendor_Master!E81,0)</f>
        <v>281515</v>
      </c>
      <c r="F81" t="str">
        <f>_xlfn.XLOOKUP(A81,Vendor_Master!A81,Vendor_Master!H81,"")</f>
        <v>contact80@vendor.com</v>
      </c>
      <c r="G81">
        <f ca="1">COUNTIFS(Sustainability_Documents!$A:$A,$A81,Sustainability_Documents!$H:$H,"Missing")</f>
        <v>0</v>
      </c>
      <c r="H81">
        <f ca="1">COUNTIFS(Sustainability_Documents!$A:$A,$A81,Sustainability_Documents!$H:$H,"Expired")</f>
        <v>0</v>
      </c>
      <c r="I81">
        <f ca="1">COUNTIFS(Sustainability_Documents!$A:$A,$A81,Sustainability_Documents!$H:$H,"Expiring Soon")</f>
        <v>0</v>
      </c>
      <c r="J81">
        <f>COUNTIFS(Sustainability_Documents!$A:$A,$A81,Sustainability_Documents!$C:$C,"Yes")</f>
        <v>4</v>
      </c>
      <c r="K81">
        <f ca="1">IF($J81=0,"",($J81-$G81-$H81)/$J81)</f>
        <v>1</v>
      </c>
      <c r="L81">
        <f>COUNTIFS(OutReach_Log!$A:$A,$A81,OutReach_Log!$G:$G,"Yes")</f>
        <v>0</v>
      </c>
      <c r="M81">
        <f>COUNTIFS(OutReach_Log!$A:$A,$A81,OutReach_Log!$E:$E,"Pending")
 +COUNTIFS(OutReach_Log!$A:$A,$A81,OutReach_Log!$E:$E,"Escalated")</f>
        <v>0</v>
      </c>
      <c r="N81">
        <f>COUNTIFS(Incident_Log!$A:$A,$A81,Incident_Log!$C:$C,"High",Incident_Log!$E:$E,"No")</f>
        <v>0</v>
      </c>
      <c r="O81" t="str">
        <f t="shared" ca="1" si="1"/>
        <v>Attention Required</v>
      </c>
      <c r="P81">
        <f ca="1">($G81*40)+($H81*30)+($I81*10)+($N81*50)+IF($L81&gt;0,20,0)</f>
        <v>0</v>
      </c>
      <c r="Q81">
        <f ca="1">E81*(P81/100)</f>
        <v>0</v>
      </c>
      <c r="R81">
        <f ca="1">_xlfn.RANK.EQ($Q81,$Q$2:$Q$401,0)</f>
        <v>180</v>
      </c>
    </row>
    <row r="82" spans="1:18">
      <c r="A82" t="str" cm="1">
        <f t="array" ref="A82">_xlfn._xlws.SORT(Vendor_Master!A82)</f>
        <v>VND-081</v>
      </c>
      <c r="B82" t="str">
        <f>_xlfn.XLOOKUP(Compliance_Sheet!A82,Vendor_Master!A82,Vendor_Master!B82,"")</f>
        <v>Vendor_081</v>
      </c>
      <c r="C82" t="str">
        <f>_xlfn.XLOOKUP(A82,Vendor_Master!A82,Vendor_Master!C82,"")</f>
        <v>Rail Services</v>
      </c>
      <c r="D82" t="str">
        <f>_xlfn.XLOOKUP(A82,Vendor_Master!A82,Vendor_Master!D82,"")</f>
        <v>East</v>
      </c>
      <c r="E82">
        <f>_xlfn.XLOOKUP(A82,Vendor_Master!A82,Vendor_Master!E82,0)</f>
        <v>1742903</v>
      </c>
      <c r="F82" t="str">
        <f>_xlfn.XLOOKUP(A82,Vendor_Master!A82,Vendor_Master!H82,"")</f>
        <v>contact81@vendor.com</v>
      </c>
      <c r="G82">
        <f ca="1">COUNTIFS(Sustainability_Documents!$A:$A,$A82,Sustainability_Documents!$H:$H,"Missing")</f>
        <v>0</v>
      </c>
      <c r="H82">
        <f ca="1">COUNTIFS(Sustainability_Documents!$A:$A,$A82,Sustainability_Documents!$H:$H,"Expired")</f>
        <v>0</v>
      </c>
      <c r="I82">
        <f ca="1">COUNTIFS(Sustainability_Documents!$A:$A,$A82,Sustainability_Documents!$H:$H,"Expiring Soon")</f>
        <v>0</v>
      </c>
      <c r="J82">
        <f>COUNTIFS(Sustainability_Documents!$A:$A,$A82,Sustainability_Documents!$C:$C,"Yes")</f>
        <v>4</v>
      </c>
      <c r="K82">
        <f ca="1">IF($J82=0,"",($J82-$G82-$H82)/$J82)</f>
        <v>1</v>
      </c>
      <c r="L82">
        <f>COUNTIFS(OutReach_Log!$A:$A,$A82,OutReach_Log!$G:$G,"Yes")</f>
        <v>0</v>
      </c>
      <c r="M82">
        <f>COUNTIFS(OutReach_Log!$A:$A,$A82,OutReach_Log!$E:$E,"Pending")
 +COUNTIFS(OutReach_Log!$A:$A,$A82,OutReach_Log!$E:$E,"Escalated")</f>
        <v>0</v>
      </c>
      <c r="N82">
        <f>COUNTIFS(Incident_Log!$A:$A,$A82,Incident_Log!$C:$C,"High",Incident_Log!$E:$E,"No")</f>
        <v>0</v>
      </c>
      <c r="O82" t="str">
        <f t="shared" ca="1" si="1"/>
        <v>Attention Required</v>
      </c>
      <c r="P82">
        <f ca="1">($G82*40)+($H82*30)+($I82*10)+($N82*50)+IF($L82&gt;0,20,0)</f>
        <v>0</v>
      </c>
      <c r="Q82">
        <f ca="1">E82*(P82/100)</f>
        <v>0</v>
      </c>
      <c r="R82">
        <f ca="1">_xlfn.RANK.EQ($Q82,$Q$2:$Q$401,0)</f>
        <v>180</v>
      </c>
    </row>
    <row r="83" spans="1:18">
      <c r="A83" t="str" cm="1">
        <f t="array" ref="A83">_xlfn._xlws.SORT(Vendor_Master!A83)</f>
        <v>VND-082</v>
      </c>
      <c r="B83" t="str">
        <f>_xlfn.XLOOKUP(Compliance_Sheet!A83,Vendor_Master!A83,Vendor_Master!B83,"")</f>
        <v>Vendor_082</v>
      </c>
      <c r="C83" t="str">
        <f>_xlfn.XLOOKUP(A83,Vendor_Master!A83,Vendor_Master!C83,"")</f>
        <v>Rail Services</v>
      </c>
      <c r="D83" t="str">
        <f>_xlfn.XLOOKUP(A83,Vendor_Master!A83,Vendor_Master!D83,"")</f>
        <v>East</v>
      </c>
      <c r="E83">
        <f>_xlfn.XLOOKUP(A83,Vendor_Master!A83,Vendor_Master!E83,0)</f>
        <v>4730138</v>
      </c>
      <c r="F83" t="str">
        <f>_xlfn.XLOOKUP(A83,Vendor_Master!A83,Vendor_Master!H83,"")</f>
        <v>contact82@vendor.com</v>
      </c>
      <c r="G83">
        <f ca="1">COUNTIFS(Sustainability_Documents!$A:$A,$A83,Sustainability_Documents!$H:$H,"Missing")</f>
        <v>0</v>
      </c>
      <c r="H83">
        <f ca="1">COUNTIFS(Sustainability_Documents!$A:$A,$A83,Sustainability_Documents!$H:$H,"Expired")</f>
        <v>0</v>
      </c>
      <c r="I83">
        <f ca="1">COUNTIFS(Sustainability_Documents!$A:$A,$A83,Sustainability_Documents!$H:$H,"Expiring Soon")</f>
        <v>0</v>
      </c>
      <c r="J83">
        <f>COUNTIFS(Sustainability_Documents!$A:$A,$A83,Sustainability_Documents!$C:$C,"Yes")</f>
        <v>4</v>
      </c>
      <c r="K83">
        <f ca="1">IF($J83=0,"",($J83-$G83-$H83)/$J83)</f>
        <v>1</v>
      </c>
      <c r="L83">
        <f>COUNTIFS(OutReach_Log!$A:$A,$A83,OutReach_Log!$G:$G,"Yes")</f>
        <v>0</v>
      </c>
      <c r="M83">
        <f>COUNTIFS(OutReach_Log!$A:$A,$A83,OutReach_Log!$E:$E,"Pending")
 +COUNTIFS(OutReach_Log!$A:$A,$A83,OutReach_Log!$E:$E,"Escalated")</f>
        <v>0</v>
      </c>
      <c r="N83">
        <f>COUNTIFS(Incident_Log!$A:$A,$A83,Incident_Log!$C:$C,"High",Incident_Log!$E:$E,"No")</f>
        <v>0</v>
      </c>
      <c r="O83" t="str">
        <f t="shared" ca="1" si="1"/>
        <v>Attention Required</v>
      </c>
      <c r="P83">
        <f ca="1">($G83*40)+($H83*30)+($I83*10)+($N83*50)+IF($L83&gt;0,20,0)</f>
        <v>0</v>
      </c>
      <c r="Q83">
        <f ca="1">E83*(P83/100)</f>
        <v>0</v>
      </c>
      <c r="R83">
        <f ca="1">_xlfn.RANK.EQ($Q83,$Q$2:$Q$401,0)</f>
        <v>180</v>
      </c>
    </row>
    <row r="84" spans="1:18">
      <c r="A84" t="str" cm="1">
        <f t="array" ref="A84">_xlfn._xlws.SORT(Vendor_Master!A84)</f>
        <v>VND-083</v>
      </c>
      <c r="B84" t="str">
        <f>_xlfn.XLOOKUP(Compliance_Sheet!A84,Vendor_Master!A84,Vendor_Master!B84,"")</f>
        <v>Vendor_083</v>
      </c>
      <c r="C84" t="str">
        <f>_xlfn.XLOOKUP(A84,Vendor_Master!A84,Vendor_Master!C84,"")</f>
        <v>Rail Services</v>
      </c>
      <c r="D84" t="str">
        <f>_xlfn.XLOOKUP(A84,Vendor_Master!A84,Vendor_Master!D84,"")</f>
        <v>East</v>
      </c>
      <c r="E84">
        <f>_xlfn.XLOOKUP(A84,Vendor_Master!A84,Vendor_Master!E84,0)</f>
        <v>3821762</v>
      </c>
      <c r="F84" t="str">
        <f>_xlfn.XLOOKUP(A84,Vendor_Master!A84,Vendor_Master!H84,"")</f>
        <v>contact83@vendor.com</v>
      </c>
      <c r="G84">
        <f ca="1">COUNTIFS(Sustainability_Documents!$A:$A,$A84,Sustainability_Documents!$H:$H,"Missing")</f>
        <v>0</v>
      </c>
      <c r="H84">
        <f ca="1">COUNTIFS(Sustainability_Documents!$A:$A,$A84,Sustainability_Documents!$H:$H,"Expired")</f>
        <v>0</v>
      </c>
      <c r="I84">
        <f ca="1">COUNTIFS(Sustainability_Documents!$A:$A,$A84,Sustainability_Documents!$H:$H,"Expiring Soon")</f>
        <v>0</v>
      </c>
      <c r="J84">
        <f>COUNTIFS(Sustainability_Documents!$A:$A,$A84,Sustainability_Documents!$C:$C,"Yes")</f>
        <v>4</v>
      </c>
      <c r="K84">
        <f ca="1">IF($J84=0,"",($J84-$G84-$H84)/$J84)</f>
        <v>1</v>
      </c>
      <c r="L84">
        <f>COUNTIFS(OutReach_Log!$A:$A,$A84,OutReach_Log!$G:$G,"Yes")</f>
        <v>0</v>
      </c>
      <c r="M84">
        <f>COUNTIFS(OutReach_Log!$A:$A,$A84,OutReach_Log!$E:$E,"Pending")
 +COUNTIFS(OutReach_Log!$A:$A,$A84,OutReach_Log!$E:$E,"Escalated")</f>
        <v>0</v>
      </c>
      <c r="N84">
        <f>COUNTIFS(Incident_Log!$A:$A,$A84,Incident_Log!$C:$C,"High",Incident_Log!$E:$E,"No")</f>
        <v>0</v>
      </c>
      <c r="O84" t="str">
        <f t="shared" ca="1" si="1"/>
        <v>Attention Required</v>
      </c>
      <c r="P84">
        <f ca="1">($G84*40)+($H84*30)+($I84*10)+($N84*50)+IF($L84&gt;0,20,0)</f>
        <v>0</v>
      </c>
      <c r="Q84">
        <f ca="1">E84*(P84/100)</f>
        <v>0</v>
      </c>
      <c r="R84">
        <f ca="1">_xlfn.RANK.EQ($Q84,$Q$2:$Q$401,0)</f>
        <v>180</v>
      </c>
    </row>
    <row r="85" spans="1:18">
      <c r="A85" t="str" cm="1">
        <f t="array" ref="A85">_xlfn._xlws.SORT(Vendor_Master!A85)</f>
        <v>VND-084</v>
      </c>
      <c r="B85" t="str">
        <f>_xlfn.XLOOKUP(Compliance_Sheet!A85,Vendor_Master!A85,Vendor_Master!B85,"")</f>
        <v>Vendor_084</v>
      </c>
      <c r="C85" t="str">
        <f>_xlfn.XLOOKUP(A85,Vendor_Master!A85,Vendor_Master!C85,"")</f>
        <v>Rail Services</v>
      </c>
      <c r="D85" t="str">
        <f>_xlfn.XLOOKUP(A85,Vendor_Master!A85,Vendor_Master!D85,"")</f>
        <v>East</v>
      </c>
      <c r="E85">
        <f>_xlfn.XLOOKUP(A85,Vendor_Master!A85,Vendor_Master!E85,0)</f>
        <v>1876031</v>
      </c>
      <c r="F85" t="str">
        <f>_xlfn.XLOOKUP(A85,Vendor_Master!A85,Vendor_Master!H85,"")</f>
        <v>contact84@vendor.com</v>
      </c>
      <c r="G85">
        <f ca="1">COUNTIFS(Sustainability_Documents!$A:$A,$A85,Sustainability_Documents!$H:$H,"Missing")</f>
        <v>0</v>
      </c>
      <c r="H85">
        <f ca="1">COUNTIFS(Sustainability_Documents!$A:$A,$A85,Sustainability_Documents!$H:$H,"Expired")</f>
        <v>0</v>
      </c>
      <c r="I85">
        <f ca="1">COUNTIFS(Sustainability_Documents!$A:$A,$A85,Sustainability_Documents!$H:$H,"Expiring Soon")</f>
        <v>0</v>
      </c>
      <c r="J85">
        <f>COUNTIFS(Sustainability_Documents!$A:$A,$A85,Sustainability_Documents!$C:$C,"Yes")</f>
        <v>4</v>
      </c>
      <c r="K85">
        <f ca="1">IF($J85=0,"",($J85-$G85-$H85)/$J85)</f>
        <v>1</v>
      </c>
      <c r="L85">
        <f>COUNTIFS(OutReach_Log!$A:$A,$A85,OutReach_Log!$G:$G,"Yes")</f>
        <v>0</v>
      </c>
      <c r="M85">
        <f>COUNTIFS(OutReach_Log!$A:$A,$A85,OutReach_Log!$E:$E,"Pending")
 +COUNTIFS(OutReach_Log!$A:$A,$A85,OutReach_Log!$E:$E,"Escalated")</f>
        <v>0</v>
      </c>
      <c r="N85">
        <f>COUNTIFS(Incident_Log!$A:$A,$A85,Incident_Log!$C:$C,"High",Incident_Log!$E:$E,"No")</f>
        <v>0</v>
      </c>
      <c r="O85" t="str">
        <f t="shared" ca="1" si="1"/>
        <v>Attention Required</v>
      </c>
      <c r="P85">
        <f ca="1">($G85*40)+($H85*30)+($I85*10)+($N85*50)+IF($L85&gt;0,20,0)</f>
        <v>0</v>
      </c>
      <c r="Q85">
        <f ca="1">E85*(P85/100)</f>
        <v>0</v>
      </c>
      <c r="R85">
        <f ca="1">_xlfn.RANK.EQ($Q85,$Q$2:$Q$401,0)</f>
        <v>180</v>
      </c>
    </row>
    <row r="86" spans="1:18">
      <c r="A86" t="str" cm="1">
        <f t="array" ref="A86">_xlfn._xlws.SORT(Vendor_Master!A86)</f>
        <v>VND-085</v>
      </c>
      <c r="B86" t="str">
        <f>_xlfn.XLOOKUP(Compliance_Sheet!A86,Vendor_Master!A86,Vendor_Master!B86,"")</f>
        <v>Vendor_085</v>
      </c>
      <c r="C86" t="str">
        <f>_xlfn.XLOOKUP(A86,Vendor_Master!A86,Vendor_Master!C86,"")</f>
        <v>Rail Services</v>
      </c>
      <c r="D86" t="str">
        <f>_xlfn.XLOOKUP(A86,Vendor_Master!A86,Vendor_Master!D86,"")</f>
        <v>East</v>
      </c>
      <c r="E86">
        <f>_xlfn.XLOOKUP(A86,Vendor_Master!A86,Vendor_Master!E86,0)</f>
        <v>1897949</v>
      </c>
      <c r="F86" t="str">
        <f>_xlfn.XLOOKUP(A86,Vendor_Master!A86,Vendor_Master!H86,"")</f>
        <v>contact85@vendor.com</v>
      </c>
      <c r="G86">
        <f ca="1">COUNTIFS(Sustainability_Documents!$A:$A,$A86,Sustainability_Documents!$H:$H,"Missing")</f>
        <v>0</v>
      </c>
      <c r="H86">
        <f ca="1">COUNTIFS(Sustainability_Documents!$A:$A,$A86,Sustainability_Documents!$H:$H,"Expired")</f>
        <v>0</v>
      </c>
      <c r="I86">
        <f ca="1">COUNTIFS(Sustainability_Documents!$A:$A,$A86,Sustainability_Documents!$H:$H,"Expiring Soon")</f>
        <v>0</v>
      </c>
      <c r="J86">
        <f>COUNTIFS(Sustainability_Documents!$A:$A,$A86,Sustainability_Documents!$C:$C,"Yes")</f>
        <v>4</v>
      </c>
      <c r="K86">
        <f ca="1">IF($J86=0,"",($J86-$G86-$H86)/$J86)</f>
        <v>1</v>
      </c>
      <c r="L86">
        <f>COUNTIFS(OutReach_Log!$A:$A,$A86,OutReach_Log!$G:$G,"Yes")</f>
        <v>0</v>
      </c>
      <c r="M86">
        <f>COUNTIFS(OutReach_Log!$A:$A,$A86,OutReach_Log!$E:$E,"Pending")
 +COUNTIFS(OutReach_Log!$A:$A,$A86,OutReach_Log!$E:$E,"Escalated")</f>
        <v>0</v>
      </c>
      <c r="N86">
        <f>COUNTIFS(Incident_Log!$A:$A,$A86,Incident_Log!$C:$C,"High",Incident_Log!$E:$E,"No")</f>
        <v>0</v>
      </c>
      <c r="O86" t="str">
        <f t="shared" ca="1" si="1"/>
        <v>Attention Required</v>
      </c>
      <c r="P86">
        <f ca="1">($G86*40)+($H86*30)+($I86*10)+($N86*50)+IF($L86&gt;0,20,0)</f>
        <v>0</v>
      </c>
      <c r="Q86">
        <f ca="1">E86*(P86/100)</f>
        <v>0</v>
      </c>
      <c r="R86">
        <f ca="1">_xlfn.RANK.EQ($Q86,$Q$2:$Q$401,0)</f>
        <v>180</v>
      </c>
    </row>
    <row r="87" spans="1:18">
      <c r="A87" t="str" cm="1">
        <f t="array" ref="A87">_xlfn._xlws.SORT(Vendor_Master!A87)</f>
        <v>VND-086</v>
      </c>
      <c r="B87" t="str">
        <f>_xlfn.XLOOKUP(Compliance_Sheet!A87,Vendor_Master!A87,Vendor_Master!B87,"")</f>
        <v>Vendor_086</v>
      </c>
      <c r="C87" t="str">
        <f>_xlfn.XLOOKUP(A87,Vendor_Master!A87,Vendor_Master!C87,"")</f>
        <v>Rail Services</v>
      </c>
      <c r="D87" t="str">
        <f>_xlfn.XLOOKUP(A87,Vendor_Master!A87,Vendor_Master!D87,"")</f>
        <v>East</v>
      </c>
      <c r="E87">
        <f>_xlfn.XLOOKUP(A87,Vendor_Master!A87,Vendor_Master!E87,0)</f>
        <v>4564321</v>
      </c>
      <c r="F87" t="str">
        <f>_xlfn.XLOOKUP(A87,Vendor_Master!A87,Vendor_Master!H87,"")</f>
        <v>contact86@vendor.com</v>
      </c>
      <c r="G87">
        <f ca="1">COUNTIFS(Sustainability_Documents!$A:$A,$A87,Sustainability_Documents!$H:$H,"Missing")</f>
        <v>0</v>
      </c>
      <c r="H87">
        <f ca="1">COUNTIFS(Sustainability_Documents!$A:$A,$A87,Sustainability_Documents!$H:$H,"Expired")</f>
        <v>0</v>
      </c>
      <c r="I87">
        <f ca="1">COUNTIFS(Sustainability_Documents!$A:$A,$A87,Sustainability_Documents!$H:$H,"Expiring Soon")</f>
        <v>0</v>
      </c>
      <c r="J87">
        <f>COUNTIFS(Sustainability_Documents!$A:$A,$A87,Sustainability_Documents!$C:$C,"Yes")</f>
        <v>4</v>
      </c>
      <c r="K87">
        <f ca="1">IF($J87=0,"",($J87-$G87-$H87)/$J87)</f>
        <v>1</v>
      </c>
      <c r="L87">
        <f>COUNTIFS(OutReach_Log!$A:$A,$A87,OutReach_Log!$G:$G,"Yes")</f>
        <v>0</v>
      </c>
      <c r="M87">
        <f>COUNTIFS(OutReach_Log!$A:$A,$A87,OutReach_Log!$E:$E,"Pending")
 +COUNTIFS(OutReach_Log!$A:$A,$A87,OutReach_Log!$E:$E,"Escalated")</f>
        <v>0</v>
      </c>
      <c r="N87">
        <f>COUNTIFS(Incident_Log!$A:$A,$A87,Incident_Log!$C:$C,"High",Incident_Log!$E:$E,"No")</f>
        <v>0</v>
      </c>
      <c r="O87" t="str">
        <f t="shared" ca="1" si="1"/>
        <v>Attention Required</v>
      </c>
      <c r="P87">
        <f ca="1">($G87*40)+($H87*30)+($I87*10)+($N87*50)+IF($L87&gt;0,20,0)</f>
        <v>0</v>
      </c>
      <c r="Q87">
        <f ca="1">E87*(P87/100)</f>
        <v>0</v>
      </c>
      <c r="R87">
        <f ca="1">_xlfn.RANK.EQ($Q87,$Q$2:$Q$401,0)</f>
        <v>180</v>
      </c>
    </row>
    <row r="88" spans="1:18">
      <c r="A88" t="str" cm="1">
        <f t="array" ref="A88">_xlfn._xlws.SORT(Vendor_Master!A88)</f>
        <v>VND-087</v>
      </c>
      <c r="B88" t="str">
        <f>_xlfn.XLOOKUP(Compliance_Sheet!A88,Vendor_Master!A88,Vendor_Master!B88,"")</f>
        <v>Vendor_087</v>
      </c>
      <c r="C88" t="str">
        <f>_xlfn.XLOOKUP(A88,Vendor_Master!A88,Vendor_Master!C88,"")</f>
        <v>Rail Services</v>
      </c>
      <c r="D88" t="str">
        <f>_xlfn.XLOOKUP(A88,Vendor_Master!A88,Vendor_Master!D88,"")</f>
        <v>East</v>
      </c>
      <c r="E88">
        <f>_xlfn.XLOOKUP(A88,Vendor_Master!A88,Vendor_Master!E88,0)</f>
        <v>1655153</v>
      </c>
      <c r="F88" t="str">
        <f>_xlfn.XLOOKUP(A88,Vendor_Master!A88,Vendor_Master!H88,"")</f>
        <v>contact87@vendor.com</v>
      </c>
      <c r="G88">
        <f ca="1">COUNTIFS(Sustainability_Documents!$A:$A,$A88,Sustainability_Documents!$H:$H,"Missing")</f>
        <v>0</v>
      </c>
      <c r="H88">
        <f ca="1">COUNTIFS(Sustainability_Documents!$A:$A,$A88,Sustainability_Documents!$H:$H,"Expired")</f>
        <v>0</v>
      </c>
      <c r="I88">
        <f ca="1">COUNTIFS(Sustainability_Documents!$A:$A,$A88,Sustainability_Documents!$H:$H,"Expiring Soon")</f>
        <v>0</v>
      </c>
      <c r="J88">
        <f>COUNTIFS(Sustainability_Documents!$A:$A,$A88,Sustainability_Documents!$C:$C,"Yes")</f>
        <v>4</v>
      </c>
      <c r="K88">
        <f ca="1">IF($J88=0,"",($J88-$G88-$H88)/$J88)</f>
        <v>1</v>
      </c>
      <c r="L88">
        <f>COUNTIFS(OutReach_Log!$A:$A,$A88,OutReach_Log!$G:$G,"Yes")</f>
        <v>0</v>
      </c>
      <c r="M88">
        <f>COUNTIFS(OutReach_Log!$A:$A,$A88,OutReach_Log!$E:$E,"Pending")
 +COUNTIFS(OutReach_Log!$A:$A,$A88,OutReach_Log!$E:$E,"Escalated")</f>
        <v>0</v>
      </c>
      <c r="N88">
        <f>COUNTIFS(Incident_Log!$A:$A,$A88,Incident_Log!$C:$C,"High",Incident_Log!$E:$E,"No")</f>
        <v>0</v>
      </c>
      <c r="O88" t="str">
        <f t="shared" ca="1" si="1"/>
        <v>Attention Required</v>
      </c>
      <c r="P88">
        <f ca="1">($G88*40)+($H88*30)+($I88*10)+($N88*50)+IF($L88&gt;0,20,0)</f>
        <v>0</v>
      </c>
      <c r="Q88">
        <f ca="1">E88*(P88/100)</f>
        <v>0</v>
      </c>
      <c r="R88">
        <f ca="1">_xlfn.RANK.EQ($Q88,$Q$2:$Q$401,0)</f>
        <v>180</v>
      </c>
    </row>
    <row r="89" spans="1:18">
      <c r="A89" t="str" cm="1">
        <f t="array" ref="A89">_xlfn._xlws.SORT(Vendor_Master!A89)</f>
        <v>VND-088</v>
      </c>
      <c r="B89" t="str">
        <f>_xlfn.XLOOKUP(Compliance_Sheet!A89,Vendor_Master!A89,Vendor_Master!B89,"")</f>
        <v>Vendor_088</v>
      </c>
      <c r="C89" t="str">
        <f>_xlfn.XLOOKUP(A89,Vendor_Master!A89,Vendor_Master!C89,"")</f>
        <v>Rail Services</v>
      </c>
      <c r="D89" t="str">
        <f>_xlfn.XLOOKUP(A89,Vendor_Master!A89,Vendor_Master!D89,"")</f>
        <v>East</v>
      </c>
      <c r="E89">
        <f>_xlfn.XLOOKUP(A89,Vendor_Master!A89,Vendor_Master!E89,0)</f>
        <v>4036202</v>
      </c>
      <c r="F89" t="str">
        <f>_xlfn.XLOOKUP(A89,Vendor_Master!A89,Vendor_Master!H89,"")</f>
        <v>contact88@vendor.com</v>
      </c>
      <c r="G89">
        <f ca="1">COUNTIFS(Sustainability_Documents!$A:$A,$A89,Sustainability_Documents!$H:$H,"Missing")</f>
        <v>0</v>
      </c>
      <c r="H89">
        <f ca="1">COUNTIFS(Sustainability_Documents!$A:$A,$A89,Sustainability_Documents!$H:$H,"Expired")</f>
        <v>0</v>
      </c>
      <c r="I89">
        <f ca="1">COUNTIFS(Sustainability_Documents!$A:$A,$A89,Sustainability_Documents!$H:$H,"Expiring Soon")</f>
        <v>0</v>
      </c>
      <c r="J89">
        <f>COUNTIFS(Sustainability_Documents!$A:$A,$A89,Sustainability_Documents!$C:$C,"Yes")</f>
        <v>4</v>
      </c>
      <c r="K89">
        <f ca="1">IF($J89=0,"",($J89-$G89-$H89)/$J89)</f>
        <v>1</v>
      </c>
      <c r="L89">
        <f>COUNTIFS(OutReach_Log!$A:$A,$A89,OutReach_Log!$G:$G,"Yes")</f>
        <v>0</v>
      </c>
      <c r="M89">
        <f>COUNTIFS(OutReach_Log!$A:$A,$A89,OutReach_Log!$E:$E,"Pending")
 +COUNTIFS(OutReach_Log!$A:$A,$A89,OutReach_Log!$E:$E,"Escalated")</f>
        <v>0</v>
      </c>
      <c r="N89">
        <f>COUNTIFS(Incident_Log!$A:$A,$A89,Incident_Log!$C:$C,"High",Incident_Log!$E:$E,"No")</f>
        <v>0</v>
      </c>
      <c r="O89" t="str">
        <f t="shared" ca="1" si="1"/>
        <v>Attention Required</v>
      </c>
      <c r="P89">
        <f ca="1">($G89*40)+($H89*30)+($I89*10)+($N89*50)+IF($L89&gt;0,20,0)</f>
        <v>0</v>
      </c>
      <c r="Q89">
        <f ca="1">E89*(P89/100)</f>
        <v>0</v>
      </c>
      <c r="R89">
        <f ca="1">_xlfn.RANK.EQ($Q89,$Q$2:$Q$401,0)</f>
        <v>180</v>
      </c>
    </row>
    <row r="90" spans="1:18">
      <c r="A90" t="str" cm="1">
        <f t="array" ref="A90">_xlfn._xlws.SORT(Vendor_Master!A90)</f>
        <v>VND-089</v>
      </c>
      <c r="B90" t="str">
        <f>_xlfn.XLOOKUP(Compliance_Sheet!A90,Vendor_Master!A90,Vendor_Master!B90,"")</f>
        <v>Vendor_089</v>
      </c>
      <c r="C90" t="str">
        <f>_xlfn.XLOOKUP(A90,Vendor_Master!A90,Vendor_Master!C90,"")</f>
        <v>Rail Services</v>
      </c>
      <c r="D90" t="str">
        <f>_xlfn.XLOOKUP(A90,Vendor_Master!A90,Vendor_Master!D90,"")</f>
        <v>East</v>
      </c>
      <c r="E90">
        <f>_xlfn.XLOOKUP(A90,Vendor_Master!A90,Vendor_Master!E90,0)</f>
        <v>4954727</v>
      </c>
      <c r="F90" t="str">
        <f>_xlfn.XLOOKUP(A90,Vendor_Master!A90,Vendor_Master!H90,"")</f>
        <v>contact89@vendor.com</v>
      </c>
      <c r="G90">
        <f ca="1">COUNTIFS(Sustainability_Documents!$A:$A,$A90,Sustainability_Documents!$H:$H,"Missing")</f>
        <v>0</v>
      </c>
      <c r="H90">
        <f ca="1">COUNTIFS(Sustainability_Documents!$A:$A,$A90,Sustainability_Documents!$H:$H,"Expired")</f>
        <v>0</v>
      </c>
      <c r="I90">
        <f ca="1">COUNTIFS(Sustainability_Documents!$A:$A,$A90,Sustainability_Documents!$H:$H,"Expiring Soon")</f>
        <v>0</v>
      </c>
      <c r="J90">
        <f>COUNTIFS(Sustainability_Documents!$A:$A,$A90,Sustainability_Documents!$C:$C,"Yes")</f>
        <v>4</v>
      </c>
      <c r="K90">
        <f ca="1">IF($J90=0,"",($J90-$G90-$H90)/$J90)</f>
        <v>1</v>
      </c>
      <c r="L90">
        <f>COUNTIFS(OutReach_Log!$A:$A,$A90,OutReach_Log!$G:$G,"Yes")</f>
        <v>0</v>
      </c>
      <c r="M90">
        <f>COUNTIFS(OutReach_Log!$A:$A,$A90,OutReach_Log!$E:$E,"Pending")
 +COUNTIFS(OutReach_Log!$A:$A,$A90,OutReach_Log!$E:$E,"Escalated")</f>
        <v>0</v>
      </c>
      <c r="N90">
        <f>COUNTIFS(Incident_Log!$A:$A,$A90,Incident_Log!$C:$C,"High",Incident_Log!$E:$E,"No")</f>
        <v>0</v>
      </c>
      <c r="O90" t="str">
        <f t="shared" ca="1" si="1"/>
        <v>Attention Required</v>
      </c>
      <c r="P90">
        <f ca="1">($G90*40)+($H90*30)+($I90*10)+($N90*50)+IF($L90&gt;0,20,0)</f>
        <v>0</v>
      </c>
      <c r="Q90">
        <f ca="1">E90*(P90/100)</f>
        <v>0</v>
      </c>
      <c r="R90">
        <f ca="1">_xlfn.RANK.EQ($Q90,$Q$2:$Q$401,0)</f>
        <v>180</v>
      </c>
    </row>
    <row r="91" spans="1:18">
      <c r="A91" t="str" cm="1">
        <f t="array" ref="A91">_xlfn._xlws.SORT(Vendor_Master!A91)</f>
        <v>VND-090</v>
      </c>
      <c r="B91" t="str">
        <f>_xlfn.XLOOKUP(Compliance_Sheet!A91,Vendor_Master!A91,Vendor_Master!B91,"")</f>
        <v>Vendor_090</v>
      </c>
      <c r="C91" t="str">
        <f>_xlfn.XLOOKUP(A91,Vendor_Master!A91,Vendor_Master!C91,"")</f>
        <v>Rail Services</v>
      </c>
      <c r="D91" t="str">
        <f>_xlfn.XLOOKUP(A91,Vendor_Master!A91,Vendor_Master!D91,"")</f>
        <v>East</v>
      </c>
      <c r="E91">
        <f>_xlfn.XLOOKUP(A91,Vendor_Master!A91,Vendor_Master!E91,0)</f>
        <v>4184377</v>
      </c>
      <c r="F91" t="str">
        <f>_xlfn.XLOOKUP(A91,Vendor_Master!A91,Vendor_Master!H91,"")</f>
        <v>contact90@vendor.com</v>
      </c>
      <c r="G91">
        <f ca="1">COUNTIFS(Sustainability_Documents!$A:$A,$A91,Sustainability_Documents!$H:$H,"Missing")</f>
        <v>0</v>
      </c>
      <c r="H91">
        <f ca="1">COUNTIFS(Sustainability_Documents!$A:$A,$A91,Sustainability_Documents!$H:$H,"Expired")</f>
        <v>0</v>
      </c>
      <c r="I91">
        <f ca="1">COUNTIFS(Sustainability_Documents!$A:$A,$A91,Sustainability_Documents!$H:$H,"Expiring Soon")</f>
        <v>0</v>
      </c>
      <c r="J91">
        <f>COUNTIFS(Sustainability_Documents!$A:$A,$A91,Sustainability_Documents!$C:$C,"Yes")</f>
        <v>4</v>
      </c>
      <c r="K91">
        <f ca="1">IF($J91=0,"",($J91-$G91-$H91)/$J91)</f>
        <v>1</v>
      </c>
      <c r="L91">
        <f>COUNTIFS(OutReach_Log!$A:$A,$A91,OutReach_Log!$G:$G,"Yes")</f>
        <v>0</v>
      </c>
      <c r="M91">
        <f>COUNTIFS(OutReach_Log!$A:$A,$A91,OutReach_Log!$E:$E,"Pending")
 +COUNTIFS(OutReach_Log!$A:$A,$A91,OutReach_Log!$E:$E,"Escalated")</f>
        <v>0</v>
      </c>
      <c r="N91">
        <f>COUNTIFS(Incident_Log!$A:$A,$A91,Incident_Log!$C:$C,"High",Incident_Log!$E:$E,"No")</f>
        <v>0</v>
      </c>
      <c r="O91" t="str">
        <f t="shared" ca="1" si="1"/>
        <v>Attention Required</v>
      </c>
      <c r="P91">
        <f ca="1">($G91*40)+($H91*30)+($I91*10)+($N91*50)+IF($L91&gt;0,20,0)</f>
        <v>0</v>
      </c>
      <c r="Q91">
        <f ca="1">E91*(P91/100)</f>
        <v>0</v>
      </c>
      <c r="R91">
        <f ca="1">_xlfn.RANK.EQ($Q91,$Q$2:$Q$401,0)</f>
        <v>180</v>
      </c>
    </row>
    <row r="92" spans="1:18">
      <c r="A92" t="str" cm="1">
        <f t="array" ref="A92">_xlfn._xlws.SORT(Vendor_Master!A92)</f>
        <v>VND-091</v>
      </c>
      <c r="B92" t="str">
        <f>_xlfn.XLOOKUP(Compliance_Sheet!A92,Vendor_Master!A92,Vendor_Master!B92,"")</f>
        <v>Vendor_091</v>
      </c>
      <c r="C92" t="str">
        <f>_xlfn.XLOOKUP(A92,Vendor_Master!A92,Vendor_Master!C92,"")</f>
        <v>Rail Services</v>
      </c>
      <c r="D92" t="str">
        <f>_xlfn.XLOOKUP(A92,Vendor_Master!A92,Vendor_Master!D92,"")</f>
        <v>East</v>
      </c>
      <c r="E92">
        <f>_xlfn.XLOOKUP(A92,Vendor_Master!A92,Vendor_Master!E92,0)</f>
        <v>4965474</v>
      </c>
      <c r="F92" t="str">
        <f>_xlfn.XLOOKUP(A92,Vendor_Master!A92,Vendor_Master!H92,"")</f>
        <v>contact91@vendor.com</v>
      </c>
      <c r="G92">
        <f ca="1">COUNTIFS(Sustainability_Documents!$A:$A,$A92,Sustainability_Documents!$H:$H,"Missing")</f>
        <v>0</v>
      </c>
      <c r="H92">
        <f ca="1">COUNTIFS(Sustainability_Documents!$A:$A,$A92,Sustainability_Documents!$H:$H,"Expired")</f>
        <v>0</v>
      </c>
      <c r="I92">
        <f ca="1">COUNTIFS(Sustainability_Documents!$A:$A,$A92,Sustainability_Documents!$H:$H,"Expiring Soon")</f>
        <v>0</v>
      </c>
      <c r="J92">
        <f>COUNTIFS(Sustainability_Documents!$A:$A,$A92,Sustainability_Documents!$C:$C,"Yes")</f>
        <v>4</v>
      </c>
      <c r="K92">
        <f ca="1">IF($J92=0,"",($J92-$G92-$H92)/$J92)</f>
        <v>1</v>
      </c>
      <c r="L92">
        <f>COUNTIFS(OutReach_Log!$A:$A,$A92,OutReach_Log!$G:$G,"Yes")</f>
        <v>0</v>
      </c>
      <c r="M92">
        <f>COUNTIFS(OutReach_Log!$A:$A,$A92,OutReach_Log!$E:$E,"Pending")
 +COUNTIFS(OutReach_Log!$A:$A,$A92,OutReach_Log!$E:$E,"Escalated")</f>
        <v>0</v>
      </c>
      <c r="N92">
        <f>COUNTIFS(Incident_Log!$A:$A,$A92,Incident_Log!$C:$C,"High",Incident_Log!$E:$E,"No")</f>
        <v>0</v>
      </c>
      <c r="O92" t="str">
        <f t="shared" ca="1" si="1"/>
        <v>Attention Required</v>
      </c>
      <c r="P92">
        <f ca="1">($G92*40)+($H92*30)+($I92*10)+($N92*50)+IF($L92&gt;0,20,0)</f>
        <v>0</v>
      </c>
      <c r="Q92">
        <f ca="1">E92*(P92/100)</f>
        <v>0</v>
      </c>
      <c r="R92">
        <f ca="1">_xlfn.RANK.EQ($Q92,$Q$2:$Q$401,0)</f>
        <v>180</v>
      </c>
    </row>
    <row r="93" spans="1:18">
      <c r="A93" t="str" cm="1">
        <f t="array" ref="A93">_xlfn._xlws.SORT(Vendor_Master!A93)</f>
        <v>VND-092</v>
      </c>
      <c r="B93" t="str">
        <f>_xlfn.XLOOKUP(Compliance_Sheet!A93,Vendor_Master!A93,Vendor_Master!B93,"")</f>
        <v>Vendor_092</v>
      </c>
      <c r="C93" t="str">
        <f>_xlfn.XLOOKUP(A93,Vendor_Master!A93,Vendor_Master!C93,"")</f>
        <v>Rail Services</v>
      </c>
      <c r="D93" t="str">
        <f>_xlfn.XLOOKUP(A93,Vendor_Master!A93,Vendor_Master!D93,"")</f>
        <v>East</v>
      </c>
      <c r="E93">
        <f>_xlfn.XLOOKUP(A93,Vendor_Master!A93,Vendor_Master!E93,0)</f>
        <v>2521069</v>
      </c>
      <c r="F93" t="str">
        <f>_xlfn.XLOOKUP(A93,Vendor_Master!A93,Vendor_Master!H93,"")</f>
        <v>contact92@vendor.com</v>
      </c>
      <c r="G93">
        <f ca="1">COUNTIFS(Sustainability_Documents!$A:$A,$A93,Sustainability_Documents!$H:$H,"Missing")</f>
        <v>0</v>
      </c>
      <c r="H93">
        <f ca="1">COUNTIFS(Sustainability_Documents!$A:$A,$A93,Sustainability_Documents!$H:$H,"Expired")</f>
        <v>0</v>
      </c>
      <c r="I93">
        <f ca="1">COUNTIFS(Sustainability_Documents!$A:$A,$A93,Sustainability_Documents!$H:$H,"Expiring Soon")</f>
        <v>0</v>
      </c>
      <c r="J93">
        <f>COUNTIFS(Sustainability_Documents!$A:$A,$A93,Sustainability_Documents!$C:$C,"Yes")</f>
        <v>4</v>
      </c>
      <c r="K93">
        <f ca="1">IF($J93=0,"",($J93-$G93-$H93)/$J93)</f>
        <v>1</v>
      </c>
      <c r="L93">
        <f>COUNTIFS(OutReach_Log!$A:$A,$A93,OutReach_Log!$G:$G,"Yes")</f>
        <v>0</v>
      </c>
      <c r="M93">
        <f>COUNTIFS(OutReach_Log!$A:$A,$A93,OutReach_Log!$E:$E,"Pending")
 +COUNTIFS(OutReach_Log!$A:$A,$A93,OutReach_Log!$E:$E,"Escalated")</f>
        <v>0</v>
      </c>
      <c r="N93">
        <f>COUNTIFS(Incident_Log!$A:$A,$A93,Incident_Log!$C:$C,"High",Incident_Log!$E:$E,"No")</f>
        <v>0</v>
      </c>
      <c r="O93" t="str">
        <f t="shared" ca="1" si="1"/>
        <v>Attention Required</v>
      </c>
      <c r="P93">
        <f ca="1">($G93*40)+($H93*30)+($I93*10)+($N93*50)+IF($L93&gt;0,20,0)</f>
        <v>0</v>
      </c>
      <c r="Q93">
        <f ca="1">E93*(P93/100)</f>
        <v>0</v>
      </c>
      <c r="R93">
        <f ca="1">_xlfn.RANK.EQ($Q93,$Q$2:$Q$401,0)</f>
        <v>180</v>
      </c>
    </row>
    <row r="94" spans="1:18">
      <c r="A94" t="str" cm="1">
        <f t="array" ref="A94">_xlfn._xlws.SORT(Vendor_Master!A94)</f>
        <v>VND-093</v>
      </c>
      <c r="B94" t="str">
        <f>_xlfn.XLOOKUP(Compliance_Sheet!A94,Vendor_Master!A94,Vendor_Master!B94,"")</f>
        <v>Vendor_093</v>
      </c>
      <c r="C94" t="str">
        <f>_xlfn.XLOOKUP(A94,Vendor_Master!A94,Vendor_Master!C94,"")</f>
        <v>Rail Services</v>
      </c>
      <c r="D94" t="str">
        <f>_xlfn.XLOOKUP(A94,Vendor_Master!A94,Vendor_Master!D94,"")</f>
        <v>East</v>
      </c>
      <c r="E94">
        <f>_xlfn.XLOOKUP(A94,Vendor_Master!A94,Vendor_Master!E94,0)</f>
        <v>2443963</v>
      </c>
      <c r="F94" t="str">
        <f>_xlfn.XLOOKUP(A94,Vendor_Master!A94,Vendor_Master!H94,"")</f>
        <v>contact93@vendor.com</v>
      </c>
      <c r="G94">
        <f ca="1">COUNTIFS(Sustainability_Documents!$A:$A,$A94,Sustainability_Documents!$H:$H,"Missing")</f>
        <v>0</v>
      </c>
      <c r="H94">
        <f ca="1">COUNTIFS(Sustainability_Documents!$A:$A,$A94,Sustainability_Documents!$H:$H,"Expired")</f>
        <v>0</v>
      </c>
      <c r="I94">
        <f ca="1">COUNTIFS(Sustainability_Documents!$A:$A,$A94,Sustainability_Documents!$H:$H,"Expiring Soon")</f>
        <v>0</v>
      </c>
      <c r="J94">
        <f>COUNTIFS(Sustainability_Documents!$A:$A,$A94,Sustainability_Documents!$C:$C,"Yes")</f>
        <v>4</v>
      </c>
      <c r="K94">
        <f ca="1">IF($J94=0,"",($J94-$G94-$H94)/$J94)</f>
        <v>1</v>
      </c>
      <c r="L94">
        <f>COUNTIFS(OutReach_Log!$A:$A,$A94,OutReach_Log!$G:$G,"Yes")</f>
        <v>0</v>
      </c>
      <c r="M94">
        <f>COUNTIFS(OutReach_Log!$A:$A,$A94,OutReach_Log!$E:$E,"Pending")
 +COUNTIFS(OutReach_Log!$A:$A,$A94,OutReach_Log!$E:$E,"Escalated")</f>
        <v>0</v>
      </c>
      <c r="N94">
        <f>COUNTIFS(Incident_Log!$A:$A,$A94,Incident_Log!$C:$C,"High",Incident_Log!$E:$E,"No")</f>
        <v>0</v>
      </c>
      <c r="O94" t="str">
        <f t="shared" ca="1" si="1"/>
        <v>Attention Required</v>
      </c>
      <c r="P94">
        <f ca="1">($G94*40)+($H94*30)+($I94*10)+($N94*50)+IF($L94&gt;0,20,0)</f>
        <v>0</v>
      </c>
      <c r="Q94">
        <f ca="1">E94*(P94/100)</f>
        <v>0</v>
      </c>
      <c r="R94">
        <f ca="1">_xlfn.RANK.EQ($Q94,$Q$2:$Q$401,0)</f>
        <v>180</v>
      </c>
    </row>
    <row r="95" spans="1:18">
      <c r="A95" t="str" cm="1">
        <f t="array" ref="A95">_xlfn._xlws.SORT(Vendor_Master!A95)</f>
        <v>VND-094</v>
      </c>
      <c r="B95" t="str">
        <f>_xlfn.XLOOKUP(Compliance_Sheet!A95,Vendor_Master!A95,Vendor_Master!B95,"")</f>
        <v>Vendor_094</v>
      </c>
      <c r="C95" t="str">
        <f>_xlfn.XLOOKUP(A95,Vendor_Master!A95,Vendor_Master!C95,"")</f>
        <v>Rail Services</v>
      </c>
      <c r="D95" t="str">
        <f>_xlfn.XLOOKUP(A95,Vendor_Master!A95,Vendor_Master!D95,"")</f>
        <v>East</v>
      </c>
      <c r="E95">
        <f>_xlfn.XLOOKUP(A95,Vendor_Master!A95,Vendor_Master!E95,0)</f>
        <v>2606081</v>
      </c>
      <c r="F95" t="str">
        <f>_xlfn.XLOOKUP(A95,Vendor_Master!A95,Vendor_Master!H95,"")</f>
        <v>contact94@vendor.com</v>
      </c>
      <c r="G95">
        <f ca="1">COUNTIFS(Sustainability_Documents!$A:$A,$A95,Sustainability_Documents!$H:$H,"Missing")</f>
        <v>0</v>
      </c>
      <c r="H95">
        <f ca="1">COUNTIFS(Sustainability_Documents!$A:$A,$A95,Sustainability_Documents!$H:$H,"Expired")</f>
        <v>0</v>
      </c>
      <c r="I95">
        <f ca="1">COUNTIFS(Sustainability_Documents!$A:$A,$A95,Sustainability_Documents!$H:$H,"Expiring Soon")</f>
        <v>0</v>
      </c>
      <c r="J95">
        <f>COUNTIFS(Sustainability_Documents!$A:$A,$A95,Sustainability_Documents!$C:$C,"Yes")</f>
        <v>4</v>
      </c>
      <c r="K95">
        <f ca="1">IF($J95=0,"",($J95-$G95-$H95)/$J95)</f>
        <v>1</v>
      </c>
      <c r="L95">
        <f>COUNTIFS(OutReach_Log!$A:$A,$A95,OutReach_Log!$G:$G,"Yes")</f>
        <v>0</v>
      </c>
      <c r="M95">
        <f>COUNTIFS(OutReach_Log!$A:$A,$A95,OutReach_Log!$E:$E,"Pending")
 +COUNTIFS(OutReach_Log!$A:$A,$A95,OutReach_Log!$E:$E,"Escalated")</f>
        <v>0</v>
      </c>
      <c r="N95">
        <f>COUNTIFS(Incident_Log!$A:$A,$A95,Incident_Log!$C:$C,"High",Incident_Log!$E:$E,"No")</f>
        <v>0</v>
      </c>
      <c r="O95" t="str">
        <f t="shared" ca="1" si="1"/>
        <v>Attention Required</v>
      </c>
      <c r="P95">
        <f ca="1">($G95*40)+($H95*30)+($I95*10)+($N95*50)+IF($L95&gt;0,20,0)</f>
        <v>0</v>
      </c>
      <c r="Q95">
        <f ca="1">E95*(P95/100)</f>
        <v>0</v>
      </c>
      <c r="R95">
        <f ca="1">_xlfn.RANK.EQ($Q95,$Q$2:$Q$401,0)</f>
        <v>180</v>
      </c>
    </row>
    <row r="96" spans="1:18">
      <c r="A96" t="str" cm="1">
        <f t="array" ref="A96">_xlfn._xlws.SORT(Vendor_Master!A96)</f>
        <v>VND-095</v>
      </c>
      <c r="B96" t="str">
        <f>_xlfn.XLOOKUP(Compliance_Sheet!A96,Vendor_Master!A96,Vendor_Master!B96,"")</f>
        <v>Vendor_095</v>
      </c>
      <c r="C96" t="str">
        <f>_xlfn.XLOOKUP(A96,Vendor_Master!A96,Vendor_Master!C96,"")</f>
        <v>Rail Services</v>
      </c>
      <c r="D96" t="str">
        <f>_xlfn.XLOOKUP(A96,Vendor_Master!A96,Vendor_Master!D96,"")</f>
        <v>East</v>
      </c>
      <c r="E96">
        <f>_xlfn.XLOOKUP(A96,Vendor_Master!A96,Vendor_Master!E96,0)</f>
        <v>2885376</v>
      </c>
      <c r="F96" t="str">
        <f>_xlfn.XLOOKUP(A96,Vendor_Master!A96,Vendor_Master!H96,"")</f>
        <v>contact95@vendor.com</v>
      </c>
      <c r="G96">
        <f ca="1">COUNTIFS(Sustainability_Documents!$A:$A,$A96,Sustainability_Documents!$H:$H,"Missing")</f>
        <v>0</v>
      </c>
      <c r="H96">
        <f ca="1">COUNTIFS(Sustainability_Documents!$A:$A,$A96,Sustainability_Documents!$H:$H,"Expired")</f>
        <v>0</v>
      </c>
      <c r="I96">
        <f ca="1">COUNTIFS(Sustainability_Documents!$A:$A,$A96,Sustainability_Documents!$H:$H,"Expiring Soon")</f>
        <v>0</v>
      </c>
      <c r="J96">
        <f>COUNTIFS(Sustainability_Documents!$A:$A,$A96,Sustainability_Documents!$C:$C,"Yes")</f>
        <v>4</v>
      </c>
      <c r="K96">
        <f ca="1">IF($J96=0,"",($J96-$G96-$H96)/$J96)</f>
        <v>1</v>
      </c>
      <c r="L96">
        <f>COUNTIFS(OutReach_Log!$A:$A,$A96,OutReach_Log!$G:$G,"Yes")</f>
        <v>0</v>
      </c>
      <c r="M96">
        <f>COUNTIFS(OutReach_Log!$A:$A,$A96,OutReach_Log!$E:$E,"Pending")
 +COUNTIFS(OutReach_Log!$A:$A,$A96,OutReach_Log!$E:$E,"Escalated")</f>
        <v>0</v>
      </c>
      <c r="N96">
        <f>COUNTIFS(Incident_Log!$A:$A,$A96,Incident_Log!$C:$C,"High",Incident_Log!$E:$E,"No")</f>
        <v>0</v>
      </c>
      <c r="O96" t="str">
        <f t="shared" ca="1" si="1"/>
        <v>Attention Required</v>
      </c>
      <c r="P96">
        <f ca="1">($G96*40)+($H96*30)+($I96*10)+($N96*50)+IF($L96&gt;0,20,0)</f>
        <v>0</v>
      </c>
      <c r="Q96">
        <f ca="1">E96*(P96/100)</f>
        <v>0</v>
      </c>
      <c r="R96">
        <f ca="1">_xlfn.RANK.EQ($Q96,$Q$2:$Q$401,0)</f>
        <v>180</v>
      </c>
    </row>
    <row r="97" spans="1:18">
      <c r="A97" t="str" cm="1">
        <f t="array" ref="A97">_xlfn._xlws.SORT(Vendor_Master!A97)</f>
        <v>VND-096</v>
      </c>
      <c r="B97" t="str">
        <f>_xlfn.XLOOKUP(Compliance_Sheet!A97,Vendor_Master!A97,Vendor_Master!B97,"")</f>
        <v>Vendor_096</v>
      </c>
      <c r="C97" t="str">
        <f>_xlfn.XLOOKUP(A97,Vendor_Master!A97,Vendor_Master!C97,"")</f>
        <v>Rail Services</v>
      </c>
      <c r="D97" t="str">
        <f>_xlfn.XLOOKUP(A97,Vendor_Master!A97,Vendor_Master!D97,"")</f>
        <v>East</v>
      </c>
      <c r="E97">
        <f>_xlfn.XLOOKUP(A97,Vendor_Master!A97,Vendor_Master!E97,0)</f>
        <v>3823009</v>
      </c>
      <c r="F97" t="str">
        <f>_xlfn.XLOOKUP(A97,Vendor_Master!A97,Vendor_Master!H97,"")</f>
        <v>contact96@vendor.com</v>
      </c>
      <c r="G97">
        <f ca="1">COUNTIFS(Sustainability_Documents!$A:$A,$A97,Sustainability_Documents!$H:$H,"Missing")</f>
        <v>0</v>
      </c>
      <c r="H97">
        <f ca="1">COUNTIFS(Sustainability_Documents!$A:$A,$A97,Sustainability_Documents!$H:$H,"Expired")</f>
        <v>0</v>
      </c>
      <c r="I97">
        <f ca="1">COUNTIFS(Sustainability_Documents!$A:$A,$A97,Sustainability_Documents!$H:$H,"Expiring Soon")</f>
        <v>0</v>
      </c>
      <c r="J97">
        <f>COUNTIFS(Sustainability_Documents!$A:$A,$A97,Sustainability_Documents!$C:$C,"Yes")</f>
        <v>4</v>
      </c>
      <c r="K97">
        <f ca="1">IF($J97=0,"",($J97-$G97-$H97)/$J97)</f>
        <v>1</v>
      </c>
      <c r="L97">
        <f>COUNTIFS(OutReach_Log!$A:$A,$A97,OutReach_Log!$G:$G,"Yes")</f>
        <v>0</v>
      </c>
      <c r="M97">
        <f>COUNTIFS(OutReach_Log!$A:$A,$A97,OutReach_Log!$E:$E,"Pending")
 +COUNTIFS(OutReach_Log!$A:$A,$A97,OutReach_Log!$E:$E,"Escalated")</f>
        <v>0</v>
      </c>
      <c r="N97">
        <f>COUNTIFS(Incident_Log!$A:$A,$A97,Incident_Log!$C:$C,"High",Incident_Log!$E:$E,"No")</f>
        <v>0</v>
      </c>
      <c r="O97" t="str">
        <f t="shared" ca="1" si="1"/>
        <v>Attention Required</v>
      </c>
      <c r="P97">
        <f ca="1">($G97*40)+($H97*30)+($I97*10)+($N97*50)+IF($L97&gt;0,20,0)</f>
        <v>0</v>
      </c>
      <c r="Q97">
        <f ca="1">E97*(P97/100)</f>
        <v>0</v>
      </c>
      <c r="R97">
        <f ca="1">_xlfn.RANK.EQ($Q97,$Q$2:$Q$401,0)</f>
        <v>180</v>
      </c>
    </row>
    <row r="98" spans="1:18">
      <c r="A98" t="str" cm="1">
        <f t="array" ref="A98">_xlfn._xlws.SORT(Vendor_Master!A98)</f>
        <v>VND-097</v>
      </c>
      <c r="B98" t="str">
        <f>_xlfn.XLOOKUP(Compliance_Sheet!A98,Vendor_Master!A98,Vendor_Master!B98,"")</f>
        <v>Vendor_097</v>
      </c>
      <c r="C98" t="str">
        <f>_xlfn.XLOOKUP(A98,Vendor_Master!A98,Vendor_Master!C98,"")</f>
        <v>Rail Services</v>
      </c>
      <c r="D98" t="str">
        <f>_xlfn.XLOOKUP(A98,Vendor_Master!A98,Vendor_Master!D98,"")</f>
        <v>East</v>
      </c>
      <c r="E98">
        <f>_xlfn.XLOOKUP(A98,Vendor_Master!A98,Vendor_Master!E98,0)</f>
        <v>4854918</v>
      </c>
      <c r="F98" t="str">
        <f>_xlfn.XLOOKUP(A98,Vendor_Master!A98,Vendor_Master!H98,"")</f>
        <v>contact97@vendor.com</v>
      </c>
      <c r="G98">
        <f ca="1">COUNTIFS(Sustainability_Documents!$A:$A,$A98,Sustainability_Documents!$H:$H,"Missing")</f>
        <v>0</v>
      </c>
      <c r="H98">
        <f ca="1">COUNTIFS(Sustainability_Documents!$A:$A,$A98,Sustainability_Documents!$H:$H,"Expired")</f>
        <v>0</v>
      </c>
      <c r="I98">
        <f ca="1">COUNTIFS(Sustainability_Documents!$A:$A,$A98,Sustainability_Documents!$H:$H,"Expiring Soon")</f>
        <v>0</v>
      </c>
      <c r="J98">
        <f>COUNTIFS(Sustainability_Documents!$A:$A,$A98,Sustainability_Documents!$C:$C,"Yes")</f>
        <v>4</v>
      </c>
      <c r="K98">
        <f ca="1">IF($J98=0,"",($J98-$G98-$H98)/$J98)</f>
        <v>1</v>
      </c>
      <c r="L98">
        <f>COUNTIFS(OutReach_Log!$A:$A,$A98,OutReach_Log!$G:$G,"Yes")</f>
        <v>0</v>
      </c>
      <c r="M98">
        <f>COUNTIFS(OutReach_Log!$A:$A,$A98,OutReach_Log!$E:$E,"Pending")
 +COUNTIFS(OutReach_Log!$A:$A,$A98,OutReach_Log!$E:$E,"Escalated")</f>
        <v>0</v>
      </c>
      <c r="N98">
        <f>COUNTIFS(Incident_Log!$A:$A,$A98,Incident_Log!$C:$C,"High",Incident_Log!$E:$E,"No")</f>
        <v>0</v>
      </c>
      <c r="O98" t="str">
        <f t="shared" ca="1" si="1"/>
        <v>Attention Required</v>
      </c>
      <c r="P98">
        <f ca="1">($G98*40)+($H98*30)+($I98*10)+($N98*50)+IF($L98&gt;0,20,0)</f>
        <v>0</v>
      </c>
      <c r="Q98">
        <f ca="1">E98*(P98/100)</f>
        <v>0</v>
      </c>
      <c r="R98">
        <f ca="1">_xlfn.RANK.EQ($Q98,$Q$2:$Q$401,0)</f>
        <v>180</v>
      </c>
    </row>
    <row r="99" spans="1:18">
      <c r="A99" t="str" cm="1">
        <f t="array" ref="A99">_xlfn._xlws.SORT(Vendor_Master!A99)</f>
        <v>VND-098</v>
      </c>
      <c r="B99" t="str">
        <f>_xlfn.XLOOKUP(Compliance_Sheet!A99,Vendor_Master!A99,Vendor_Master!B99,"")</f>
        <v>Vendor_098</v>
      </c>
      <c r="C99" t="str">
        <f>_xlfn.XLOOKUP(A99,Vendor_Master!A99,Vendor_Master!C99,"")</f>
        <v>Rail Services</v>
      </c>
      <c r="D99" t="str">
        <f>_xlfn.XLOOKUP(A99,Vendor_Master!A99,Vendor_Master!D99,"")</f>
        <v>East</v>
      </c>
      <c r="E99">
        <f>_xlfn.XLOOKUP(A99,Vendor_Master!A99,Vendor_Master!E99,0)</f>
        <v>661326</v>
      </c>
      <c r="F99" t="str">
        <f>_xlfn.XLOOKUP(A99,Vendor_Master!A99,Vendor_Master!H99,"")</f>
        <v>contact98@vendor.com</v>
      </c>
      <c r="G99">
        <f ca="1">COUNTIFS(Sustainability_Documents!$A:$A,$A99,Sustainability_Documents!$H:$H,"Missing")</f>
        <v>0</v>
      </c>
      <c r="H99">
        <f ca="1">COUNTIFS(Sustainability_Documents!$A:$A,$A99,Sustainability_Documents!$H:$H,"Expired")</f>
        <v>0</v>
      </c>
      <c r="I99">
        <f ca="1">COUNTIFS(Sustainability_Documents!$A:$A,$A99,Sustainability_Documents!$H:$H,"Expiring Soon")</f>
        <v>0</v>
      </c>
      <c r="J99">
        <f>COUNTIFS(Sustainability_Documents!$A:$A,$A99,Sustainability_Documents!$C:$C,"Yes")</f>
        <v>4</v>
      </c>
      <c r="K99">
        <f ca="1">IF($J99=0,"",($J99-$G99-$H99)/$J99)</f>
        <v>1</v>
      </c>
      <c r="L99">
        <f>COUNTIFS(OutReach_Log!$A:$A,$A99,OutReach_Log!$G:$G,"Yes")</f>
        <v>0</v>
      </c>
      <c r="M99">
        <f>COUNTIFS(OutReach_Log!$A:$A,$A99,OutReach_Log!$E:$E,"Pending")
 +COUNTIFS(OutReach_Log!$A:$A,$A99,OutReach_Log!$E:$E,"Escalated")</f>
        <v>0</v>
      </c>
      <c r="N99">
        <f>COUNTIFS(Incident_Log!$A:$A,$A99,Incident_Log!$C:$C,"High",Incident_Log!$E:$E,"No")</f>
        <v>0</v>
      </c>
      <c r="O99" t="str">
        <f t="shared" ca="1" si="1"/>
        <v>Attention Required</v>
      </c>
      <c r="P99">
        <f ca="1">($G99*40)+($H99*30)+($I99*10)+($N99*50)+IF($L99&gt;0,20,0)</f>
        <v>0</v>
      </c>
      <c r="Q99">
        <f ca="1">E99*(P99/100)</f>
        <v>0</v>
      </c>
      <c r="R99">
        <f ca="1">_xlfn.RANK.EQ($Q99,$Q$2:$Q$401,0)</f>
        <v>180</v>
      </c>
    </row>
    <row r="100" spans="1:18">
      <c r="A100" t="str" cm="1">
        <f t="array" ref="A100">_xlfn._xlws.SORT(Vendor_Master!A100)</f>
        <v>VND-099</v>
      </c>
      <c r="B100" t="str">
        <f>_xlfn.XLOOKUP(Compliance_Sheet!A100,Vendor_Master!A100,Vendor_Master!B100,"")</f>
        <v>Vendor_099</v>
      </c>
      <c r="C100" t="str">
        <f>_xlfn.XLOOKUP(A100,Vendor_Master!A100,Vendor_Master!C100,"")</f>
        <v>Rail Services</v>
      </c>
      <c r="D100" t="str">
        <f>_xlfn.XLOOKUP(A100,Vendor_Master!A100,Vendor_Master!D100,"")</f>
        <v>East</v>
      </c>
      <c r="E100">
        <f>_xlfn.XLOOKUP(A100,Vendor_Master!A100,Vendor_Master!E100,0)</f>
        <v>324802</v>
      </c>
      <c r="F100" t="str">
        <f>_xlfn.XLOOKUP(A100,Vendor_Master!A100,Vendor_Master!H100,"")</f>
        <v>contact99@vendor.com</v>
      </c>
      <c r="G100">
        <f ca="1">COUNTIFS(Sustainability_Documents!$A:$A,$A100,Sustainability_Documents!$H:$H,"Missing")</f>
        <v>0</v>
      </c>
      <c r="H100">
        <f ca="1">COUNTIFS(Sustainability_Documents!$A:$A,$A100,Sustainability_Documents!$H:$H,"Expired")</f>
        <v>0</v>
      </c>
      <c r="I100">
        <f ca="1">COUNTIFS(Sustainability_Documents!$A:$A,$A100,Sustainability_Documents!$H:$H,"Expiring Soon")</f>
        <v>0</v>
      </c>
      <c r="J100">
        <f>COUNTIFS(Sustainability_Documents!$A:$A,$A100,Sustainability_Documents!$C:$C,"Yes")</f>
        <v>4</v>
      </c>
      <c r="K100">
        <f ca="1">IF($J100=0,"",($J100-$G100-$H100)/$J100)</f>
        <v>1</v>
      </c>
      <c r="L100">
        <f>COUNTIFS(OutReach_Log!$A:$A,$A100,OutReach_Log!$G:$G,"Yes")</f>
        <v>0</v>
      </c>
      <c r="M100">
        <f>COUNTIFS(OutReach_Log!$A:$A,$A100,OutReach_Log!$E:$E,"Pending")
 +COUNTIFS(OutReach_Log!$A:$A,$A100,OutReach_Log!$E:$E,"Escalated")</f>
        <v>0</v>
      </c>
      <c r="N100">
        <f>COUNTIFS(Incident_Log!$A:$A,$A100,Incident_Log!$C:$C,"High",Incident_Log!$E:$E,"No")</f>
        <v>0</v>
      </c>
      <c r="O100" t="str">
        <f t="shared" ca="1" si="1"/>
        <v>Attention Required</v>
      </c>
      <c r="P100">
        <f ca="1">($G100*40)+($H100*30)+($I100*10)+($N100*50)+IF($L100&gt;0,20,0)</f>
        <v>0</v>
      </c>
      <c r="Q100">
        <f ca="1">E100*(P100/100)</f>
        <v>0</v>
      </c>
      <c r="R100">
        <f ca="1">_xlfn.RANK.EQ($Q100,$Q$2:$Q$401,0)</f>
        <v>180</v>
      </c>
    </row>
    <row r="101" spans="1:18">
      <c r="A101" t="str" cm="1">
        <f t="array" ref="A101">_xlfn._xlws.SORT(Vendor_Master!A101)</f>
        <v>VND-100</v>
      </c>
      <c r="B101" t="str">
        <f>_xlfn.XLOOKUP(Compliance_Sheet!A101,Vendor_Master!A101,Vendor_Master!B101,"")</f>
        <v>Vendor_100</v>
      </c>
      <c r="C101" t="str">
        <f>_xlfn.XLOOKUP(A101,Vendor_Master!A101,Vendor_Master!C101,"")</f>
        <v>Rail Services</v>
      </c>
      <c r="D101" t="str">
        <f>_xlfn.XLOOKUP(A101,Vendor_Master!A101,Vendor_Master!D101,"")</f>
        <v>East</v>
      </c>
      <c r="E101">
        <f>_xlfn.XLOOKUP(A101,Vendor_Master!A101,Vendor_Master!E101,0)</f>
        <v>884504</v>
      </c>
      <c r="F101" t="str">
        <f>_xlfn.XLOOKUP(A101,Vendor_Master!A101,Vendor_Master!H101,"")</f>
        <v>contact100@vendor.com</v>
      </c>
      <c r="G101">
        <f ca="1">COUNTIFS(Sustainability_Documents!$A:$A,$A101,Sustainability_Documents!$H:$H,"Missing")</f>
        <v>0</v>
      </c>
      <c r="H101">
        <f ca="1">COUNTIFS(Sustainability_Documents!$A:$A,$A101,Sustainability_Documents!$H:$H,"Expired")</f>
        <v>0</v>
      </c>
      <c r="I101">
        <f ca="1">COUNTIFS(Sustainability_Documents!$A:$A,$A101,Sustainability_Documents!$H:$H,"Expiring Soon")</f>
        <v>0</v>
      </c>
      <c r="J101">
        <f>COUNTIFS(Sustainability_Documents!$A:$A,$A101,Sustainability_Documents!$C:$C,"Yes")</f>
        <v>4</v>
      </c>
      <c r="K101">
        <f ca="1">IF($J101=0,"",($J101-$G101-$H101)/$J101)</f>
        <v>1</v>
      </c>
      <c r="L101">
        <f>COUNTIFS(OutReach_Log!$A:$A,$A101,OutReach_Log!$G:$G,"Yes")</f>
        <v>0</v>
      </c>
      <c r="M101">
        <f>COUNTIFS(OutReach_Log!$A:$A,$A101,OutReach_Log!$E:$E,"Pending")
 +COUNTIFS(OutReach_Log!$A:$A,$A101,OutReach_Log!$E:$E,"Escalated")</f>
        <v>0</v>
      </c>
      <c r="N101">
        <f>COUNTIFS(Incident_Log!$A:$A,$A101,Incident_Log!$C:$C,"High",Incident_Log!$E:$E,"No")</f>
        <v>0</v>
      </c>
      <c r="O101" t="str">
        <f t="shared" ca="1" si="1"/>
        <v>Attention Required</v>
      </c>
      <c r="P101">
        <f ca="1">($G101*40)+($H101*30)+($I101*10)+($N101*50)+IF($L101&gt;0,20,0)</f>
        <v>0</v>
      </c>
      <c r="Q101">
        <f ca="1">E101*(P101/100)</f>
        <v>0</v>
      </c>
      <c r="R101">
        <f ca="1">_xlfn.RANK.EQ($Q101,$Q$2:$Q$401,0)</f>
        <v>180</v>
      </c>
    </row>
    <row r="102" spans="1:18">
      <c r="A102" t="str" cm="1">
        <f t="array" ref="A102">_xlfn._xlws.SORT(Vendor_Master!A102)</f>
        <v>VND-101</v>
      </c>
      <c r="B102" t="str">
        <f>_xlfn.XLOOKUP(Compliance_Sheet!A102,Vendor_Master!A102,Vendor_Master!B102,"")</f>
        <v>Vendor_101</v>
      </c>
      <c r="C102" t="str">
        <f>_xlfn.XLOOKUP(A102,Vendor_Master!A102,Vendor_Master!C102,"")</f>
        <v>Rail Services</v>
      </c>
      <c r="D102" t="str">
        <f>_xlfn.XLOOKUP(A102,Vendor_Master!A102,Vendor_Master!D102,"")</f>
        <v>South</v>
      </c>
      <c r="E102">
        <f>_xlfn.XLOOKUP(A102,Vendor_Master!A102,Vendor_Master!E102,0)</f>
        <v>880187</v>
      </c>
      <c r="F102" t="str">
        <f>_xlfn.XLOOKUP(A102,Vendor_Master!A102,Vendor_Master!H102,"")</f>
        <v>contact101@vendor.com</v>
      </c>
      <c r="G102">
        <f ca="1">COUNTIFS(Sustainability_Documents!$A:$A,$A102,Sustainability_Documents!$H:$H,"Missing")</f>
        <v>0</v>
      </c>
      <c r="H102">
        <f ca="1">COUNTIFS(Sustainability_Documents!$A:$A,$A102,Sustainability_Documents!$H:$H,"Expired")</f>
        <v>0</v>
      </c>
      <c r="I102">
        <f ca="1">COUNTIFS(Sustainability_Documents!$A:$A,$A102,Sustainability_Documents!$H:$H,"Expiring Soon")</f>
        <v>0</v>
      </c>
      <c r="J102">
        <f>COUNTIFS(Sustainability_Documents!$A:$A,$A102,Sustainability_Documents!$C:$C,"Yes")</f>
        <v>4</v>
      </c>
      <c r="K102">
        <f ca="1">IF($J102=0,"",($J102-$G102-$H102)/$J102)</f>
        <v>1</v>
      </c>
      <c r="L102">
        <f>COUNTIFS(OutReach_Log!$A:$A,$A102,OutReach_Log!$G:$G,"Yes")</f>
        <v>0</v>
      </c>
      <c r="M102">
        <f>COUNTIFS(OutReach_Log!$A:$A,$A102,OutReach_Log!$E:$E,"Pending")
 +COUNTIFS(OutReach_Log!$A:$A,$A102,OutReach_Log!$E:$E,"Escalated")</f>
        <v>0</v>
      </c>
      <c r="N102">
        <f>COUNTIFS(Incident_Log!$A:$A,$A102,Incident_Log!$C:$C,"High",Incident_Log!$E:$E,"No")</f>
        <v>0</v>
      </c>
      <c r="O102" t="str">
        <f t="shared" ca="1" si="1"/>
        <v>Attention Required</v>
      </c>
      <c r="P102">
        <f ca="1">($G102*40)+($H102*30)+($I102*10)+($N102*50)+IF($L102&gt;0,20,0)</f>
        <v>0</v>
      </c>
      <c r="Q102">
        <f ca="1">E102*(P102/100)</f>
        <v>0</v>
      </c>
      <c r="R102">
        <f ca="1">_xlfn.RANK.EQ($Q102,$Q$2:$Q$401,0)</f>
        <v>180</v>
      </c>
    </row>
    <row r="103" spans="1:18">
      <c r="A103" t="str" cm="1">
        <f t="array" ref="A103">_xlfn._xlws.SORT(Vendor_Master!A103)</f>
        <v>VND-102</v>
      </c>
      <c r="B103" t="str">
        <f>_xlfn.XLOOKUP(Compliance_Sheet!A103,Vendor_Master!A103,Vendor_Master!B103,"")</f>
        <v>Vendor_102</v>
      </c>
      <c r="C103" t="str">
        <f>_xlfn.XLOOKUP(A103,Vendor_Master!A103,Vendor_Master!C103,"")</f>
        <v>Rail Services</v>
      </c>
      <c r="D103" t="str">
        <f>_xlfn.XLOOKUP(A103,Vendor_Master!A103,Vendor_Master!D103,"")</f>
        <v>South</v>
      </c>
      <c r="E103">
        <f>_xlfn.XLOOKUP(A103,Vendor_Master!A103,Vendor_Master!E103,0)</f>
        <v>984499</v>
      </c>
      <c r="F103" t="str">
        <f>_xlfn.XLOOKUP(A103,Vendor_Master!A103,Vendor_Master!H103,"")</f>
        <v>contact102@vendor.com</v>
      </c>
      <c r="G103">
        <f ca="1">COUNTIFS(Sustainability_Documents!$A:$A,$A103,Sustainability_Documents!$H:$H,"Missing")</f>
        <v>0</v>
      </c>
      <c r="H103">
        <f ca="1">COUNTIFS(Sustainability_Documents!$A:$A,$A103,Sustainability_Documents!$H:$H,"Expired")</f>
        <v>0</v>
      </c>
      <c r="I103">
        <f ca="1">COUNTIFS(Sustainability_Documents!$A:$A,$A103,Sustainability_Documents!$H:$H,"Expiring Soon")</f>
        <v>0</v>
      </c>
      <c r="J103">
        <f>COUNTIFS(Sustainability_Documents!$A:$A,$A103,Sustainability_Documents!$C:$C,"Yes")</f>
        <v>4</v>
      </c>
      <c r="K103">
        <f ca="1">IF($J103=0,"",($J103-$G103-$H103)/$J103)</f>
        <v>1</v>
      </c>
      <c r="L103">
        <f>COUNTIFS(OutReach_Log!$A:$A,$A103,OutReach_Log!$G:$G,"Yes")</f>
        <v>0</v>
      </c>
      <c r="M103">
        <f>COUNTIFS(OutReach_Log!$A:$A,$A103,OutReach_Log!$E:$E,"Pending")
 +COUNTIFS(OutReach_Log!$A:$A,$A103,OutReach_Log!$E:$E,"Escalated")</f>
        <v>0</v>
      </c>
      <c r="N103">
        <f>COUNTIFS(Incident_Log!$A:$A,$A103,Incident_Log!$C:$C,"High",Incident_Log!$E:$E,"No")</f>
        <v>0</v>
      </c>
      <c r="O103" t="str">
        <f t="shared" ca="1" si="1"/>
        <v>Attention Required</v>
      </c>
      <c r="P103">
        <f ca="1">($G103*40)+($H103*30)+($I103*10)+($N103*50)+IF($L103&gt;0,20,0)</f>
        <v>0</v>
      </c>
      <c r="Q103">
        <f ca="1">E103*(P103/100)</f>
        <v>0</v>
      </c>
      <c r="R103">
        <f ca="1">_xlfn.RANK.EQ($Q103,$Q$2:$Q$401,0)</f>
        <v>180</v>
      </c>
    </row>
    <row r="104" spans="1:18">
      <c r="A104" t="str" cm="1">
        <f t="array" ref="A104">_xlfn._xlws.SORT(Vendor_Master!A104)</f>
        <v>VND-103</v>
      </c>
      <c r="B104" t="str">
        <f>_xlfn.XLOOKUP(Compliance_Sheet!A104,Vendor_Master!A104,Vendor_Master!B104,"")</f>
        <v>Vendor_103</v>
      </c>
      <c r="C104" t="str">
        <f>_xlfn.XLOOKUP(A104,Vendor_Master!A104,Vendor_Master!C104,"")</f>
        <v>Rail Services</v>
      </c>
      <c r="D104" t="str">
        <f>_xlfn.XLOOKUP(A104,Vendor_Master!A104,Vendor_Master!D104,"")</f>
        <v>South</v>
      </c>
      <c r="E104">
        <f>_xlfn.XLOOKUP(A104,Vendor_Master!A104,Vendor_Master!E104,0)</f>
        <v>965061</v>
      </c>
      <c r="F104" t="str">
        <f>_xlfn.XLOOKUP(A104,Vendor_Master!A104,Vendor_Master!H104,"")</f>
        <v>contact103@vendor.com</v>
      </c>
      <c r="G104">
        <f ca="1">COUNTIFS(Sustainability_Documents!$A:$A,$A104,Sustainability_Documents!$H:$H,"Missing")</f>
        <v>0</v>
      </c>
      <c r="H104">
        <f ca="1">COUNTIFS(Sustainability_Documents!$A:$A,$A104,Sustainability_Documents!$H:$H,"Expired")</f>
        <v>0</v>
      </c>
      <c r="I104">
        <f ca="1">COUNTIFS(Sustainability_Documents!$A:$A,$A104,Sustainability_Documents!$H:$H,"Expiring Soon")</f>
        <v>0</v>
      </c>
      <c r="J104">
        <f>COUNTIFS(Sustainability_Documents!$A:$A,$A104,Sustainability_Documents!$C:$C,"Yes")</f>
        <v>4</v>
      </c>
      <c r="K104">
        <f ca="1">IF($J104=0,"",($J104-$G104-$H104)/$J104)</f>
        <v>1</v>
      </c>
      <c r="L104">
        <f>COUNTIFS(OutReach_Log!$A:$A,$A104,OutReach_Log!$G:$G,"Yes")</f>
        <v>0</v>
      </c>
      <c r="M104">
        <f>COUNTIFS(OutReach_Log!$A:$A,$A104,OutReach_Log!$E:$E,"Pending")
 +COUNTIFS(OutReach_Log!$A:$A,$A104,OutReach_Log!$E:$E,"Escalated")</f>
        <v>0</v>
      </c>
      <c r="N104">
        <f>COUNTIFS(Incident_Log!$A:$A,$A104,Incident_Log!$C:$C,"High",Incident_Log!$E:$E,"No")</f>
        <v>0</v>
      </c>
      <c r="O104" t="str">
        <f t="shared" ca="1" si="1"/>
        <v>Attention Required</v>
      </c>
      <c r="P104">
        <f ca="1">($G104*40)+($H104*30)+($I104*10)+($N104*50)+IF($L104&gt;0,20,0)</f>
        <v>0</v>
      </c>
      <c r="Q104">
        <f ca="1">E104*(P104/100)</f>
        <v>0</v>
      </c>
      <c r="R104">
        <f ca="1">_xlfn.RANK.EQ($Q104,$Q$2:$Q$401,0)</f>
        <v>180</v>
      </c>
    </row>
    <row r="105" spans="1:18">
      <c r="A105" t="str" cm="1">
        <f t="array" ref="A105">_xlfn._xlws.SORT(Vendor_Master!A105)</f>
        <v>VND-104</v>
      </c>
      <c r="B105" t="str">
        <f>_xlfn.XLOOKUP(Compliance_Sheet!A105,Vendor_Master!A105,Vendor_Master!B105,"")</f>
        <v>Vendor_104</v>
      </c>
      <c r="C105" t="str">
        <f>_xlfn.XLOOKUP(A105,Vendor_Master!A105,Vendor_Master!C105,"")</f>
        <v>Rail Services</v>
      </c>
      <c r="D105" t="str">
        <f>_xlfn.XLOOKUP(A105,Vendor_Master!A105,Vendor_Master!D105,"")</f>
        <v>South</v>
      </c>
      <c r="E105">
        <f>_xlfn.XLOOKUP(A105,Vendor_Master!A105,Vendor_Master!E105,0)</f>
        <v>397483</v>
      </c>
      <c r="F105" t="str">
        <f>_xlfn.XLOOKUP(A105,Vendor_Master!A105,Vendor_Master!H105,"")</f>
        <v>contact104@vendor.com</v>
      </c>
      <c r="G105">
        <f ca="1">COUNTIFS(Sustainability_Documents!$A:$A,$A105,Sustainability_Documents!$H:$H,"Missing")</f>
        <v>0</v>
      </c>
      <c r="H105">
        <f ca="1">COUNTIFS(Sustainability_Documents!$A:$A,$A105,Sustainability_Documents!$H:$H,"Expired")</f>
        <v>0</v>
      </c>
      <c r="I105">
        <f ca="1">COUNTIFS(Sustainability_Documents!$A:$A,$A105,Sustainability_Documents!$H:$H,"Expiring Soon")</f>
        <v>0</v>
      </c>
      <c r="J105">
        <f>COUNTIFS(Sustainability_Documents!$A:$A,$A105,Sustainability_Documents!$C:$C,"Yes")</f>
        <v>4</v>
      </c>
      <c r="K105">
        <f ca="1">IF($J105=0,"",($J105-$G105-$H105)/$J105)</f>
        <v>1</v>
      </c>
      <c r="L105">
        <f>COUNTIFS(OutReach_Log!$A:$A,$A105,OutReach_Log!$G:$G,"Yes")</f>
        <v>0</v>
      </c>
      <c r="M105">
        <f>COUNTIFS(OutReach_Log!$A:$A,$A105,OutReach_Log!$E:$E,"Pending")
 +COUNTIFS(OutReach_Log!$A:$A,$A105,OutReach_Log!$E:$E,"Escalated")</f>
        <v>0</v>
      </c>
      <c r="N105">
        <f>COUNTIFS(Incident_Log!$A:$A,$A105,Incident_Log!$C:$C,"High",Incident_Log!$E:$E,"No")</f>
        <v>0</v>
      </c>
      <c r="O105" t="str">
        <f t="shared" ca="1" si="1"/>
        <v>Attention Required</v>
      </c>
      <c r="P105">
        <f ca="1">($G105*40)+($H105*30)+($I105*10)+($N105*50)+IF($L105&gt;0,20,0)</f>
        <v>0</v>
      </c>
      <c r="Q105">
        <f ca="1">E105*(P105/100)</f>
        <v>0</v>
      </c>
      <c r="R105">
        <f ca="1">_xlfn.RANK.EQ($Q105,$Q$2:$Q$401,0)</f>
        <v>180</v>
      </c>
    </row>
    <row r="106" spans="1:18">
      <c r="A106" t="str" cm="1">
        <f t="array" ref="A106">_xlfn._xlws.SORT(Vendor_Master!A106)</f>
        <v>VND-105</v>
      </c>
      <c r="B106" t="str">
        <f>_xlfn.XLOOKUP(Compliance_Sheet!A106,Vendor_Master!A106,Vendor_Master!B106,"")</f>
        <v>Vendor_105</v>
      </c>
      <c r="C106" t="str">
        <f>_xlfn.XLOOKUP(A106,Vendor_Master!A106,Vendor_Master!C106,"")</f>
        <v>Rail Services</v>
      </c>
      <c r="D106" t="str">
        <f>_xlfn.XLOOKUP(A106,Vendor_Master!A106,Vendor_Master!D106,"")</f>
        <v>South</v>
      </c>
      <c r="E106">
        <f>_xlfn.XLOOKUP(A106,Vendor_Master!A106,Vendor_Master!E106,0)</f>
        <v>669639</v>
      </c>
      <c r="F106" t="str">
        <f>_xlfn.XLOOKUP(A106,Vendor_Master!A106,Vendor_Master!H106,"")</f>
        <v>contact105@vendor.com</v>
      </c>
      <c r="G106">
        <f ca="1">COUNTIFS(Sustainability_Documents!$A:$A,$A106,Sustainability_Documents!$H:$H,"Missing")</f>
        <v>0</v>
      </c>
      <c r="H106">
        <f ca="1">COUNTIFS(Sustainability_Documents!$A:$A,$A106,Sustainability_Documents!$H:$H,"Expired")</f>
        <v>0</v>
      </c>
      <c r="I106">
        <f ca="1">COUNTIFS(Sustainability_Documents!$A:$A,$A106,Sustainability_Documents!$H:$H,"Expiring Soon")</f>
        <v>0</v>
      </c>
      <c r="J106">
        <f>COUNTIFS(Sustainability_Documents!$A:$A,$A106,Sustainability_Documents!$C:$C,"Yes")</f>
        <v>4</v>
      </c>
      <c r="K106">
        <f ca="1">IF($J106=0,"",($J106-$G106-$H106)/$J106)</f>
        <v>1</v>
      </c>
      <c r="L106">
        <f>COUNTIFS(OutReach_Log!$A:$A,$A106,OutReach_Log!$G:$G,"Yes")</f>
        <v>0</v>
      </c>
      <c r="M106">
        <f>COUNTIFS(OutReach_Log!$A:$A,$A106,OutReach_Log!$E:$E,"Pending")
 +COUNTIFS(OutReach_Log!$A:$A,$A106,OutReach_Log!$E:$E,"Escalated")</f>
        <v>0</v>
      </c>
      <c r="N106">
        <f>COUNTIFS(Incident_Log!$A:$A,$A106,Incident_Log!$C:$C,"High",Incident_Log!$E:$E,"No")</f>
        <v>0</v>
      </c>
      <c r="O106" t="str">
        <f t="shared" ca="1" si="1"/>
        <v>Attention Required</v>
      </c>
      <c r="P106">
        <f ca="1">($G106*40)+($H106*30)+($I106*10)+($N106*50)+IF($L106&gt;0,20,0)</f>
        <v>0</v>
      </c>
      <c r="Q106">
        <f ca="1">E106*(P106/100)</f>
        <v>0</v>
      </c>
      <c r="R106">
        <f ca="1">_xlfn.RANK.EQ($Q106,$Q$2:$Q$401,0)</f>
        <v>180</v>
      </c>
    </row>
    <row r="107" spans="1:18">
      <c r="A107" t="str" cm="1">
        <f t="array" ref="A107">_xlfn._xlws.SORT(Vendor_Master!A107)</f>
        <v>VND-106</v>
      </c>
      <c r="B107" t="str">
        <f>_xlfn.XLOOKUP(Compliance_Sheet!A107,Vendor_Master!A107,Vendor_Master!B107,"")</f>
        <v>Vendor_106</v>
      </c>
      <c r="C107" t="str">
        <f>_xlfn.XLOOKUP(A107,Vendor_Master!A107,Vendor_Master!C107,"")</f>
        <v>Rail Services</v>
      </c>
      <c r="D107" t="str">
        <f>_xlfn.XLOOKUP(A107,Vendor_Master!A107,Vendor_Master!D107,"")</f>
        <v>South</v>
      </c>
      <c r="E107">
        <f>_xlfn.XLOOKUP(A107,Vendor_Master!A107,Vendor_Master!E107,0)</f>
        <v>576400</v>
      </c>
      <c r="F107" t="str">
        <f>_xlfn.XLOOKUP(A107,Vendor_Master!A107,Vendor_Master!H107,"")</f>
        <v>contact106@vendor.com</v>
      </c>
      <c r="G107">
        <f ca="1">COUNTIFS(Sustainability_Documents!$A:$A,$A107,Sustainability_Documents!$H:$H,"Missing")</f>
        <v>0</v>
      </c>
      <c r="H107">
        <f ca="1">COUNTIFS(Sustainability_Documents!$A:$A,$A107,Sustainability_Documents!$H:$H,"Expired")</f>
        <v>0</v>
      </c>
      <c r="I107">
        <f ca="1">COUNTIFS(Sustainability_Documents!$A:$A,$A107,Sustainability_Documents!$H:$H,"Expiring Soon")</f>
        <v>0</v>
      </c>
      <c r="J107">
        <f>COUNTIFS(Sustainability_Documents!$A:$A,$A107,Sustainability_Documents!$C:$C,"Yes")</f>
        <v>4</v>
      </c>
      <c r="K107">
        <f ca="1">IF($J107=0,"",($J107-$G107-$H107)/$J107)</f>
        <v>1</v>
      </c>
      <c r="L107">
        <f>COUNTIFS(OutReach_Log!$A:$A,$A107,OutReach_Log!$G:$G,"Yes")</f>
        <v>0</v>
      </c>
      <c r="M107">
        <f>COUNTIFS(OutReach_Log!$A:$A,$A107,OutReach_Log!$E:$E,"Pending")
 +COUNTIFS(OutReach_Log!$A:$A,$A107,OutReach_Log!$E:$E,"Escalated")</f>
        <v>0</v>
      </c>
      <c r="N107">
        <f>COUNTIFS(Incident_Log!$A:$A,$A107,Incident_Log!$C:$C,"High",Incident_Log!$E:$E,"No")</f>
        <v>0</v>
      </c>
      <c r="O107" t="str">
        <f t="shared" ca="1" si="1"/>
        <v>Attention Required</v>
      </c>
      <c r="P107">
        <f ca="1">($G107*40)+($H107*30)+($I107*10)+($N107*50)+IF($L107&gt;0,20,0)</f>
        <v>0</v>
      </c>
      <c r="Q107">
        <f ca="1">E107*(P107/100)</f>
        <v>0</v>
      </c>
      <c r="R107">
        <f ca="1">_xlfn.RANK.EQ($Q107,$Q$2:$Q$401,0)</f>
        <v>180</v>
      </c>
    </row>
    <row r="108" spans="1:18">
      <c r="A108" t="str" cm="1">
        <f t="array" ref="A108">_xlfn._xlws.SORT(Vendor_Master!A108)</f>
        <v>VND-107</v>
      </c>
      <c r="B108" t="str">
        <f>_xlfn.XLOOKUP(Compliance_Sheet!A108,Vendor_Master!A108,Vendor_Master!B108,"")</f>
        <v>Vendor_107</v>
      </c>
      <c r="C108" t="str">
        <f>_xlfn.XLOOKUP(A108,Vendor_Master!A108,Vendor_Master!C108,"")</f>
        <v>Rail Services</v>
      </c>
      <c r="D108" t="str">
        <f>_xlfn.XLOOKUP(A108,Vendor_Master!A108,Vendor_Master!D108,"")</f>
        <v>South</v>
      </c>
      <c r="E108">
        <f>_xlfn.XLOOKUP(A108,Vendor_Master!A108,Vendor_Master!E108,0)</f>
        <v>559844</v>
      </c>
      <c r="F108" t="str">
        <f>_xlfn.XLOOKUP(A108,Vendor_Master!A108,Vendor_Master!H108,"")</f>
        <v>contact107@vendor.com</v>
      </c>
      <c r="G108">
        <f ca="1">COUNTIFS(Sustainability_Documents!$A:$A,$A108,Sustainability_Documents!$H:$H,"Missing")</f>
        <v>0</v>
      </c>
      <c r="H108">
        <f ca="1">COUNTIFS(Sustainability_Documents!$A:$A,$A108,Sustainability_Documents!$H:$H,"Expired")</f>
        <v>0</v>
      </c>
      <c r="I108">
        <f ca="1">COUNTIFS(Sustainability_Documents!$A:$A,$A108,Sustainability_Documents!$H:$H,"Expiring Soon")</f>
        <v>0</v>
      </c>
      <c r="J108">
        <f>COUNTIFS(Sustainability_Documents!$A:$A,$A108,Sustainability_Documents!$C:$C,"Yes")</f>
        <v>4</v>
      </c>
      <c r="K108">
        <f ca="1">IF($J108=0,"",($J108-$G108-$H108)/$J108)</f>
        <v>1</v>
      </c>
      <c r="L108">
        <f>COUNTIFS(OutReach_Log!$A:$A,$A108,OutReach_Log!$G:$G,"Yes")</f>
        <v>0</v>
      </c>
      <c r="M108">
        <f>COUNTIFS(OutReach_Log!$A:$A,$A108,OutReach_Log!$E:$E,"Pending")
 +COUNTIFS(OutReach_Log!$A:$A,$A108,OutReach_Log!$E:$E,"Escalated")</f>
        <v>0</v>
      </c>
      <c r="N108">
        <f>COUNTIFS(Incident_Log!$A:$A,$A108,Incident_Log!$C:$C,"High",Incident_Log!$E:$E,"No")</f>
        <v>0</v>
      </c>
      <c r="O108" t="str">
        <f t="shared" ca="1" si="1"/>
        <v>Attention Required</v>
      </c>
      <c r="P108">
        <f ca="1">($G108*40)+($H108*30)+($I108*10)+($N108*50)+IF($L108&gt;0,20,0)</f>
        <v>0</v>
      </c>
      <c r="Q108">
        <f ca="1">E108*(P108/100)</f>
        <v>0</v>
      </c>
      <c r="R108">
        <f ca="1">_xlfn.RANK.EQ($Q108,$Q$2:$Q$401,0)</f>
        <v>180</v>
      </c>
    </row>
    <row r="109" spans="1:18">
      <c r="A109" t="str" cm="1">
        <f t="array" ref="A109">_xlfn._xlws.SORT(Vendor_Master!A109)</f>
        <v>VND-108</v>
      </c>
      <c r="B109" t="str">
        <f>_xlfn.XLOOKUP(Compliance_Sheet!A109,Vendor_Master!A109,Vendor_Master!B109,"")</f>
        <v>Vendor_108</v>
      </c>
      <c r="C109" t="str">
        <f>_xlfn.XLOOKUP(A109,Vendor_Master!A109,Vendor_Master!C109,"")</f>
        <v>Rail Services</v>
      </c>
      <c r="D109" t="str">
        <f>_xlfn.XLOOKUP(A109,Vendor_Master!A109,Vendor_Master!D109,"")</f>
        <v>South</v>
      </c>
      <c r="E109">
        <f>_xlfn.XLOOKUP(A109,Vendor_Master!A109,Vendor_Master!E109,0)</f>
        <v>609032</v>
      </c>
      <c r="F109" t="str">
        <f>_xlfn.XLOOKUP(A109,Vendor_Master!A109,Vendor_Master!H109,"")</f>
        <v>contact108@vendor.com</v>
      </c>
      <c r="G109">
        <f ca="1">COUNTIFS(Sustainability_Documents!$A:$A,$A109,Sustainability_Documents!$H:$H,"Missing")</f>
        <v>0</v>
      </c>
      <c r="H109">
        <f ca="1">COUNTIFS(Sustainability_Documents!$A:$A,$A109,Sustainability_Documents!$H:$H,"Expired")</f>
        <v>0</v>
      </c>
      <c r="I109">
        <f ca="1">COUNTIFS(Sustainability_Documents!$A:$A,$A109,Sustainability_Documents!$H:$H,"Expiring Soon")</f>
        <v>0</v>
      </c>
      <c r="J109">
        <f>COUNTIFS(Sustainability_Documents!$A:$A,$A109,Sustainability_Documents!$C:$C,"Yes")</f>
        <v>4</v>
      </c>
      <c r="K109">
        <f ca="1">IF($J109=0,"",($J109-$G109-$H109)/$J109)</f>
        <v>1</v>
      </c>
      <c r="L109">
        <f>COUNTIFS(OutReach_Log!$A:$A,$A109,OutReach_Log!$G:$G,"Yes")</f>
        <v>0</v>
      </c>
      <c r="M109">
        <f>COUNTIFS(OutReach_Log!$A:$A,$A109,OutReach_Log!$E:$E,"Pending")
 +COUNTIFS(OutReach_Log!$A:$A,$A109,OutReach_Log!$E:$E,"Escalated")</f>
        <v>0</v>
      </c>
      <c r="N109">
        <f>COUNTIFS(Incident_Log!$A:$A,$A109,Incident_Log!$C:$C,"High",Incident_Log!$E:$E,"No")</f>
        <v>0</v>
      </c>
      <c r="O109" t="str">
        <f t="shared" ca="1" si="1"/>
        <v>Attention Required</v>
      </c>
      <c r="P109">
        <f ca="1">($G109*40)+($H109*30)+($I109*10)+($N109*50)+IF($L109&gt;0,20,0)</f>
        <v>0</v>
      </c>
      <c r="Q109">
        <f ca="1">E109*(P109/100)</f>
        <v>0</v>
      </c>
      <c r="R109">
        <f ca="1">_xlfn.RANK.EQ($Q109,$Q$2:$Q$401,0)</f>
        <v>180</v>
      </c>
    </row>
    <row r="110" spans="1:18">
      <c r="A110" t="str" cm="1">
        <f t="array" ref="A110">_xlfn._xlws.SORT(Vendor_Master!A110)</f>
        <v>VND-109</v>
      </c>
      <c r="B110" t="str">
        <f>_xlfn.XLOOKUP(Compliance_Sheet!A110,Vendor_Master!A110,Vendor_Master!B110,"")</f>
        <v>Vendor_109</v>
      </c>
      <c r="C110" t="str">
        <f>_xlfn.XLOOKUP(A110,Vendor_Master!A110,Vendor_Master!C110,"")</f>
        <v>Rail Services</v>
      </c>
      <c r="D110" t="str">
        <f>_xlfn.XLOOKUP(A110,Vendor_Master!A110,Vendor_Master!D110,"")</f>
        <v>South</v>
      </c>
      <c r="E110">
        <f>_xlfn.XLOOKUP(A110,Vendor_Master!A110,Vendor_Master!E110,0)</f>
        <v>431660</v>
      </c>
      <c r="F110" t="str">
        <f>_xlfn.XLOOKUP(A110,Vendor_Master!A110,Vendor_Master!H110,"")</f>
        <v>contact109@vendor.com</v>
      </c>
      <c r="G110">
        <f ca="1">COUNTIFS(Sustainability_Documents!$A:$A,$A110,Sustainability_Documents!$H:$H,"Missing")</f>
        <v>0</v>
      </c>
      <c r="H110">
        <f ca="1">COUNTIFS(Sustainability_Documents!$A:$A,$A110,Sustainability_Documents!$H:$H,"Expired")</f>
        <v>0</v>
      </c>
      <c r="I110">
        <f ca="1">COUNTIFS(Sustainability_Documents!$A:$A,$A110,Sustainability_Documents!$H:$H,"Expiring Soon")</f>
        <v>0</v>
      </c>
      <c r="J110">
        <f>COUNTIFS(Sustainability_Documents!$A:$A,$A110,Sustainability_Documents!$C:$C,"Yes")</f>
        <v>4</v>
      </c>
      <c r="K110">
        <f ca="1">IF($J110=0,"",($J110-$G110-$H110)/$J110)</f>
        <v>1</v>
      </c>
      <c r="L110">
        <f>COUNTIFS(OutReach_Log!$A:$A,$A110,OutReach_Log!$G:$G,"Yes")</f>
        <v>0</v>
      </c>
      <c r="M110">
        <f>COUNTIFS(OutReach_Log!$A:$A,$A110,OutReach_Log!$E:$E,"Pending")
 +COUNTIFS(OutReach_Log!$A:$A,$A110,OutReach_Log!$E:$E,"Escalated")</f>
        <v>0</v>
      </c>
      <c r="N110">
        <f>COUNTIFS(Incident_Log!$A:$A,$A110,Incident_Log!$C:$C,"High",Incident_Log!$E:$E,"No")</f>
        <v>0</v>
      </c>
      <c r="O110" t="str">
        <f t="shared" ca="1" si="1"/>
        <v>Attention Required</v>
      </c>
      <c r="P110">
        <f ca="1">($G110*40)+($H110*30)+($I110*10)+($N110*50)+IF($L110&gt;0,20,0)</f>
        <v>0</v>
      </c>
      <c r="Q110">
        <f ca="1">E110*(P110/100)</f>
        <v>0</v>
      </c>
      <c r="R110">
        <f ca="1">_xlfn.RANK.EQ($Q110,$Q$2:$Q$401,0)</f>
        <v>180</v>
      </c>
    </row>
    <row r="111" spans="1:18">
      <c r="A111" t="str" cm="1">
        <f t="array" ref="A111">_xlfn._xlws.SORT(Vendor_Master!A111)</f>
        <v>VND-110</v>
      </c>
      <c r="B111" t="str">
        <f>_xlfn.XLOOKUP(Compliance_Sheet!A111,Vendor_Master!A111,Vendor_Master!B111,"")</f>
        <v>Vendor_110</v>
      </c>
      <c r="C111" t="str">
        <f>_xlfn.XLOOKUP(A111,Vendor_Master!A111,Vendor_Master!C111,"")</f>
        <v>Rail Services</v>
      </c>
      <c r="D111" t="str">
        <f>_xlfn.XLOOKUP(A111,Vendor_Master!A111,Vendor_Master!D111,"")</f>
        <v>South</v>
      </c>
      <c r="E111">
        <f>_xlfn.XLOOKUP(A111,Vendor_Master!A111,Vendor_Master!E111,0)</f>
        <v>737991</v>
      </c>
      <c r="F111" t="str">
        <f>_xlfn.XLOOKUP(A111,Vendor_Master!A111,Vendor_Master!H111,"")</f>
        <v>contact110@vendor.com</v>
      </c>
      <c r="G111">
        <f ca="1">COUNTIFS(Sustainability_Documents!$A:$A,$A111,Sustainability_Documents!$H:$H,"Missing")</f>
        <v>0</v>
      </c>
      <c r="H111">
        <f ca="1">COUNTIFS(Sustainability_Documents!$A:$A,$A111,Sustainability_Documents!$H:$H,"Expired")</f>
        <v>0</v>
      </c>
      <c r="I111">
        <f ca="1">COUNTIFS(Sustainability_Documents!$A:$A,$A111,Sustainability_Documents!$H:$H,"Expiring Soon")</f>
        <v>0</v>
      </c>
      <c r="J111">
        <f>COUNTIFS(Sustainability_Documents!$A:$A,$A111,Sustainability_Documents!$C:$C,"Yes")</f>
        <v>4</v>
      </c>
      <c r="K111">
        <f ca="1">IF($J111=0,"",($J111-$G111-$H111)/$J111)</f>
        <v>1</v>
      </c>
      <c r="L111">
        <f>COUNTIFS(OutReach_Log!$A:$A,$A111,OutReach_Log!$G:$G,"Yes")</f>
        <v>0</v>
      </c>
      <c r="M111">
        <f>COUNTIFS(OutReach_Log!$A:$A,$A111,OutReach_Log!$E:$E,"Pending")
 +COUNTIFS(OutReach_Log!$A:$A,$A111,OutReach_Log!$E:$E,"Escalated")</f>
        <v>0</v>
      </c>
      <c r="N111">
        <f>COUNTIFS(Incident_Log!$A:$A,$A111,Incident_Log!$C:$C,"High",Incident_Log!$E:$E,"No")</f>
        <v>0</v>
      </c>
      <c r="O111" t="str">
        <f t="shared" ca="1" si="1"/>
        <v>Attention Required</v>
      </c>
      <c r="P111">
        <f ca="1">($G111*40)+($H111*30)+($I111*10)+($N111*50)+IF($L111&gt;0,20,0)</f>
        <v>0</v>
      </c>
      <c r="Q111">
        <f ca="1">E111*(P111/100)</f>
        <v>0</v>
      </c>
      <c r="R111">
        <f ca="1">_xlfn.RANK.EQ($Q111,$Q$2:$Q$401,0)</f>
        <v>180</v>
      </c>
    </row>
    <row r="112" spans="1:18">
      <c r="A112" t="str" cm="1">
        <f t="array" ref="A112">_xlfn._xlws.SORT(Vendor_Master!A112)</f>
        <v>VND-111</v>
      </c>
      <c r="B112" t="str">
        <f>_xlfn.XLOOKUP(Compliance_Sheet!A112,Vendor_Master!A112,Vendor_Master!B112,"")</f>
        <v>Vendor_111</v>
      </c>
      <c r="C112" t="str">
        <f>_xlfn.XLOOKUP(A112,Vendor_Master!A112,Vendor_Master!C112,"")</f>
        <v>Rail Services</v>
      </c>
      <c r="D112" t="str">
        <f>_xlfn.XLOOKUP(A112,Vendor_Master!A112,Vendor_Master!D112,"")</f>
        <v>South</v>
      </c>
      <c r="E112">
        <f>_xlfn.XLOOKUP(A112,Vendor_Master!A112,Vendor_Master!E112,0)</f>
        <v>870055</v>
      </c>
      <c r="F112" t="str">
        <f>_xlfn.XLOOKUP(A112,Vendor_Master!A112,Vendor_Master!H112,"")</f>
        <v>contact111@vendor.com</v>
      </c>
      <c r="G112">
        <f ca="1">COUNTIFS(Sustainability_Documents!$A:$A,$A112,Sustainability_Documents!$H:$H,"Missing")</f>
        <v>0</v>
      </c>
      <c r="H112">
        <f ca="1">COUNTIFS(Sustainability_Documents!$A:$A,$A112,Sustainability_Documents!$H:$H,"Expired")</f>
        <v>0</v>
      </c>
      <c r="I112">
        <f ca="1">COUNTIFS(Sustainability_Documents!$A:$A,$A112,Sustainability_Documents!$H:$H,"Expiring Soon")</f>
        <v>0</v>
      </c>
      <c r="J112">
        <f>COUNTIFS(Sustainability_Documents!$A:$A,$A112,Sustainability_Documents!$C:$C,"Yes")</f>
        <v>4</v>
      </c>
      <c r="K112">
        <f ca="1">IF($J112=0,"",($J112-$G112-$H112)/$J112)</f>
        <v>1</v>
      </c>
      <c r="L112">
        <f>COUNTIFS(OutReach_Log!$A:$A,$A112,OutReach_Log!$G:$G,"Yes")</f>
        <v>0</v>
      </c>
      <c r="M112">
        <f>COUNTIFS(OutReach_Log!$A:$A,$A112,OutReach_Log!$E:$E,"Pending")
 +COUNTIFS(OutReach_Log!$A:$A,$A112,OutReach_Log!$E:$E,"Escalated")</f>
        <v>0</v>
      </c>
      <c r="N112">
        <f>COUNTIFS(Incident_Log!$A:$A,$A112,Incident_Log!$C:$C,"High",Incident_Log!$E:$E,"No")</f>
        <v>0</v>
      </c>
      <c r="O112" t="str">
        <f t="shared" ca="1" si="1"/>
        <v>Attention Required</v>
      </c>
      <c r="P112">
        <f ca="1">($G112*40)+($H112*30)+($I112*10)+($N112*50)+IF($L112&gt;0,20,0)</f>
        <v>0</v>
      </c>
      <c r="Q112">
        <f ca="1">E112*(P112/100)</f>
        <v>0</v>
      </c>
      <c r="R112">
        <f ca="1">_xlfn.RANK.EQ($Q112,$Q$2:$Q$401,0)</f>
        <v>180</v>
      </c>
    </row>
    <row r="113" spans="1:18">
      <c r="A113" t="str" cm="1">
        <f t="array" ref="A113">_xlfn._xlws.SORT(Vendor_Master!A113)</f>
        <v>VND-112</v>
      </c>
      <c r="B113" t="str">
        <f>_xlfn.XLOOKUP(Compliance_Sheet!A113,Vendor_Master!A113,Vendor_Master!B113,"")</f>
        <v>Vendor_112</v>
      </c>
      <c r="C113" t="str">
        <f>_xlfn.XLOOKUP(A113,Vendor_Master!A113,Vendor_Master!C113,"")</f>
        <v>Rail Services</v>
      </c>
      <c r="D113" t="str">
        <f>_xlfn.XLOOKUP(A113,Vendor_Master!A113,Vendor_Master!D113,"")</f>
        <v>South</v>
      </c>
      <c r="E113">
        <f>_xlfn.XLOOKUP(A113,Vendor_Master!A113,Vendor_Master!E113,0)</f>
        <v>571701</v>
      </c>
      <c r="F113" t="str">
        <f>_xlfn.XLOOKUP(A113,Vendor_Master!A113,Vendor_Master!H113,"")</f>
        <v>contact112@vendor.com</v>
      </c>
      <c r="G113">
        <f ca="1">COUNTIFS(Sustainability_Documents!$A:$A,$A113,Sustainability_Documents!$H:$H,"Missing")</f>
        <v>0</v>
      </c>
      <c r="H113">
        <f ca="1">COUNTIFS(Sustainability_Documents!$A:$A,$A113,Sustainability_Documents!$H:$H,"Expired")</f>
        <v>0</v>
      </c>
      <c r="I113">
        <f ca="1">COUNTIFS(Sustainability_Documents!$A:$A,$A113,Sustainability_Documents!$H:$H,"Expiring Soon")</f>
        <v>0</v>
      </c>
      <c r="J113">
        <f>COUNTIFS(Sustainability_Documents!$A:$A,$A113,Sustainability_Documents!$C:$C,"Yes")</f>
        <v>4</v>
      </c>
      <c r="K113">
        <f ca="1">IF($J113=0,"",($J113-$G113-$H113)/$J113)</f>
        <v>1</v>
      </c>
      <c r="L113">
        <f>COUNTIFS(OutReach_Log!$A:$A,$A113,OutReach_Log!$G:$G,"Yes")</f>
        <v>0</v>
      </c>
      <c r="M113">
        <f>COUNTIFS(OutReach_Log!$A:$A,$A113,OutReach_Log!$E:$E,"Pending")
 +COUNTIFS(OutReach_Log!$A:$A,$A113,OutReach_Log!$E:$E,"Escalated")</f>
        <v>0</v>
      </c>
      <c r="N113">
        <f>COUNTIFS(Incident_Log!$A:$A,$A113,Incident_Log!$C:$C,"High",Incident_Log!$E:$E,"No")</f>
        <v>0</v>
      </c>
      <c r="O113" t="str">
        <f t="shared" ca="1" si="1"/>
        <v>Attention Required</v>
      </c>
      <c r="P113">
        <f ca="1">($G113*40)+($H113*30)+($I113*10)+($N113*50)+IF($L113&gt;0,20,0)</f>
        <v>0</v>
      </c>
      <c r="Q113">
        <f ca="1">E113*(P113/100)</f>
        <v>0</v>
      </c>
      <c r="R113">
        <f ca="1">_xlfn.RANK.EQ($Q113,$Q$2:$Q$401,0)</f>
        <v>180</v>
      </c>
    </row>
    <row r="114" spans="1:18">
      <c r="A114" t="str" cm="1">
        <f t="array" ref="A114">_xlfn._xlws.SORT(Vendor_Master!A114)</f>
        <v>VND-113</v>
      </c>
      <c r="B114" t="str">
        <f>_xlfn.XLOOKUP(Compliance_Sheet!A114,Vendor_Master!A114,Vendor_Master!B114,"")</f>
        <v>Vendor_113</v>
      </c>
      <c r="C114" t="str">
        <f>_xlfn.XLOOKUP(A114,Vendor_Master!A114,Vendor_Master!C114,"")</f>
        <v>Rail Services</v>
      </c>
      <c r="D114" t="str">
        <f>_xlfn.XLOOKUP(A114,Vendor_Master!A114,Vendor_Master!D114,"")</f>
        <v>South</v>
      </c>
      <c r="E114">
        <f>_xlfn.XLOOKUP(A114,Vendor_Master!A114,Vendor_Master!E114,0)</f>
        <v>606756</v>
      </c>
      <c r="F114" t="str">
        <f>_xlfn.XLOOKUP(A114,Vendor_Master!A114,Vendor_Master!H114,"")</f>
        <v>contact113@vendor.com</v>
      </c>
      <c r="G114">
        <f ca="1">COUNTIFS(Sustainability_Documents!$A:$A,$A114,Sustainability_Documents!$H:$H,"Missing")</f>
        <v>0</v>
      </c>
      <c r="H114">
        <f ca="1">COUNTIFS(Sustainability_Documents!$A:$A,$A114,Sustainability_Documents!$H:$H,"Expired")</f>
        <v>0</v>
      </c>
      <c r="I114">
        <f ca="1">COUNTIFS(Sustainability_Documents!$A:$A,$A114,Sustainability_Documents!$H:$H,"Expiring Soon")</f>
        <v>0</v>
      </c>
      <c r="J114">
        <f>COUNTIFS(Sustainability_Documents!$A:$A,$A114,Sustainability_Documents!$C:$C,"Yes")</f>
        <v>4</v>
      </c>
      <c r="K114">
        <f ca="1">IF($J114=0,"",($J114-$G114-$H114)/$J114)</f>
        <v>1</v>
      </c>
      <c r="L114">
        <f>COUNTIFS(OutReach_Log!$A:$A,$A114,OutReach_Log!$G:$G,"Yes")</f>
        <v>0</v>
      </c>
      <c r="M114">
        <f>COUNTIFS(OutReach_Log!$A:$A,$A114,OutReach_Log!$E:$E,"Pending")
 +COUNTIFS(OutReach_Log!$A:$A,$A114,OutReach_Log!$E:$E,"Escalated")</f>
        <v>0</v>
      </c>
      <c r="N114">
        <f>COUNTIFS(Incident_Log!$A:$A,$A114,Incident_Log!$C:$C,"High",Incident_Log!$E:$E,"No")</f>
        <v>0</v>
      </c>
      <c r="O114" t="str">
        <f t="shared" ca="1" si="1"/>
        <v>Attention Required</v>
      </c>
      <c r="P114">
        <f ca="1">($G114*40)+($H114*30)+($I114*10)+($N114*50)+IF($L114&gt;0,20,0)</f>
        <v>0</v>
      </c>
      <c r="Q114">
        <f ca="1">E114*(P114/100)</f>
        <v>0</v>
      </c>
      <c r="R114">
        <f ca="1">_xlfn.RANK.EQ($Q114,$Q$2:$Q$401,0)</f>
        <v>180</v>
      </c>
    </row>
    <row r="115" spans="1:18">
      <c r="A115" t="str" cm="1">
        <f t="array" ref="A115">_xlfn._xlws.SORT(Vendor_Master!A115)</f>
        <v>VND-114</v>
      </c>
      <c r="B115" t="str">
        <f>_xlfn.XLOOKUP(Compliance_Sheet!A115,Vendor_Master!A115,Vendor_Master!B115,"")</f>
        <v>Vendor_114</v>
      </c>
      <c r="C115" t="str">
        <f>_xlfn.XLOOKUP(A115,Vendor_Master!A115,Vendor_Master!C115,"")</f>
        <v>Rail Services</v>
      </c>
      <c r="D115" t="str">
        <f>_xlfn.XLOOKUP(A115,Vendor_Master!A115,Vendor_Master!D115,"")</f>
        <v>South</v>
      </c>
      <c r="E115">
        <f>_xlfn.XLOOKUP(A115,Vendor_Master!A115,Vendor_Master!E115,0)</f>
        <v>629494</v>
      </c>
      <c r="F115" t="str">
        <f>_xlfn.XLOOKUP(A115,Vendor_Master!A115,Vendor_Master!H115,"")</f>
        <v>contact114@vendor.com</v>
      </c>
      <c r="G115">
        <f ca="1">COUNTIFS(Sustainability_Documents!$A:$A,$A115,Sustainability_Documents!$H:$H,"Missing")</f>
        <v>0</v>
      </c>
      <c r="H115">
        <f ca="1">COUNTIFS(Sustainability_Documents!$A:$A,$A115,Sustainability_Documents!$H:$H,"Expired")</f>
        <v>0</v>
      </c>
      <c r="I115">
        <f ca="1">COUNTIFS(Sustainability_Documents!$A:$A,$A115,Sustainability_Documents!$H:$H,"Expiring Soon")</f>
        <v>0</v>
      </c>
      <c r="J115">
        <f>COUNTIFS(Sustainability_Documents!$A:$A,$A115,Sustainability_Documents!$C:$C,"Yes")</f>
        <v>4</v>
      </c>
      <c r="K115">
        <f ca="1">IF($J115=0,"",($J115-$G115-$H115)/$J115)</f>
        <v>1</v>
      </c>
      <c r="L115">
        <f>COUNTIFS(OutReach_Log!$A:$A,$A115,OutReach_Log!$G:$G,"Yes")</f>
        <v>0</v>
      </c>
      <c r="M115">
        <f>COUNTIFS(OutReach_Log!$A:$A,$A115,OutReach_Log!$E:$E,"Pending")
 +COUNTIFS(OutReach_Log!$A:$A,$A115,OutReach_Log!$E:$E,"Escalated")</f>
        <v>0</v>
      </c>
      <c r="N115">
        <f>COUNTIFS(Incident_Log!$A:$A,$A115,Incident_Log!$C:$C,"High",Incident_Log!$E:$E,"No")</f>
        <v>0</v>
      </c>
      <c r="O115" t="str">
        <f t="shared" ca="1" si="1"/>
        <v>Attention Required</v>
      </c>
      <c r="P115">
        <f ca="1">($G115*40)+($H115*30)+($I115*10)+($N115*50)+IF($L115&gt;0,20,0)</f>
        <v>0</v>
      </c>
      <c r="Q115">
        <f ca="1">E115*(P115/100)</f>
        <v>0</v>
      </c>
      <c r="R115">
        <f ca="1">_xlfn.RANK.EQ($Q115,$Q$2:$Q$401,0)</f>
        <v>180</v>
      </c>
    </row>
    <row r="116" spans="1:18">
      <c r="A116" t="str" cm="1">
        <f t="array" ref="A116">_xlfn._xlws.SORT(Vendor_Master!A116)</f>
        <v>VND-115</v>
      </c>
      <c r="B116" t="str">
        <f>_xlfn.XLOOKUP(Compliance_Sheet!A116,Vendor_Master!A116,Vendor_Master!B116,"")</f>
        <v>Vendor_115</v>
      </c>
      <c r="C116" t="str">
        <f>_xlfn.XLOOKUP(A116,Vendor_Master!A116,Vendor_Master!C116,"")</f>
        <v>Rail Services</v>
      </c>
      <c r="D116" t="str">
        <f>_xlfn.XLOOKUP(A116,Vendor_Master!A116,Vendor_Master!D116,"")</f>
        <v>South</v>
      </c>
      <c r="E116">
        <f>_xlfn.XLOOKUP(A116,Vendor_Master!A116,Vendor_Master!E116,0)</f>
        <v>832133</v>
      </c>
      <c r="F116" t="str">
        <f>_xlfn.XLOOKUP(A116,Vendor_Master!A116,Vendor_Master!H116,"")</f>
        <v>contact115@vendor.com</v>
      </c>
      <c r="G116">
        <f ca="1">COUNTIFS(Sustainability_Documents!$A:$A,$A116,Sustainability_Documents!$H:$H,"Missing")</f>
        <v>0</v>
      </c>
      <c r="H116">
        <f ca="1">COUNTIFS(Sustainability_Documents!$A:$A,$A116,Sustainability_Documents!$H:$H,"Expired")</f>
        <v>0</v>
      </c>
      <c r="I116">
        <f ca="1">COUNTIFS(Sustainability_Documents!$A:$A,$A116,Sustainability_Documents!$H:$H,"Expiring Soon")</f>
        <v>0</v>
      </c>
      <c r="J116">
        <f>COUNTIFS(Sustainability_Documents!$A:$A,$A116,Sustainability_Documents!$C:$C,"Yes")</f>
        <v>4</v>
      </c>
      <c r="K116">
        <f ca="1">IF($J116=0,"",($J116-$G116-$H116)/$J116)</f>
        <v>1</v>
      </c>
      <c r="L116">
        <f>COUNTIFS(OutReach_Log!$A:$A,$A116,OutReach_Log!$G:$G,"Yes")</f>
        <v>0</v>
      </c>
      <c r="M116">
        <f>COUNTIFS(OutReach_Log!$A:$A,$A116,OutReach_Log!$E:$E,"Pending")
 +COUNTIFS(OutReach_Log!$A:$A,$A116,OutReach_Log!$E:$E,"Escalated")</f>
        <v>0</v>
      </c>
      <c r="N116">
        <f>COUNTIFS(Incident_Log!$A:$A,$A116,Incident_Log!$C:$C,"High",Incident_Log!$E:$E,"No")</f>
        <v>0</v>
      </c>
      <c r="O116" t="str">
        <f t="shared" ca="1" si="1"/>
        <v>Attention Required</v>
      </c>
      <c r="P116">
        <f ca="1">($G116*40)+($H116*30)+($I116*10)+($N116*50)+IF($L116&gt;0,20,0)</f>
        <v>0</v>
      </c>
      <c r="Q116">
        <f ca="1">E116*(P116/100)</f>
        <v>0</v>
      </c>
      <c r="R116">
        <f ca="1">_xlfn.RANK.EQ($Q116,$Q$2:$Q$401,0)</f>
        <v>180</v>
      </c>
    </row>
    <row r="117" spans="1:18">
      <c r="A117" t="str" cm="1">
        <f t="array" ref="A117">_xlfn._xlws.SORT(Vendor_Master!A117)</f>
        <v>VND-116</v>
      </c>
      <c r="B117" t="str">
        <f>_xlfn.XLOOKUP(Compliance_Sheet!A117,Vendor_Master!A117,Vendor_Master!B117,"")</f>
        <v>Vendor_116</v>
      </c>
      <c r="C117" t="str">
        <f>_xlfn.XLOOKUP(A117,Vendor_Master!A117,Vendor_Master!C117,"")</f>
        <v>Rail Services</v>
      </c>
      <c r="D117" t="str">
        <f>_xlfn.XLOOKUP(A117,Vendor_Master!A117,Vendor_Master!D117,"")</f>
        <v>South</v>
      </c>
      <c r="E117">
        <f>_xlfn.XLOOKUP(A117,Vendor_Master!A117,Vendor_Master!E117,0)</f>
        <v>286784</v>
      </c>
      <c r="F117" t="str">
        <f>_xlfn.XLOOKUP(A117,Vendor_Master!A117,Vendor_Master!H117,"")</f>
        <v>contact116@vendor.com</v>
      </c>
      <c r="G117">
        <f ca="1">COUNTIFS(Sustainability_Documents!$A:$A,$A117,Sustainability_Documents!$H:$H,"Missing")</f>
        <v>0</v>
      </c>
      <c r="H117">
        <f ca="1">COUNTIFS(Sustainability_Documents!$A:$A,$A117,Sustainability_Documents!$H:$H,"Expired")</f>
        <v>0</v>
      </c>
      <c r="I117">
        <f ca="1">COUNTIFS(Sustainability_Documents!$A:$A,$A117,Sustainability_Documents!$H:$H,"Expiring Soon")</f>
        <v>0</v>
      </c>
      <c r="J117">
        <f>COUNTIFS(Sustainability_Documents!$A:$A,$A117,Sustainability_Documents!$C:$C,"Yes")</f>
        <v>4</v>
      </c>
      <c r="K117">
        <f ca="1">IF($J117=0,"",($J117-$G117-$H117)/$J117)</f>
        <v>1</v>
      </c>
      <c r="L117">
        <f>COUNTIFS(OutReach_Log!$A:$A,$A117,OutReach_Log!$G:$G,"Yes")</f>
        <v>0</v>
      </c>
      <c r="M117">
        <f>COUNTIFS(OutReach_Log!$A:$A,$A117,OutReach_Log!$E:$E,"Pending")
 +COUNTIFS(OutReach_Log!$A:$A,$A117,OutReach_Log!$E:$E,"Escalated")</f>
        <v>0</v>
      </c>
      <c r="N117">
        <f>COUNTIFS(Incident_Log!$A:$A,$A117,Incident_Log!$C:$C,"High",Incident_Log!$E:$E,"No")</f>
        <v>0</v>
      </c>
      <c r="O117" t="str">
        <f t="shared" ca="1" si="1"/>
        <v>Attention Required</v>
      </c>
      <c r="P117">
        <f ca="1">($G117*40)+($H117*30)+($I117*10)+($N117*50)+IF($L117&gt;0,20,0)</f>
        <v>0</v>
      </c>
      <c r="Q117">
        <f ca="1">E117*(P117/100)</f>
        <v>0</v>
      </c>
      <c r="R117">
        <f ca="1">_xlfn.RANK.EQ($Q117,$Q$2:$Q$401,0)</f>
        <v>180</v>
      </c>
    </row>
    <row r="118" spans="1:18">
      <c r="A118" t="str" cm="1">
        <f t="array" ref="A118">_xlfn._xlws.SORT(Vendor_Master!A118)</f>
        <v>VND-117</v>
      </c>
      <c r="B118" t="str">
        <f>_xlfn.XLOOKUP(Compliance_Sheet!A118,Vendor_Master!A118,Vendor_Master!B118,"")</f>
        <v>Vendor_117</v>
      </c>
      <c r="C118" t="str">
        <f>_xlfn.XLOOKUP(A118,Vendor_Master!A118,Vendor_Master!C118,"")</f>
        <v>Rail Services</v>
      </c>
      <c r="D118" t="str">
        <f>_xlfn.XLOOKUP(A118,Vendor_Master!A118,Vendor_Master!D118,"")</f>
        <v>South</v>
      </c>
      <c r="E118">
        <f>_xlfn.XLOOKUP(A118,Vendor_Master!A118,Vendor_Master!E118,0)</f>
        <v>875558</v>
      </c>
      <c r="F118" t="str">
        <f>_xlfn.XLOOKUP(A118,Vendor_Master!A118,Vendor_Master!H118,"")</f>
        <v>contact117@vendor.com</v>
      </c>
      <c r="G118">
        <f ca="1">COUNTIFS(Sustainability_Documents!$A:$A,$A118,Sustainability_Documents!$H:$H,"Missing")</f>
        <v>0</v>
      </c>
      <c r="H118">
        <f ca="1">COUNTIFS(Sustainability_Documents!$A:$A,$A118,Sustainability_Documents!$H:$H,"Expired")</f>
        <v>0</v>
      </c>
      <c r="I118">
        <f ca="1">COUNTIFS(Sustainability_Documents!$A:$A,$A118,Sustainability_Documents!$H:$H,"Expiring Soon")</f>
        <v>0</v>
      </c>
      <c r="J118">
        <f>COUNTIFS(Sustainability_Documents!$A:$A,$A118,Sustainability_Documents!$C:$C,"Yes")</f>
        <v>4</v>
      </c>
      <c r="K118">
        <f ca="1">IF($J118=0,"",($J118-$G118-$H118)/$J118)</f>
        <v>1</v>
      </c>
      <c r="L118">
        <f>COUNTIFS(OutReach_Log!$A:$A,$A118,OutReach_Log!$G:$G,"Yes")</f>
        <v>0</v>
      </c>
      <c r="M118">
        <f>COUNTIFS(OutReach_Log!$A:$A,$A118,OutReach_Log!$E:$E,"Pending")
 +COUNTIFS(OutReach_Log!$A:$A,$A118,OutReach_Log!$E:$E,"Escalated")</f>
        <v>0</v>
      </c>
      <c r="N118">
        <f>COUNTIFS(Incident_Log!$A:$A,$A118,Incident_Log!$C:$C,"High",Incident_Log!$E:$E,"No")</f>
        <v>0</v>
      </c>
      <c r="O118" t="str">
        <f t="shared" ca="1" si="1"/>
        <v>Attention Required</v>
      </c>
      <c r="P118">
        <f ca="1">($G118*40)+($H118*30)+($I118*10)+($N118*50)+IF($L118&gt;0,20,0)</f>
        <v>0</v>
      </c>
      <c r="Q118">
        <f ca="1">E118*(P118/100)</f>
        <v>0</v>
      </c>
      <c r="R118">
        <f ca="1">_xlfn.RANK.EQ($Q118,$Q$2:$Q$401,0)</f>
        <v>180</v>
      </c>
    </row>
    <row r="119" spans="1:18">
      <c r="A119" t="str" cm="1">
        <f t="array" ref="A119">_xlfn._xlws.SORT(Vendor_Master!A119)</f>
        <v>VND-118</v>
      </c>
      <c r="B119" t="str">
        <f>_xlfn.XLOOKUP(Compliance_Sheet!A119,Vendor_Master!A119,Vendor_Master!B119,"")</f>
        <v>Vendor_118</v>
      </c>
      <c r="C119" t="str">
        <f>_xlfn.XLOOKUP(A119,Vendor_Master!A119,Vendor_Master!C119,"")</f>
        <v>Rail Services</v>
      </c>
      <c r="D119" t="str">
        <f>_xlfn.XLOOKUP(A119,Vendor_Master!A119,Vendor_Master!D119,"")</f>
        <v>South</v>
      </c>
      <c r="E119">
        <f>_xlfn.XLOOKUP(A119,Vendor_Master!A119,Vendor_Master!E119,0)</f>
        <v>941133</v>
      </c>
      <c r="F119" t="str">
        <f>_xlfn.XLOOKUP(A119,Vendor_Master!A119,Vendor_Master!H119,"")</f>
        <v>contact118@vendor.com</v>
      </c>
      <c r="G119">
        <f ca="1">COUNTIFS(Sustainability_Documents!$A:$A,$A119,Sustainability_Documents!$H:$H,"Missing")</f>
        <v>0</v>
      </c>
      <c r="H119">
        <f ca="1">COUNTIFS(Sustainability_Documents!$A:$A,$A119,Sustainability_Documents!$H:$H,"Expired")</f>
        <v>0</v>
      </c>
      <c r="I119">
        <f ca="1">COUNTIFS(Sustainability_Documents!$A:$A,$A119,Sustainability_Documents!$H:$H,"Expiring Soon")</f>
        <v>0</v>
      </c>
      <c r="J119">
        <f>COUNTIFS(Sustainability_Documents!$A:$A,$A119,Sustainability_Documents!$C:$C,"Yes")</f>
        <v>4</v>
      </c>
      <c r="K119">
        <f ca="1">IF($J119=0,"",($J119-$G119-$H119)/$J119)</f>
        <v>1</v>
      </c>
      <c r="L119">
        <f>COUNTIFS(OutReach_Log!$A:$A,$A119,OutReach_Log!$G:$G,"Yes")</f>
        <v>0</v>
      </c>
      <c r="M119">
        <f>COUNTIFS(OutReach_Log!$A:$A,$A119,OutReach_Log!$E:$E,"Pending")
 +COUNTIFS(OutReach_Log!$A:$A,$A119,OutReach_Log!$E:$E,"Escalated")</f>
        <v>0</v>
      </c>
      <c r="N119">
        <f>COUNTIFS(Incident_Log!$A:$A,$A119,Incident_Log!$C:$C,"High",Incident_Log!$E:$E,"No")</f>
        <v>0</v>
      </c>
      <c r="O119" t="str">
        <f t="shared" ca="1" si="1"/>
        <v>Attention Required</v>
      </c>
      <c r="P119">
        <f ca="1">($G119*40)+($H119*30)+($I119*10)+($N119*50)+IF($L119&gt;0,20,0)</f>
        <v>0</v>
      </c>
      <c r="Q119">
        <f ca="1">E119*(P119/100)</f>
        <v>0</v>
      </c>
      <c r="R119">
        <f ca="1">_xlfn.RANK.EQ($Q119,$Q$2:$Q$401,0)</f>
        <v>180</v>
      </c>
    </row>
    <row r="120" spans="1:18">
      <c r="A120" t="str" cm="1">
        <f t="array" ref="A120">_xlfn._xlws.SORT(Vendor_Master!A120)</f>
        <v>VND-119</v>
      </c>
      <c r="B120" t="str">
        <f>_xlfn.XLOOKUP(Compliance_Sheet!A120,Vendor_Master!A120,Vendor_Master!B120,"")</f>
        <v>Vendor_119</v>
      </c>
      <c r="C120" t="str">
        <f>_xlfn.XLOOKUP(A120,Vendor_Master!A120,Vendor_Master!C120,"")</f>
        <v>Rail Services</v>
      </c>
      <c r="D120" t="str">
        <f>_xlfn.XLOOKUP(A120,Vendor_Master!A120,Vendor_Master!D120,"")</f>
        <v>South</v>
      </c>
      <c r="E120">
        <f>_xlfn.XLOOKUP(A120,Vendor_Master!A120,Vendor_Master!E120,0)</f>
        <v>669737</v>
      </c>
      <c r="F120" t="str">
        <f>_xlfn.XLOOKUP(A120,Vendor_Master!A120,Vendor_Master!H120,"")</f>
        <v>contact119@vendor.com</v>
      </c>
      <c r="G120">
        <f ca="1">COUNTIFS(Sustainability_Documents!$A:$A,$A120,Sustainability_Documents!$H:$H,"Missing")</f>
        <v>0</v>
      </c>
      <c r="H120">
        <f ca="1">COUNTIFS(Sustainability_Documents!$A:$A,$A120,Sustainability_Documents!$H:$H,"Expired")</f>
        <v>0</v>
      </c>
      <c r="I120">
        <f ca="1">COUNTIFS(Sustainability_Documents!$A:$A,$A120,Sustainability_Documents!$H:$H,"Expiring Soon")</f>
        <v>0</v>
      </c>
      <c r="J120">
        <f>COUNTIFS(Sustainability_Documents!$A:$A,$A120,Sustainability_Documents!$C:$C,"Yes")</f>
        <v>4</v>
      </c>
      <c r="K120">
        <f ca="1">IF($J120=0,"",($J120-$G120-$H120)/$J120)</f>
        <v>1</v>
      </c>
      <c r="L120">
        <f>COUNTIFS(OutReach_Log!$A:$A,$A120,OutReach_Log!$G:$G,"Yes")</f>
        <v>0</v>
      </c>
      <c r="M120">
        <f>COUNTIFS(OutReach_Log!$A:$A,$A120,OutReach_Log!$E:$E,"Pending")
 +COUNTIFS(OutReach_Log!$A:$A,$A120,OutReach_Log!$E:$E,"Escalated")</f>
        <v>0</v>
      </c>
      <c r="N120">
        <f>COUNTIFS(Incident_Log!$A:$A,$A120,Incident_Log!$C:$C,"High",Incident_Log!$E:$E,"No")</f>
        <v>0</v>
      </c>
      <c r="O120" t="str">
        <f t="shared" ca="1" si="1"/>
        <v>Attention Required</v>
      </c>
      <c r="P120">
        <f ca="1">($G120*40)+($H120*30)+($I120*10)+($N120*50)+IF($L120&gt;0,20,0)</f>
        <v>0</v>
      </c>
      <c r="Q120">
        <f ca="1">E120*(P120/100)</f>
        <v>0</v>
      </c>
      <c r="R120">
        <f ca="1">_xlfn.RANK.EQ($Q120,$Q$2:$Q$401,0)</f>
        <v>180</v>
      </c>
    </row>
    <row r="121" spans="1:18">
      <c r="A121" t="str" cm="1">
        <f t="array" ref="A121">_xlfn._xlws.SORT(Vendor_Master!A121)</f>
        <v>VND-120</v>
      </c>
      <c r="B121" t="str">
        <f>_xlfn.XLOOKUP(Compliance_Sheet!A121,Vendor_Master!A121,Vendor_Master!B121,"")</f>
        <v>Vendor_120</v>
      </c>
      <c r="C121" t="str">
        <f>_xlfn.XLOOKUP(A121,Vendor_Master!A121,Vendor_Master!C121,"")</f>
        <v>Rail Services</v>
      </c>
      <c r="D121" t="str">
        <f>_xlfn.XLOOKUP(A121,Vendor_Master!A121,Vendor_Master!D121,"")</f>
        <v>South</v>
      </c>
      <c r="E121">
        <f>_xlfn.XLOOKUP(A121,Vendor_Master!A121,Vendor_Master!E121,0)</f>
        <v>772560</v>
      </c>
      <c r="F121" t="str">
        <f>_xlfn.XLOOKUP(A121,Vendor_Master!A121,Vendor_Master!H121,"")</f>
        <v>contact120@vendor.com</v>
      </c>
      <c r="G121">
        <f ca="1">COUNTIFS(Sustainability_Documents!$A:$A,$A121,Sustainability_Documents!$H:$H,"Missing")</f>
        <v>0</v>
      </c>
      <c r="H121">
        <f ca="1">COUNTIFS(Sustainability_Documents!$A:$A,$A121,Sustainability_Documents!$H:$H,"Expired")</f>
        <v>0</v>
      </c>
      <c r="I121">
        <f ca="1">COUNTIFS(Sustainability_Documents!$A:$A,$A121,Sustainability_Documents!$H:$H,"Expiring Soon")</f>
        <v>0</v>
      </c>
      <c r="J121">
        <f>COUNTIFS(Sustainability_Documents!$A:$A,$A121,Sustainability_Documents!$C:$C,"Yes")</f>
        <v>4</v>
      </c>
      <c r="K121">
        <f ca="1">IF($J121=0,"",($J121-$G121-$H121)/$J121)</f>
        <v>1</v>
      </c>
      <c r="L121">
        <f>COUNTIFS(OutReach_Log!$A:$A,$A121,OutReach_Log!$G:$G,"Yes")</f>
        <v>0</v>
      </c>
      <c r="M121">
        <f>COUNTIFS(OutReach_Log!$A:$A,$A121,OutReach_Log!$E:$E,"Pending")
 +COUNTIFS(OutReach_Log!$A:$A,$A121,OutReach_Log!$E:$E,"Escalated")</f>
        <v>0</v>
      </c>
      <c r="N121">
        <f>COUNTIFS(Incident_Log!$A:$A,$A121,Incident_Log!$C:$C,"High",Incident_Log!$E:$E,"No")</f>
        <v>0</v>
      </c>
      <c r="O121" t="str">
        <f t="shared" ca="1" si="1"/>
        <v>Attention Required</v>
      </c>
      <c r="P121">
        <f ca="1">($G121*40)+($H121*30)+($I121*10)+($N121*50)+IF($L121&gt;0,20,0)</f>
        <v>0</v>
      </c>
      <c r="Q121">
        <f ca="1">E121*(P121/100)</f>
        <v>0</v>
      </c>
      <c r="R121">
        <f ca="1">_xlfn.RANK.EQ($Q121,$Q$2:$Q$401,0)</f>
        <v>180</v>
      </c>
    </row>
    <row r="122" spans="1:18">
      <c r="A122" t="str" cm="1">
        <f t="array" ref="A122">_xlfn._xlws.SORT(Vendor_Master!A122)</f>
        <v>VND-121</v>
      </c>
      <c r="B122" t="str">
        <f>_xlfn.XLOOKUP(Compliance_Sheet!A122,Vendor_Master!A122,Vendor_Master!B122,"")</f>
        <v>Vendor_121</v>
      </c>
      <c r="C122" t="str">
        <f>_xlfn.XLOOKUP(A122,Vendor_Master!A122,Vendor_Master!C122,"")</f>
        <v>Rail Services</v>
      </c>
      <c r="D122" t="str">
        <f>_xlfn.XLOOKUP(A122,Vendor_Master!A122,Vendor_Master!D122,"")</f>
        <v>South</v>
      </c>
      <c r="E122">
        <f>_xlfn.XLOOKUP(A122,Vendor_Master!A122,Vendor_Master!E122,0)</f>
        <v>491599</v>
      </c>
      <c r="F122" t="str">
        <f>_xlfn.XLOOKUP(A122,Vendor_Master!A122,Vendor_Master!H122,"")</f>
        <v>contact121@vendor.com</v>
      </c>
      <c r="G122">
        <f ca="1">COUNTIFS(Sustainability_Documents!$A:$A,$A122,Sustainability_Documents!$H:$H,"Missing")</f>
        <v>0</v>
      </c>
      <c r="H122">
        <f ca="1">COUNTIFS(Sustainability_Documents!$A:$A,$A122,Sustainability_Documents!$H:$H,"Expired")</f>
        <v>0</v>
      </c>
      <c r="I122">
        <f ca="1">COUNTIFS(Sustainability_Documents!$A:$A,$A122,Sustainability_Documents!$H:$H,"Expiring Soon")</f>
        <v>0</v>
      </c>
      <c r="J122">
        <f>COUNTIFS(Sustainability_Documents!$A:$A,$A122,Sustainability_Documents!$C:$C,"Yes")</f>
        <v>4</v>
      </c>
      <c r="K122">
        <f ca="1">IF($J122=0,"",($J122-$G122-$H122)/$J122)</f>
        <v>1</v>
      </c>
      <c r="L122">
        <f>COUNTIFS(OutReach_Log!$A:$A,$A122,OutReach_Log!$G:$G,"Yes")</f>
        <v>0</v>
      </c>
      <c r="M122">
        <f>COUNTIFS(OutReach_Log!$A:$A,$A122,OutReach_Log!$E:$E,"Pending")
 +COUNTIFS(OutReach_Log!$A:$A,$A122,OutReach_Log!$E:$E,"Escalated")</f>
        <v>0</v>
      </c>
      <c r="N122">
        <f>COUNTIFS(Incident_Log!$A:$A,$A122,Incident_Log!$C:$C,"High",Incident_Log!$E:$E,"No")</f>
        <v>0</v>
      </c>
      <c r="O122" t="str">
        <f t="shared" ca="1" si="1"/>
        <v>Attention Required</v>
      </c>
      <c r="P122">
        <f ca="1">($G122*40)+($H122*30)+($I122*10)+($N122*50)+IF($L122&gt;0,20,0)</f>
        <v>0</v>
      </c>
      <c r="Q122">
        <f ca="1">E122*(P122/100)</f>
        <v>0</v>
      </c>
      <c r="R122">
        <f ca="1">_xlfn.RANK.EQ($Q122,$Q$2:$Q$401,0)</f>
        <v>180</v>
      </c>
    </row>
    <row r="123" spans="1:18">
      <c r="A123" t="str" cm="1">
        <f t="array" ref="A123">_xlfn._xlws.SORT(Vendor_Master!A123)</f>
        <v>VND-122</v>
      </c>
      <c r="B123" t="str">
        <f>_xlfn.XLOOKUP(Compliance_Sheet!A123,Vendor_Master!A123,Vendor_Master!B123,"")</f>
        <v>Vendor_122</v>
      </c>
      <c r="C123" t="str">
        <f>_xlfn.XLOOKUP(A123,Vendor_Master!A123,Vendor_Master!C123,"")</f>
        <v>Rail Services</v>
      </c>
      <c r="D123" t="str">
        <f>_xlfn.XLOOKUP(A123,Vendor_Master!A123,Vendor_Master!D123,"")</f>
        <v>South</v>
      </c>
      <c r="E123">
        <f>_xlfn.XLOOKUP(A123,Vendor_Master!A123,Vendor_Master!E123,0)</f>
        <v>200621</v>
      </c>
      <c r="F123" t="str">
        <f>_xlfn.XLOOKUP(A123,Vendor_Master!A123,Vendor_Master!H123,"")</f>
        <v>contact122@vendor.com</v>
      </c>
      <c r="G123">
        <f ca="1">COUNTIFS(Sustainability_Documents!$A:$A,$A123,Sustainability_Documents!$H:$H,"Missing")</f>
        <v>0</v>
      </c>
      <c r="H123">
        <f ca="1">COUNTIFS(Sustainability_Documents!$A:$A,$A123,Sustainability_Documents!$H:$H,"Expired")</f>
        <v>0</v>
      </c>
      <c r="I123">
        <f ca="1">COUNTIFS(Sustainability_Documents!$A:$A,$A123,Sustainability_Documents!$H:$H,"Expiring Soon")</f>
        <v>0</v>
      </c>
      <c r="J123">
        <f>COUNTIFS(Sustainability_Documents!$A:$A,$A123,Sustainability_Documents!$C:$C,"Yes")</f>
        <v>4</v>
      </c>
      <c r="K123">
        <f ca="1">IF($J123=0,"",($J123-$G123-$H123)/$J123)</f>
        <v>1</v>
      </c>
      <c r="L123">
        <f>COUNTIFS(OutReach_Log!$A:$A,$A123,OutReach_Log!$G:$G,"Yes")</f>
        <v>0</v>
      </c>
      <c r="M123">
        <f>COUNTIFS(OutReach_Log!$A:$A,$A123,OutReach_Log!$E:$E,"Pending")
 +COUNTIFS(OutReach_Log!$A:$A,$A123,OutReach_Log!$E:$E,"Escalated")</f>
        <v>0</v>
      </c>
      <c r="N123">
        <f>COUNTIFS(Incident_Log!$A:$A,$A123,Incident_Log!$C:$C,"High",Incident_Log!$E:$E,"No")</f>
        <v>0</v>
      </c>
      <c r="O123" t="str">
        <f t="shared" ca="1" si="1"/>
        <v>Attention Required</v>
      </c>
      <c r="P123">
        <f ca="1">($G123*40)+($H123*30)+($I123*10)+($N123*50)+IF($L123&gt;0,20,0)</f>
        <v>0</v>
      </c>
      <c r="Q123">
        <f ca="1">E123*(P123/100)</f>
        <v>0</v>
      </c>
      <c r="R123">
        <f ca="1">_xlfn.RANK.EQ($Q123,$Q$2:$Q$401,0)</f>
        <v>180</v>
      </c>
    </row>
    <row r="124" spans="1:18">
      <c r="A124" t="str" cm="1">
        <f t="array" ref="A124">_xlfn._xlws.SORT(Vendor_Master!A124)</f>
        <v>VND-123</v>
      </c>
      <c r="B124" t="str">
        <f>_xlfn.XLOOKUP(Compliance_Sheet!A124,Vendor_Master!A124,Vendor_Master!B124,"")</f>
        <v>Vendor_123</v>
      </c>
      <c r="C124" t="str">
        <f>_xlfn.XLOOKUP(A124,Vendor_Master!A124,Vendor_Master!C124,"")</f>
        <v>Rail Services</v>
      </c>
      <c r="D124" t="str">
        <f>_xlfn.XLOOKUP(A124,Vendor_Master!A124,Vendor_Master!D124,"")</f>
        <v>South</v>
      </c>
      <c r="E124">
        <f>_xlfn.XLOOKUP(A124,Vendor_Master!A124,Vendor_Master!E124,0)</f>
        <v>208584</v>
      </c>
      <c r="F124" t="str">
        <f>_xlfn.XLOOKUP(A124,Vendor_Master!A124,Vendor_Master!H124,"")</f>
        <v>contact123@vendor.com</v>
      </c>
      <c r="G124">
        <f ca="1">COUNTIFS(Sustainability_Documents!$A:$A,$A124,Sustainability_Documents!$H:$H,"Missing")</f>
        <v>0</v>
      </c>
      <c r="H124">
        <f ca="1">COUNTIFS(Sustainability_Documents!$A:$A,$A124,Sustainability_Documents!$H:$H,"Expired")</f>
        <v>0</v>
      </c>
      <c r="I124">
        <f ca="1">COUNTIFS(Sustainability_Documents!$A:$A,$A124,Sustainability_Documents!$H:$H,"Expiring Soon")</f>
        <v>0</v>
      </c>
      <c r="J124">
        <f>COUNTIFS(Sustainability_Documents!$A:$A,$A124,Sustainability_Documents!$C:$C,"Yes")</f>
        <v>4</v>
      </c>
      <c r="K124">
        <f ca="1">IF($J124=0,"",($J124-$G124-$H124)/$J124)</f>
        <v>1</v>
      </c>
      <c r="L124">
        <f>COUNTIFS(OutReach_Log!$A:$A,$A124,OutReach_Log!$G:$G,"Yes")</f>
        <v>0</v>
      </c>
      <c r="M124">
        <f>COUNTIFS(OutReach_Log!$A:$A,$A124,OutReach_Log!$E:$E,"Pending")
 +COUNTIFS(OutReach_Log!$A:$A,$A124,OutReach_Log!$E:$E,"Escalated")</f>
        <v>0</v>
      </c>
      <c r="N124">
        <f>COUNTIFS(Incident_Log!$A:$A,$A124,Incident_Log!$C:$C,"High",Incident_Log!$E:$E,"No")</f>
        <v>0</v>
      </c>
      <c r="O124" t="str">
        <f t="shared" ca="1" si="1"/>
        <v>Attention Required</v>
      </c>
      <c r="P124">
        <f ca="1">($G124*40)+($H124*30)+($I124*10)+($N124*50)+IF($L124&gt;0,20,0)</f>
        <v>0</v>
      </c>
      <c r="Q124">
        <f ca="1">E124*(P124/100)</f>
        <v>0</v>
      </c>
      <c r="R124">
        <f ca="1">_xlfn.RANK.EQ($Q124,$Q$2:$Q$401,0)</f>
        <v>180</v>
      </c>
    </row>
    <row r="125" spans="1:18">
      <c r="A125" t="str" cm="1">
        <f t="array" ref="A125">_xlfn._xlws.SORT(Vendor_Master!A125)</f>
        <v>VND-124</v>
      </c>
      <c r="B125" t="str">
        <f>_xlfn.XLOOKUP(Compliance_Sheet!A125,Vendor_Master!A125,Vendor_Master!B125,"")</f>
        <v>Vendor_124</v>
      </c>
      <c r="C125" t="str">
        <f>_xlfn.XLOOKUP(A125,Vendor_Master!A125,Vendor_Master!C125,"")</f>
        <v>Rail Services</v>
      </c>
      <c r="D125" t="str">
        <f>_xlfn.XLOOKUP(A125,Vendor_Master!A125,Vendor_Master!D125,"")</f>
        <v>South</v>
      </c>
      <c r="E125">
        <f>_xlfn.XLOOKUP(A125,Vendor_Master!A125,Vendor_Master!E125,0)</f>
        <v>177615</v>
      </c>
      <c r="F125" t="str">
        <f>_xlfn.XLOOKUP(A125,Vendor_Master!A125,Vendor_Master!H125,"")</f>
        <v>contact124@vendor.com</v>
      </c>
      <c r="G125">
        <f ca="1">COUNTIFS(Sustainability_Documents!$A:$A,$A125,Sustainability_Documents!$H:$H,"Missing")</f>
        <v>0</v>
      </c>
      <c r="H125">
        <f ca="1">COUNTIFS(Sustainability_Documents!$A:$A,$A125,Sustainability_Documents!$H:$H,"Expired")</f>
        <v>0</v>
      </c>
      <c r="I125">
        <f ca="1">COUNTIFS(Sustainability_Documents!$A:$A,$A125,Sustainability_Documents!$H:$H,"Expiring Soon")</f>
        <v>0</v>
      </c>
      <c r="J125">
        <f>COUNTIFS(Sustainability_Documents!$A:$A,$A125,Sustainability_Documents!$C:$C,"Yes")</f>
        <v>4</v>
      </c>
      <c r="K125">
        <f ca="1">IF($J125=0,"",($J125-$G125-$H125)/$J125)</f>
        <v>1</v>
      </c>
      <c r="L125">
        <f>COUNTIFS(OutReach_Log!$A:$A,$A125,OutReach_Log!$G:$G,"Yes")</f>
        <v>0</v>
      </c>
      <c r="M125">
        <f>COUNTIFS(OutReach_Log!$A:$A,$A125,OutReach_Log!$E:$E,"Pending")
 +COUNTIFS(OutReach_Log!$A:$A,$A125,OutReach_Log!$E:$E,"Escalated")</f>
        <v>0</v>
      </c>
      <c r="N125">
        <f>COUNTIFS(Incident_Log!$A:$A,$A125,Incident_Log!$C:$C,"High",Incident_Log!$E:$E,"No")</f>
        <v>0</v>
      </c>
      <c r="O125" t="str">
        <f t="shared" ca="1" si="1"/>
        <v>Attention Required</v>
      </c>
      <c r="P125">
        <f ca="1">($G125*40)+($H125*30)+($I125*10)+($N125*50)+IF($L125&gt;0,20,0)</f>
        <v>0</v>
      </c>
      <c r="Q125">
        <f ca="1">E125*(P125/100)</f>
        <v>0</v>
      </c>
      <c r="R125">
        <f ca="1">_xlfn.RANK.EQ($Q125,$Q$2:$Q$401,0)</f>
        <v>180</v>
      </c>
    </row>
    <row r="126" spans="1:18">
      <c r="A126" t="str" cm="1">
        <f t="array" ref="A126">_xlfn._xlws.SORT(Vendor_Master!A126)</f>
        <v>VND-125</v>
      </c>
      <c r="B126" t="str">
        <f>_xlfn.XLOOKUP(Compliance_Sheet!A126,Vendor_Master!A126,Vendor_Master!B126,"")</f>
        <v>Vendor_125</v>
      </c>
      <c r="C126" t="str">
        <f>_xlfn.XLOOKUP(A126,Vendor_Master!A126,Vendor_Master!C126,"")</f>
        <v>Rail Services</v>
      </c>
      <c r="D126" t="str">
        <f>_xlfn.XLOOKUP(A126,Vendor_Master!A126,Vendor_Master!D126,"")</f>
        <v>South</v>
      </c>
      <c r="E126">
        <f>_xlfn.XLOOKUP(A126,Vendor_Master!A126,Vendor_Master!E126,0)</f>
        <v>143477</v>
      </c>
      <c r="F126" t="str">
        <f>_xlfn.XLOOKUP(A126,Vendor_Master!A126,Vendor_Master!H126,"")</f>
        <v>contact125@vendor.com</v>
      </c>
      <c r="G126">
        <f ca="1">COUNTIFS(Sustainability_Documents!$A:$A,$A126,Sustainability_Documents!$H:$H,"Missing")</f>
        <v>0</v>
      </c>
      <c r="H126">
        <f ca="1">COUNTIFS(Sustainability_Documents!$A:$A,$A126,Sustainability_Documents!$H:$H,"Expired")</f>
        <v>0</v>
      </c>
      <c r="I126">
        <f ca="1">COUNTIFS(Sustainability_Documents!$A:$A,$A126,Sustainability_Documents!$H:$H,"Expiring Soon")</f>
        <v>0</v>
      </c>
      <c r="J126">
        <f>COUNTIFS(Sustainability_Documents!$A:$A,$A126,Sustainability_Documents!$C:$C,"Yes")</f>
        <v>4</v>
      </c>
      <c r="K126">
        <f ca="1">IF($J126=0,"",($J126-$G126-$H126)/$J126)</f>
        <v>1</v>
      </c>
      <c r="L126">
        <f>COUNTIFS(OutReach_Log!$A:$A,$A126,OutReach_Log!$G:$G,"Yes")</f>
        <v>0</v>
      </c>
      <c r="M126">
        <f>COUNTIFS(OutReach_Log!$A:$A,$A126,OutReach_Log!$E:$E,"Pending")
 +COUNTIFS(OutReach_Log!$A:$A,$A126,OutReach_Log!$E:$E,"Escalated")</f>
        <v>0</v>
      </c>
      <c r="N126">
        <f>COUNTIFS(Incident_Log!$A:$A,$A126,Incident_Log!$C:$C,"High",Incident_Log!$E:$E,"No")</f>
        <v>0</v>
      </c>
      <c r="O126" t="str">
        <f t="shared" ca="1" si="1"/>
        <v>Attention Required</v>
      </c>
      <c r="P126">
        <f ca="1">($G126*40)+($H126*30)+($I126*10)+($N126*50)+IF($L126&gt;0,20,0)</f>
        <v>0</v>
      </c>
      <c r="Q126">
        <f ca="1">E126*(P126/100)</f>
        <v>0</v>
      </c>
      <c r="R126">
        <f ca="1">_xlfn.RANK.EQ($Q126,$Q$2:$Q$401,0)</f>
        <v>180</v>
      </c>
    </row>
    <row r="127" spans="1:18">
      <c r="A127" t="str" cm="1">
        <f t="array" ref="A127">_xlfn._xlws.SORT(Vendor_Master!A127)</f>
        <v>VND-126</v>
      </c>
      <c r="B127" t="str">
        <f>_xlfn.XLOOKUP(Compliance_Sheet!A127,Vendor_Master!A127,Vendor_Master!B127,"")</f>
        <v>Vendor_126</v>
      </c>
      <c r="C127" t="str">
        <f>_xlfn.XLOOKUP(A127,Vendor_Master!A127,Vendor_Master!C127,"")</f>
        <v>Rail Services</v>
      </c>
      <c r="D127" t="str">
        <f>_xlfn.XLOOKUP(A127,Vendor_Master!A127,Vendor_Master!D127,"")</f>
        <v>South</v>
      </c>
      <c r="E127">
        <f>_xlfn.XLOOKUP(A127,Vendor_Master!A127,Vendor_Master!E127,0)</f>
        <v>162867</v>
      </c>
      <c r="F127" t="str">
        <f>_xlfn.XLOOKUP(A127,Vendor_Master!A127,Vendor_Master!H127,"")</f>
        <v>contact126@vendor.com</v>
      </c>
      <c r="G127">
        <f ca="1">COUNTIFS(Sustainability_Documents!$A:$A,$A127,Sustainability_Documents!$H:$H,"Missing")</f>
        <v>0</v>
      </c>
      <c r="H127">
        <f ca="1">COUNTIFS(Sustainability_Documents!$A:$A,$A127,Sustainability_Documents!$H:$H,"Expired")</f>
        <v>0</v>
      </c>
      <c r="I127">
        <f ca="1">COUNTIFS(Sustainability_Documents!$A:$A,$A127,Sustainability_Documents!$H:$H,"Expiring Soon")</f>
        <v>0</v>
      </c>
      <c r="J127">
        <f>COUNTIFS(Sustainability_Documents!$A:$A,$A127,Sustainability_Documents!$C:$C,"Yes")</f>
        <v>4</v>
      </c>
      <c r="K127">
        <f ca="1">IF($J127=0,"",($J127-$G127-$H127)/$J127)</f>
        <v>1</v>
      </c>
      <c r="L127">
        <f>COUNTIFS(OutReach_Log!$A:$A,$A127,OutReach_Log!$G:$G,"Yes")</f>
        <v>0</v>
      </c>
      <c r="M127">
        <f>COUNTIFS(OutReach_Log!$A:$A,$A127,OutReach_Log!$E:$E,"Pending")
 +COUNTIFS(OutReach_Log!$A:$A,$A127,OutReach_Log!$E:$E,"Escalated")</f>
        <v>0</v>
      </c>
      <c r="N127">
        <f>COUNTIFS(Incident_Log!$A:$A,$A127,Incident_Log!$C:$C,"High",Incident_Log!$E:$E,"No")</f>
        <v>0</v>
      </c>
      <c r="O127" t="str">
        <f t="shared" ca="1" si="1"/>
        <v>Attention Required</v>
      </c>
      <c r="P127">
        <f ca="1">($G127*40)+($H127*30)+($I127*10)+($N127*50)+IF($L127&gt;0,20,0)</f>
        <v>0</v>
      </c>
      <c r="Q127">
        <f ca="1">E127*(P127/100)</f>
        <v>0</v>
      </c>
      <c r="R127">
        <f ca="1">_xlfn.RANK.EQ($Q127,$Q$2:$Q$401,0)</f>
        <v>180</v>
      </c>
    </row>
    <row r="128" spans="1:18">
      <c r="A128" t="str" cm="1">
        <f t="array" ref="A128">_xlfn._xlws.SORT(Vendor_Master!A128)</f>
        <v>VND-127</v>
      </c>
      <c r="B128" t="str">
        <f>_xlfn.XLOOKUP(Compliance_Sheet!A128,Vendor_Master!A128,Vendor_Master!B128,"")</f>
        <v>Vendor_127</v>
      </c>
      <c r="C128" t="str">
        <f>_xlfn.XLOOKUP(A128,Vendor_Master!A128,Vendor_Master!C128,"")</f>
        <v>Rail Services</v>
      </c>
      <c r="D128" t="str">
        <f>_xlfn.XLOOKUP(A128,Vendor_Master!A128,Vendor_Master!D128,"")</f>
        <v>South</v>
      </c>
      <c r="E128">
        <f>_xlfn.XLOOKUP(A128,Vendor_Master!A128,Vendor_Master!E128,0)</f>
        <v>149197</v>
      </c>
      <c r="F128" t="str">
        <f>_xlfn.XLOOKUP(A128,Vendor_Master!A128,Vendor_Master!H128,"")</f>
        <v>contact127@vendor.com</v>
      </c>
      <c r="G128">
        <f ca="1">COUNTIFS(Sustainability_Documents!$A:$A,$A128,Sustainability_Documents!$H:$H,"Missing")</f>
        <v>0</v>
      </c>
      <c r="H128">
        <f ca="1">COUNTIFS(Sustainability_Documents!$A:$A,$A128,Sustainability_Documents!$H:$H,"Expired")</f>
        <v>0</v>
      </c>
      <c r="I128">
        <f ca="1">COUNTIFS(Sustainability_Documents!$A:$A,$A128,Sustainability_Documents!$H:$H,"Expiring Soon")</f>
        <v>0</v>
      </c>
      <c r="J128">
        <f>COUNTIFS(Sustainability_Documents!$A:$A,$A128,Sustainability_Documents!$C:$C,"Yes")</f>
        <v>4</v>
      </c>
      <c r="K128">
        <f ca="1">IF($J128=0,"",($J128-$G128-$H128)/$J128)</f>
        <v>1</v>
      </c>
      <c r="L128">
        <f>COUNTIFS(OutReach_Log!$A:$A,$A128,OutReach_Log!$G:$G,"Yes")</f>
        <v>0</v>
      </c>
      <c r="M128">
        <f>COUNTIFS(OutReach_Log!$A:$A,$A128,OutReach_Log!$E:$E,"Pending")
 +COUNTIFS(OutReach_Log!$A:$A,$A128,OutReach_Log!$E:$E,"Escalated")</f>
        <v>0</v>
      </c>
      <c r="N128">
        <f>COUNTIFS(Incident_Log!$A:$A,$A128,Incident_Log!$C:$C,"High",Incident_Log!$E:$E,"No")</f>
        <v>0</v>
      </c>
      <c r="O128" t="str">
        <f t="shared" ca="1" si="1"/>
        <v>Attention Required</v>
      </c>
      <c r="P128">
        <f ca="1">($G128*40)+($H128*30)+($I128*10)+($N128*50)+IF($L128&gt;0,20,0)</f>
        <v>0</v>
      </c>
      <c r="Q128">
        <f ca="1">E128*(P128/100)</f>
        <v>0</v>
      </c>
      <c r="R128">
        <f ca="1">_xlfn.RANK.EQ($Q128,$Q$2:$Q$401,0)</f>
        <v>180</v>
      </c>
    </row>
    <row r="129" spans="1:18">
      <c r="A129" t="str" cm="1">
        <f t="array" ref="A129">_xlfn._xlws.SORT(Vendor_Master!A129)</f>
        <v>VND-128</v>
      </c>
      <c r="B129" t="str">
        <f>_xlfn.XLOOKUP(Compliance_Sheet!A129,Vendor_Master!A129,Vendor_Master!B129,"")</f>
        <v>Vendor_128</v>
      </c>
      <c r="C129" t="str">
        <f>_xlfn.XLOOKUP(A129,Vendor_Master!A129,Vendor_Master!C129,"")</f>
        <v>Rail Services</v>
      </c>
      <c r="D129" t="str">
        <f>_xlfn.XLOOKUP(A129,Vendor_Master!A129,Vendor_Master!D129,"")</f>
        <v>South</v>
      </c>
      <c r="E129">
        <f>_xlfn.XLOOKUP(A129,Vendor_Master!A129,Vendor_Master!E129,0)</f>
        <v>136966</v>
      </c>
      <c r="F129" t="str">
        <f>_xlfn.XLOOKUP(A129,Vendor_Master!A129,Vendor_Master!H129,"")</f>
        <v>contact128@vendor.com</v>
      </c>
      <c r="G129">
        <f ca="1">COUNTIFS(Sustainability_Documents!$A:$A,$A129,Sustainability_Documents!$H:$H,"Missing")</f>
        <v>0</v>
      </c>
      <c r="H129">
        <f ca="1">COUNTIFS(Sustainability_Documents!$A:$A,$A129,Sustainability_Documents!$H:$H,"Expired")</f>
        <v>0</v>
      </c>
      <c r="I129">
        <f ca="1">COUNTIFS(Sustainability_Documents!$A:$A,$A129,Sustainability_Documents!$H:$H,"Expiring Soon")</f>
        <v>0</v>
      </c>
      <c r="J129">
        <f>COUNTIFS(Sustainability_Documents!$A:$A,$A129,Sustainability_Documents!$C:$C,"Yes")</f>
        <v>4</v>
      </c>
      <c r="K129">
        <f ca="1">IF($J129=0,"",($J129-$G129-$H129)/$J129)</f>
        <v>1</v>
      </c>
      <c r="L129">
        <f>COUNTIFS(OutReach_Log!$A:$A,$A129,OutReach_Log!$G:$G,"Yes")</f>
        <v>0</v>
      </c>
      <c r="M129">
        <f>COUNTIFS(OutReach_Log!$A:$A,$A129,OutReach_Log!$E:$E,"Pending")
 +COUNTIFS(OutReach_Log!$A:$A,$A129,OutReach_Log!$E:$E,"Escalated")</f>
        <v>0</v>
      </c>
      <c r="N129">
        <f>COUNTIFS(Incident_Log!$A:$A,$A129,Incident_Log!$C:$C,"High",Incident_Log!$E:$E,"No")</f>
        <v>0</v>
      </c>
      <c r="O129" t="str">
        <f t="shared" ca="1" si="1"/>
        <v>Attention Required</v>
      </c>
      <c r="P129">
        <f ca="1">($G129*40)+($H129*30)+($I129*10)+($N129*50)+IF($L129&gt;0,20,0)</f>
        <v>0</v>
      </c>
      <c r="Q129">
        <f ca="1">E129*(P129/100)</f>
        <v>0</v>
      </c>
      <c r="R129">
        <f ca="1">_xlfn.RANK.EQ($Q129,$Q$2:$Q$401,0)</f>
        <v>180</v>
      </c>
    </row>
    <row r="130" spans="1:18">
      <c r="A130" t="str" cm="1">
        <f t="array" ref="A130">_xlfn._xlws.SORT(Vendor_Master!A130)</f>
        <v>VND-129</v>
      </c>
      <c r="B130" t="str">
        <f>_xlfn.XLOOKUP(Compliance_Sheet!A130,Vendor_Master!A130,Vendor_Master!B130,"")</f>
        <v>Vendor_129</v>
      </c>
      <c r="C130" t="str">
        <f>_xlfn.XLOOKUP(A130,Vendor_Master!A130,Vendor_Master!C130,"")</f>
        <v>Rail Services</v>
      </c>
      <c r="D130" t="str">
        <f>_xlfn.XLOOKUP(A130,Vendor_Master!A130,Vendor_Master!D130,"")</f>
        <v>South</v>
      </c>
      <c r="E130">
        <f>_xlfn.XLOOKUP(A130,Vendor_Master!A130,Vendor_Master!E130,0)</f>
        <v>196255</v>
      </c>
      <c r="F130" t="str">
        <f>_xlfn.XLOOKUP(A130,Vendor_Master!A130,Vendor_Master!H130,"")</f>
        <v>contact129@vendor.com</v>
      </c>
      <c r="G130">
        <f ca="1">COUNTIFS(Sustainability_Documents!$A:$A,$A130,Sustainability_Documents!$H:$H,"Missing")</f>
        <v>0</v>
      </c>
      <c r="H130">
        <f ca="1">COUNTIFS(Sustainability_Documents!$A:$A,$A130,Sustainability_Documents!$H:$H,"Expired")</f>
        <v>0</v>
      </c>
      <c r="I130">
        <f ca="1">COUNTIFS(Sustainability_Documents!$A:$A,$A130,Sustainability_Documents!$H:$H,"Expiring Soon")</f>
        <v>0</v>
      </c>
      <c r="J130">
        <f>COUNTIFS(Sustainability_Documents!$A:$A,$A130,Sustainability_Documents!$C:$C,"Yes")</f>
        <v>4</v>
      </c>
      <c r="K130">
        <f ca="1">IF($J130=0,"",($J130-$G130-$H130)/$J130)</f>
        <v>1</v>
      </c>
      <c r="L130">
        <f>COUNTIFS(OutReach_Log!$A:$A,$A130,OutReach_Log!$G:$G,"Yes")</f>
        <v>0</v>
      </c>
      <c r="M130">
        <f>COUNTIFS(OutReach_Log!$A:$A,$A130,OutReach_Log!$E:$E,"Pending")
 +COUNTIFS(OutReach_Log!$A:$A,$A130,OutReach_Log!$E:$E,"Escalated")</f>
        <v>0</v>
      </c>
      <c r="N130">
        <f>COUNTIFS(Incident_Log!$A:$A,$A130,Incident_Log!$C:$C,"High",Incident_Log!$E:$E,"No")</f>
        <v>0</v>
      </c>
      <c r="O130" t="str">
        <f t="shared" ca="1" si="1"/>
        <v>Attention Required</v>
      </c>
      <c r="P130">
        <f ca="1">($G130*40)+($H130*30)+($I130*10)+($N130*50)+IF($L130&gt;0,20,0)</f>
        <v>0</v>
      </c>
      <c r="Q130">
        <f ca="1">E130*(P130/100)</f>
        <v>0</v>
      </c>
      <c r="R130">
        <f ca="1">_xlfn.RANK.EQ($Q130,$Q$2:$Q$401,0)</f>
        <v>180</v>
      </c>
    </row>
    <row r="131" spans="1:18">
      <c r="A131" t="str" cm="1">
        <f t="array" ref="A131">_xlfn._xlws.SORT(Vendor_Master!A131)</f>
        <v>VND-130</v>
      </c>
      <c r="B131" t="str">
        <f>_xlfn.XLOOKUP(Compliance_Sheet!A131,Vendor_Master!A131,Vendor_Master!B131,"")</f>
        <v>Vendor_130</v>
      </c>
      <c r="C131" t="str">
        <f>_xlfn.XLOOKUP(A131,Vendor_Master!A131,Vendor_Master!C131,"")</f>
        <v>Rail Services</v>
      </c>
      <c r="D131" t="str">
        <f>_xlfn.XLOOKUP(A131,Vendor_Master!A131,Vendor_Master!D131,"")</f>
        <v>South</v>
      </c>
      <c r="E131">
        <f>_xlfn.XLOOKUP(A131,Vendor_Master!A131,Vendor_Master!E131,0)</f>
        <v>59879</v>
      </c>
      <c r="F131" t="str">
        <f>_xlfn.XLOOKUP(A131,Vendor_Master!A131,Vendor_Master!H131,"")</f>
        <v>contact130@vendor.com</v>
      </c>
      <c r="G131">
        <f ca="1">COUNTIFS(Sustainability_Documents!$A:$A,$A131,Sustainability_Documents!$H:$H,"Missing")</f>
        <v>0</v>
      </c>
      <c r="H131">
        <f ca="1">COUNTIFS(Sustainability_Documents!$A:$A,$A131,Sustainability_Documents!$H:$H,"Expired")</f>
        <v>0</v>
      </c>
      <c r="I131">
        <f ca="1">COUNTIFS(Sustainability_Documents!$A:$A,$A131,Sustainability_Documents!$H:$H,"Expiring Soon")</f>
        <v>0</v>
      </c>
      <c r="J131">
        <f>COUNTIFS(Sustainability_Documents!$A:$A,$A131,Sustainability_Documents!$C:$C,"Yes")</f>
        <v>4</v>
      </c>
      <c r="K131">
        <f ca="1">IF($J131=0,"",($J131-$G131-$H131)/$J131)</f>
        <v>1</v>
      </c>
      <c r="L131">
        <f>COUNTIFS(OutReach_Log!$A:$A,$A131,OutReach_Log!$G:$G,"Yes")</f>
        <v>0</v>
      </c>
      <c r="M131">
        <f>COUNTIFS(OutReach_Log!$A:$A,$A131,OutReach_Log!$E:$E,"Pending")
 +COUNTIFS(OutReach_Log!$A:$A,$A131,OutReach_Log!$E:$E,"Escalated")</f>
        <v>0</v>
      </c>
      <c r="N131">
        <f>COUNTIFS(Incident_Log!$A:$A,$A131,Incident_Log!$C:$C,"High",Incident_Log!$E:$E,"No")</f>
        <v>0</v>
      </c>
      <c r="O131" t="str">
        <f t="shared" ref="O131:O194" ca="1" si="2">IF(OR(H131&gt;0,I131&gt;0,N131&gt;0),
   "High Attention Required",
   IF(J131&gt;0,
      "Attention Required",
      "Fully Compliant"
   )
)</f>
        <v>Attention Required</v>
      </c>
      <c r="P131">
        <f ca="1">($G131*40)+($H131*30)+($I131*10)+($N131*50)+IF($L131&gt;0,20,0)</f>
        <v>0</v>
      </c>
      <c r="Q131">
        <f ca="1">E131*(P131/100)</f>
        <v>0</v>
      </c>
      <c r="R131">
        <f ca="1">_xlfn.RANK.EQ($Q131,$Q$2:$Q$401,0)</f>
        <v>180</v>
      </c>
    </row>
    <row r="132" spans="1:18">
      <c r="A132" t="str" cm="1">
        <f t="array" ref="A132">_xlfn._xlws.SORT(Vendor_Master!A132)</f>
        <v>VND-131</v>
      </c>
      <c r="B132" t="str">
        <f>_xlfn.XLOOKUP(Compliance_Sheet!A132,Vendor_Master!A132,Vendor_Master!B132,"")</f>
        <v>Vendor_131</v>
      </c>
      <c r="C132" t="str">
        <f>_xlfn.XLOOKUP(A132,Vendor_Master!A132,Vendor_Master!C132,"")</f>
        <v>Rail Services</v>
      </c>
      <c r="D132" t="str">
        <f>_xlfn.XLOOKUP(A132,Vendor_Master!A132,Vendor_Master!D132,"")</f>
        <v>South</v>
      </c>
      <c r="E132">
        <f>_xlfn.XLOOKUP(A132,Vendor_Master!A132,Vendor_Master!E132,0)</f>
        <v>92875</v>
      </c>
      <c r="F132" t="str">
        <f>_xlfn.XLOOKUP(A132,Vendor_Master!A132,Vendor_Master!H132,"")</f>
        <v>contact131@vendor.com</v>
      </c>
      <c r="G132">
        <f ca="1">COUNTIFS(Sustainability_Documents!$A:$A,$A132,Sustainability_Documents!$H:$H,"Missing")</f>
        <v>0</v>
      </c>
      <c r="H132">
        <f ca="1">COUNTIFS(Sustainability_Documents!$A:$A,$A132,Sustainability_Documents!$H:$H,"Expired")</f>
        <v>0</v>
      </c>
      <c r="I132">
        <f ca="1">COUNTIFS(Sustainability_Documents!$A:$A,$A132,Sustainability_Documents!$H:$H,"Expiring Soon")</f>
        <v>0</v>
      </c>
      <c r="J132">
        <f>COUNTIFS(Sustainability_Documents!$A:$A,$A132,Sustainability_Documents!$C:$C,"Yes")</f>
        <v>4</v>
      </c>
      <c r="K132">
        <f ca="1">IF($J132=0,"",($J132-$G132-$H132)/$J132)</f>
        <v>1</v>
      </c>
      <c r="L132">
        <f>COUNTIFS(OutReach_Log!$A:$A,$A132,OutReach_Log!$G:$G,"Yes")</f>
        <v>0</v>
      </c>
      <c r="M132">
        <f>COUNTIFS(OutReach_Log!$A:$A,$A132,OutReach_Log!$E:$E,"Pending")
 +COUNTIFS(OutReach_Log!$A:$A,$A132,OutReach_Log!$E:$E,"Escalated")</f>
        <v>0</v>
      </c>
      <c r="N132">
        <f>COUNTIFS(Incident_Log!$A:$A,$A132,Incident_Log!$C:$C,"High",Incident_Log!$E:$E,"No")</f>
        <v>0</v>
      </c>
      <c r="O132" t="str">
        <f t="shared" ca="1" si="2"/>
        <v>Attention Required</v>
      </c>
      <c r="P132">
        <f ca="1">($G132*40)+($H132*30)+($I132*10)+($N132*50)+IF($L132&gt;0,20,0)</f>
        <v>0</v>
      </c>
      <c r="Q132">
        <f ca="1">E132*(P132/100)</f>
        <v>0</v>
      </c>
      <c r="R132">
        <f ca="1">_xlfn.RANK.EQ($Q132,$Q$2:$Q$401,0)</f>
        <v>180</v>
      </c>
    </row>
    <row r="133" spans="1:18">
      <c r="A133" t="str" cm="1">
        <f t="array" ref="A133">_xlfn._xlws.SORT(Vendor_Master!A133)</f>
        <v>VND-132</v>
      </c>
      <c r="B133" t="str">
        <f>_xlfn.XLOOKUP(Compliance_Sheet!A133,Vendor_Master!A133,Vendor_Master!B133,"")</f>
        <v>Vendor_132</v>
      </c>
      <c r="C133" t="str">
        <f>_xlfn.XLOOKUP(A133,Vendor_Master!A133,Vendor_Master!C133,"")</f>
        <v>Rail Services</v>
      </c>
      <c r="D133" t="str">
        <f>_xlfn.XLOOKUP(A133,Vendor_Master!A133,Vendor_Master!D133,"")</f>
        <v>South</v>
      </c>
      <c r="E133">
        <f>_xlfn.XLOOKUP(A133,Vendor_Master!A133,Vendor_Master!E133,0)</f>
        <v>65911</v>
      </c>
      <c r="F133" t="str">
        <f>_xlfn.XLOOKUP(A133,Vendor_Master!A133,Vendor_Master!H133,"")</f>
        <v>contact132@vendor.com</v>
      </c>
      <c r="G133">
        <f ca="1">COUNTIFS(Sustainability_Documents!$A:$A,$A133,Sustainability_Documents!$H:$H,"Missing")</f>
        <v>0</v>
      </c>
      <c r="H133">
        <f ca="1">COUNTIFS(Sustainability_Documents!$A:$A,$A133,Sustainability_Documents!$H:$H,"Expired")</f>
        <v>0</v>
      </c>
      <c r="I133">
        <f ca="1">COUNTIFS(Sustainability_Documents!$A:$A,$A133,Sustainability_Documents!$H:$H,"Expiring Soon")</f>
        <v>0</v>
      </c>
      <c r="J133">
        <f>COUNTIFS(Sustainability_Documents!$A:$A,$A133,Sustainability_Documents!$C:$C,"Yes")</f>
        <v>4</v>
      </c>
      <c r="K133">
        <f ca="1">IF($J133=0,"",($J133-$G133-$H133)/$J133)</f>
        <v>1</v>
      </c>
      <c r="L133">
        <f>COUNTIFS(OutReach_Log!$A:$A,$A133,OutReach_Log!$G:$G,"Yes")</f>
        <v>0</v>
      </c>
      <c r="M133">
        <f>COUNTIFS(OutReach_Log!$A:$A,$A133,OutReach_Log!$E:$E,"Pending")
 +COUNTIFS(OutReach_Log!$A:$A,$A133,OutReach_Log!$E:$E,"Escalated")</f>
        <v>0</v>
      </c>
      <c r="N133">
        <f>COUNTIFS(Incident_Log!$A:$A,$A133,Incident_Log!$C:$C,"High",Incident_Log!$E:$E,"No")</f>
        <v>0</v>
      </c>
      <c r="O133" t="str">
        <f t="shared" ca="1" si="2"/>
        <v>Attention Required</v>
      </c>
      <c r="P133">
        <f ca="1">($G133*40)+($H133*30)+($I133*10)+($N133*50)+IF($L133&gt;0,20,0)</f>
        <v>0</v>
      </c>
      <c r="Q133">
        <f ca="1">E133*(P133/100)</f>
        <v>0</v>
      </c>
      <c r="R133">
        <f ca="1">_xlfn.RANK.EQ($Q133,$Q$2:$Q$401,0)</f>
        <v>180</v>
      </c>
    </row>
    <row r="134" spans="1:18">
      <c r="A134" t="str" cm="1">
        <f t="array" ref="A134">_xlfn._xlws.SORT(Vendor_Master!A134)</f>
        <v>VND-133</v>
      </c>
      <c r="B134" t="str">
        <f>_xlfn.XLOOKUP(Compliance_Sheet!A134,Vendor_Master!A134,Vendor_Master!B134,"")</f>
        <v>Vendor_133</v>
      </c>
      <c r="C134" t="str">
        <f>_xlfn.XLOOKUP(A134,Vendor_Master!A134,Vendor_Master!C134,"")</f>
        <v>Rail Services</v>
      </c>
      <c r="D134" t="str">
        <f>_xlfn.XLOOKUP(A134,Vendor_Master!A134,Vendor_Master!D134,"")</f>
        <v>South</v>
      </c>
      <c r="E134">
        <f>_xlfn.XLOOKUP(A134,Vendor_Master!A134,Vendor_Master!E134,0)</f>
        <v>131321</v>
      </c>
      <c r="F134" t="str">
        <f>_xlfn.XLOOKUP(A134,Vendor_Master!A134,Vendor_Master!H134,"")</f>
        <v>contact133@vendor.com</v>
      </c>
      <c r="G134">
        <f ca="1">COUNTIFS(Sustainability_Documents!$A:$A,$A134,Sustainability_Documents!$H:$H,"Missing")</f>
        <v>0</v>
      </c>
      <c r="H134">
        <f ca="1">COUNTIFS(Sustainability_Documents!$A:$A,$A134,Sustainability_Documents!$H:$H,"Expired")</f>
        <v>0</v>
      </c>
      <c r="I134">
        <f ca="1">COUNTIFS(Sustainability_Documents!$A:$A,$A134,Sustainability_Documents!$H:$H,"Expiring Soon")</f>
        <v>0</v>
      </c>
      <c r="J134">
        <f>COUNTIFS(Sustainability_Documents!$A:$A,$A134,Sustainability_Documents!$C:$C,"Yes")</f>
        <v>4</v>
      </c>
      <c r="K134">
        <f ca="1">IF($J134=0,"",($J134-$G134-$H134)/$J134)</f>
        <v>1</v>
      </c>
      <c r="L134">
        <f>COUNTIFS(OutReach_Log!$A:$A,$A134,OutReach_Log!$G:$G,"Yes")</f>
        <v>0</v>
      </c>
      <c r="M134">
        <f>COUNTIFS(OutReach_Log!$A:$A,$A134,OutReach_Log!$E:$E,"Pending")
 +COUNTIFS(OutReach_Log!$A:$A,$A134,OutReach_Log!$E:$E,"Escalated")</f>
        <v>0</v>
      </c>
      <c r="N134">
        <f>COUNTIFS(Incident_Log!$A:$A,$A134,Incident_Log!$C:$C,"High",Incident_Log!$E:$E,"No")</f>
        <v>0</v>
      </c>
      <c r="O134" t="str">
        <f t="shared" ca="1" si="2"/>
        <v>Attention Required</v>
      </c>
      <c r="P134">
        <f ca="1">($G134*40)+($H134*30)+($I134*10)+($N134*50)+IF($L134&gt;0,20,0)</f>
        <v>0</v>
      </c>
      <c r="Q134">
        <f ca="1">E134*(P134/100)</f>
        <v>0</v>
      </c>
      <c r="R134">
        <f ca="1">_xlfn.RANK.EQ($Q134,$Q$2:$Q$401,0)</f>
        <v>180</v>
      </c>
    </row>
    <row r="135" spans="1:18">
      <c r="A135" t="str" cm="1">
        <f t="array" ref="A135">_xlfn._xlws.SORT(Vendor_Master!A135)</f>
        <v>VND-134</v>
      </c>
      <c r="B135" t="str">
        <f>_xlfn.XLOOKUP(Compliance_Sheet!A135,Vendor_Master!A135,Vendor_Master!B135,"")</f>
        <v>Vendor_134</v>
      </c>
      <c r="C135" t="str">
        <f>_xlfn.XLOOKUP(A135,Vendor_Master!A135,Vendor_Master!C135,"")</f>
        <v>Rail Services</v>
      </c>
      <c r="D135" t="str">
        <f>_xlfn.XLOOKUP(A135,Vendor_Master!A135,Vendor_Master!D135,"")</f>
        <v>South</v>
      </c>
      <c r="E135">
        <f>_xlfn.XLOOKUP(A135,Vendor_Master!A135,Vendor_Master!E135,0)</f>
        <v>203704</v>
      </c>
      <c r="F135" t="str">
        <f>_xlfn.XLOOKUP(A135,Vendor_Master!A135,Vendor_Master!H135,"")</f>
        <v>contact134@vendor.com</v>
      </c>
      <c r="G135">
        <f ca="1">COUNTIFS(Sustainability_Documents!$A:$A,$A135,Sustainability_Documents!$H:$H,"Missing")</f>
        <v>0</v>
      </c>
      <c r="H135">
        <f ca="1">COUNTIFS(Sustainability_Documents!$A:$A,$A135,Sustainability_Documents!$H:$H,"Expired")</f>
        <v>0</v>
      </c>
      <c r="I135">
        <f ca="1">COUNTIFS(Sustainability_Documents!$A:$A,$A135,Sustainability_Documents!$H:$H,"Expiring Soon")</f>
        <v>0</v>
      </c>
      <c r="J135">
        <f>COUNTIFS(Sustainability_Documents!$A:$A,$A135,Sustainability_Documents!$C:$C,"Yes")</f>
        <v>4</v>
      </c>
      <c r="K135">
        <f ca="1">IF($J135=0,"",($J135-$G135-$H135)/$J135)</f>
        <v>1</v>
      </c>
      <c r="L135">
        <f>COUNTIFS(OutReach_Log!$A:$A,$A135,OutReach_Log!$G:$G,"Yes")</f>
        <v>0</v>
      </c>
      <c r="M135">
        <f>COUNTIFS(OutReach_Log!$A:$A,$A135,OutReach_Log!$E:$E,"Pending")
 +COUNTIFS(OutReach_Log!$A:$A,$A135,OutReach_Log!$E:$E,"Escalated")</f>
        <v>0</v>
      </c>
      <c r="N135">
        <f>COUNTIFS(Incident_Log!$A:$A,$A135,Incident_Log!$C:$C,"High",Incident_Log!$E:$E,"No")</f>
        <v>0</v>
      </c>
      <c r="O135" t="str">
        <f t="shared" ca="1" si="2"/>
        <v>Attention Required</v>
      </c>
      <c r="P135">
        <f ca="1">($G135*40)+($H135*30)+($I135*10)+($N135*50)+IF($L135&gt;0,20,0)</f>
        <v>0</v>
      </c>
      <c r="Q135">
        <f ca="1">E135*(P135/100)</f>
        <v>0</v>
      </c>
      <c r="R135">
        <f ca="1">_xlfn.RANK.EQ($Q135,$Q$2:$Q$401,0)</f>
        <v>180</v>
      </c>
    </row>
    <row r="136" spans="1:18">
      <c r="A136" t="str" cm="1">
        <f t="array" ref="A136">_xlfn._xlws.SORT(Vendor_Master!A136)</f>
        <v>VND-135</v>
      </c>
      <c r="B136" t="str">
        <f>_xlfn.XLOOKUP(Compliance_Sheet!A136,Vendor_Master!A136,Vendor_Master!B136,"")</f>
        <v>Vendor_135</v>
      </c>
      <c r="C136" t="str">
        <f>_xlfn.XLOOKUP(A136,Vendor_Master!A136,Vendor_Master!C136,"")</f>
        <v>Rail Services</v>
      </c>
      <c r="D136" t="str">
        <f>_xlfn.XLOOKUP(A136,Vendor_Master!A136,Vendor_Master!D136,"")</f>
        <v>South</v>
      </c>
      <c r="E136">
        <f>_xlfn.XLOOKUP(A136,Vendor_Master!A136,Vendor_Master!E136,0)</f>
        <v>208866</v>
      </c>
      <c r="F136" t="str">
        <f>_xlfn.XLOOKUP(A136,Vendor_Master!A136,Vendor_Master!H136,"")</f>
        <v>contact135@vendor.com</v>
      </c>
      <c r="G136">
        <f ca="1">COUNTIFS(Sustainability_Documents!$A:$A,$A136,Sustainability_Documents!$H:$H,"Missing")</f>
        <v>0</v>
      </c>
      <c r="H136">
        <f ca="1">COUNTIFS(Sustainability_Documents!$A:$A,$A136,Sustainability_Documents!$H:$H,"Expired")</f>
        <v>0</v>
      </c>
      <c r="I136">
        <f ca="1">COUNTIFS(Sustainability_Documents!$A:$A,$A136,Sustainability_Documents!$H:$H,"Expiring Soon")</f>
        <v>0</v>
      </c>
      <c r="J136">
        <f>COUNTIFS(Sustainability_Documents!$A:$A,$A136,Sustainability_Documents!$C:$C,"Yes")</f>
        <v>4</v>
      </c>
      <c r="K136">
        <f ca="1">IF($J136=0,"",($J136-$G136-$H136)/$J136)</f>
        <v>1</v>
      </c>
      <c r="L136">
        <f>COUNTIFS(OutReach_Log!$A:$A,$A136,OutReach_Log!$G:$G,"Yes")</f>
        <v>0</v>
      </c>
      <c r="M136">
        <f>COUNTIFS(OutReach_Log!$A:$A,$A136,OutReach_Log!$E:$E,"Pending")
 +COUNTIFS(OutReach_Log!$A:$A,$A136,OutReach_Log!$E:$E,"Escalated")</f>
        <v>0</v>
      </c>
      <c r="N136">
        <f>COUNTIFS(Incident_Log!$A:$A,$A136,Incident_Log!$C:$C,"High",Incident_Log!$E:$E,"No")</f>
        <v>0</v>
      </c>
      <c r="O136" t="str">
        <f t="shared" ca="1" si="2"/>
        <v>Attention Required</v>
      </c>
      <c r="P136">
        <f ca="1">($G136*40)+($H136*30)+($I136*10)+($N136*50)+IF($L136&gt;0,20,0)</f>
        <v>0</v>
      </c>
      <c r="Q136">
        <f ca="1">E136*(P136/100)</f>
        <v>0</v>
      </c>
      <c r="R136">
        <f ca="1">_xlfn.RANK.EQ($Q136,$Q$2:$Q$401,0)</f>
        <v>180</v>
      </c>
    </row>
    <row r="137" spans="1:18">
      <c r="A137" t="str" cm="1">
        <f t="array" ref="A137">_xlfn._xlws.SORT(Vendor_Master!A137)</f>
        <v>VND-136</v>
      </c>
      <c r="B137" t="str">
        <f>_xlfn.XLOOKUP(Compliance_Sheet!A137,Vendor_Master!A137,Vendor_Master!B137,"")</f>
        <v>Vendor_136</v>
      </c>
      <c r="C137" t="str">
        <f>_xlfn.XLOOKUP(A137,Vendor_Master!A137,Vendor_Master!C137,"")</f>
        <v>Rail Services</v>
      </c>
      <c r="D137" t="str">
        <f>_xlfn.XLOOKUP(A137,Vendor_Master!A137,Vendor_Master!D137,"")</f>
        <v>South</v>
      </c>
      <c r="E137">
        <f>_xlfn.XLOOKUP(A137,Vendor_Master!A137,Vendor_Master!E137,0)</f>
        <v>191582</v>
      </c>
      <c r="F137" t="str">
        <f>_xlfn.XLOOKUP(A137,Vendor_Master!A137,Vendor_Master!H137,"")</f>
        <v>contact136@vendor.com</v>
      </c>
      <c r="G137">
        <f ca="1">COUNTIFS(Sustainability_Documents!$A:$A,$A137,Sustainability_Documents!$H:$H,"Missing")</f>
        <v>0</v>
      </c>
      <c r="H137">
        <f ca="1">COUNTIFS(Sustainability_Documents!$A:$A,$A137,Sustainability_Documents!$H:$H,"Expired")</f>
        <v>0</v>
      </c>
      <c r="I137">
        <f ca="1">COUNTIFS(Sustainability_Documents!$A:$A,$A137,Sustainability_Documents!$H:$H,"Expiring Soon")</f>
        <v>0</v>
      </c>
      <c r="J137">
        <f>COUNTIFS(Sustainability_Documents!$A:$A,$A137,Sustainability_Documents!$C:$C,"Yes")</f>
        <v>4</v>
      </c>
      <c r="K137">
        <f ca="1">IF($J137=0,"",($J137-$G137-$H137)/$J137)</f>
        <v>1</v>
      </c>
      <c r="L137">
        <f>COUNTIFS(OutReach_Log!$A:$A,$A137,OutReach_Log!$G:$G,"Yes")</f>
        <v>0</v>
      </c>
      <c r="M137">
        <f>COUNTIFS(OutReach_Log!$A:$A,$A137,OutReach_Log!$E:$E,"Pending")
 +COUNTIFS(OutReach_Log!$A:$A,$A137,OutReach_Log!$E:$E,"Escalated")</f>
        <v>0</v>
      </c>
      <c r="N137">
        <f>COUNTIFS(Incident_Log!$A:$A,$A137,Incident_Log!$C:$C,"High",Incident_Log!$E:$E,"No")</f>
        <v>0</v>
      </c>
      <c r="O137" t="str">
        <f t="shared" ca="1" si="2"/>
        <v>Attention Required</v>
      </c>
      <c r="P137">
        <f ca="1">($G137*40)+($H137*30)+($I137*10)+($N137*50)+IF($L137&gt;0,20,0)</f>
        <v>0</v>
      </c>
      <c r="Q137">
        <f ca="1">E137*(P137/100)</f>
        <v>0</v>
      </c>
      <c r="R137">
        <f ca="1">_xlfn.RANK.EQ($Q137,$Q$2:$Q$401,0)</f>
        <v>180</v>
      </c>
    </row>
    <row r="138" spans="1:18">
      <c r="A138" t="str" cm="1">
        <f t="array" ref="A138">_xlfn._xlws.SORT(Vendor_Master!A138)</f>
        <v>VND-137</v>
      </c>
      <c r="B138" t="str">
        <f>_xlfn.XLOOKUP(Compliance_Sheet!A138,Vendor_Master!A138,Vendor_Master!B138,"")</f>
        <v>Vendor_137</v>
      </c>
      <c r="C138" t="str">
        <f>_xlfn.XLOOKUP(A138,Vendor_Master!A138,Vendor_Master!C138,"")</f>
        <v>Rail Services</v>
      </c>
      <c r="D138" t="str">
        <f>_xlfn.XLOOKUP(A138,Vendor_Master!A138,Vendor_Master!D138,"")</f>
        <v>South</v>
      </c>
      <c r="E138">
        <f>_xlfn.XLOOKUP(A138,Vendor_Master!A138,Vendor_Master!E138,0)</f>
        <v>227823</v>
      </c>
      <c r="F138" t="str">
        <f>_xlfn.XLOOKUP(A138,Vendor_Master!A138,Vendor_Master!H138,"")</f>
        <v>contact137@vendor.com</v>
      </c>
      <c r="G138">
        <f ca="1">COUNTIFS(Sustainability_Documents!$A:$A,$A138,Sustainability_Documents!$H:$H,"Missing")</f>
        <v>0</v>
      </c>
      <c r="H138">
        <f ca="1">COUNTIFS(Sustainability_Documents!$A:$A,$A138,Sustainability_Documents!$H:$H,"Expired")</f>
        <v>0</v>
      </c>
      <c r="I138">
        <f ca="1">COUNTIFS(Sustainability_Documents!$A:$A,$A138,Sustainability_Documents!$H:$H,"Expiring Soon")</f>
        <v>0</v>
      </c>
      <c r="J138">
        <f>COUNTIFS(Sustainability_Documents!$A:$A,$A138,Sustainability_Documents!$C:$C,"Yes")</f>
        <v>4</v>
      </c>
      <c r="K138">
        <f ca="1">IF($J138=0,"",($J138-$G138-$H138)/$J138)</f>
        <v>1</v>
      </c>
      <c r="L138">
        <f>COUNTIFS(OutReach_Log!$A:$A,$A138,OutReach_Log!$G:$G,"Yes")</f>
        <v>0</v>
      </c>
      <c r="M138">
        <f>COUNTIFS(OutReach_Log!$A:$A,$A138,OutReach_Log!$E:$E,"Pending")
 +COUNTIFS(OutReach_Log!$A:$A,$A138,OutReach_Log!$E:$E,"Escalated")</f>
        <v>0</v>
      </c>
      <c r="N138">
        <f>COUNTIFS(Incident_Log!$A:$A,$A138,Incident_Log!$C:$C,"High",Incident_Log!$E:$E,"No")</f>
        <v>0</v>
      </c>
      <c r="O138" t="str">
        <f t="shared" ca="1" si="2"/>
        <v>Attention Required</v>
      </c>
      <c r="P138">
        <f ca="1">($G138*40)+($H138*30)+($I138*10)+($N138*50)+IF($L138&gt;0,20,0)</f>
        <v>0</v>
      </c>
      <c r="Q138">
        <f ca="1">E138*(P138/100)</f>
        <v>0</v>
      </c>
      <c r="R138">
        <f ca="1">_xlfn.RANK.EQ($Q138,$Q$2:$Q$401,0)</f>
        <v>180</v>
      </c>
    </row>
    <row r="139" spans="1:18">
      <c r="A139" t="str" cm="1">
        <f t="array" ref="A139">_xlfn._xlws.SORT(Vendor_Master!A139)</f>
        <v>VND-138</v>
      </c>
      <c r="B139" t="str">
        <f>_xlfn.XLOOKUP(Compliance_Sheet!A139,Vendor_Master!A139,Vendor_Master!B139,"")</f>
        <v>Vendor_138</v>
      </c>
      <c r="C139" t="str">
        <f>_xlfn.XLOOKUP(A139,Vendor_Master!A139,Vendor_Master!C139,"")</f>
        <v>Rail Services</v>
      </c>
      <c r="D139" t="str">
        <f>_xlfn.XLOOKUP(A139,Vendor_Master!A139,Vendor_Master!D139,"")</f>
        <v>South</v>
      </c>
      <c r="E139">
        <f>_xlfn.XLOOKUP(A139,Vendor_Master!A139,Vendor_Master!E139,0)</f>
        <v>126151</v>
      </c>
      <c r="F139" t="str">
        <f>_xlfn.XLOOKUP(A139,Vendor_Master!A139,Vendor_Master!H139,"")</f>
        <v>contact138@vendor.com</v>
      </c>
      <c r="G139">
        <f ca="1">COUNTIFS(Sustainability_Documents!$A:$A,$A139,Sustainability_Documents!$H:$H,"Missing")</f>
        <v>0</v>
      </c>
      <c r="H139">
        <f ca="1">COUNTIFS(Sustainability_Documents!$A:$A,$A139,Sustainability_Documents!$H:$H,"Expired")</f>
        <v>0</v>
      </c>
      <c r="I139">
        <f ca="1">COUNTIFS(Sustainability_Documents!$A:$A,$A139,Sustainability_Documents!$H:$H,"Expiring Soon")</f>
        <v>0</v>
      </c>
      <c r="J139">
        <f>COUNTIFS(Sustainability_Documents!$A:$A,$A139,Sustainability_Documents!$C:$C,"Yes")</f>
        <v>4</v>
      </c>
      <c r="K139">
        <f ca="1">IF($J139=0,"",($J139-$G139-$H139)/$J139)</f>
        <v>1</v>
      </c>
      <c r="L139">
        <f>COUNTIFS(OutReach_Log!$A:$A,$A139,OutReach_Log!$G:$G,"Yes")</f>
        <v>0</v>
      </c>
      <c r="M139">
        <f>COUNTIFS(OutReach_Log!$A:$A,$A139,OutReach_Log!$E:$E,"Pending")
 +COUNTIFS(OutReach_Log!$A:$A,$A139,OutReach_Log!$E:$E,"Escalated")</f>
        <v>0</v>
      </c>
      <c r="N139">
        <f>COUNTIFS(Incident_Log!$A:$A,$A139,Incident_Log!$C:$C,"High",Incident_Log!$E:$E,"No")</f>
        <v>0</v>
      </c>
      <c r="O139" t="str">
        <f t="shared" ca="1" si="2"/>
        <v>Attention Required</v>
      </c>
      <c r="P139">
        <f ca="1">($G139*40)+($H139*30)+($I139*10)+($N139*50)+IF($L139&gt;0,20,0)</f>
        <v>0</v>
      </c>
      <c r="Q139">
        <f ca="1">E139*(P139/100)</f>
        <v>0</v>
      </c>
      <c r="R139">
        <f ca="1">_xlfn.RANK.EQ($Q139,$Q$2:$Q$401,0)</f>
        <v>180</v>
      </c>
    </row>
    <row r="140" spans="1:18">
      <c r="A140" t="str" cm="1">
        <f t="array" ref="A140">_xlfn._xlws.SORT(Vendor_Master!A140)</f>
        <v>VND-139</v>
      </c>
      <c r="B140" t="str">
        <f>_xlfn.XLOOKUP(Compliance_Sheet!A140,Vendor_Master!A140,Vendor_Master!B140,"")</f>
        <v>Vendor_139</v>
      </c>
      <c r="C140" t="str">
        <f>_xlfn.XLOOKUP(A140,Vendor_Master!A140,Vendor_Master!C140,"")</f>
        <v>Rail Services</v>
      </c>
      <c r="D140" t="str">
        <f>_xlfn.XLOOKUP(A140,Vendor_Master!A140,Vendor_Master!D140,"")</f>
        <v>South</v>
      </c>
      <c r="E140">
        <f>_xlfn.XLOOKUP(A140,Vendor_Master!A140,Vendor_Master!E140,0)</f>
        <v>150543</v>
      </c>
      <c r="F140" t="str">
        <f>_xlfn.XLOOKUP(A140,Vendor_Master!A140,Vendor_Master!H140,"")</f>
        <v>contact139@vendor.com</v>
      </c>
      <c r="G140">
        <f ca="1">COUNTIFS(Sustainability_Documents!$A:$A,$A140,Sustainability_Documents!$H:$H,"Missing")</f>
        <v>0</v>
      </c>
      <c r="H140">
        <f ca="1">COUNTIFS(Sustainability_Documents!$A:$A,$A140,Sustainability_Documents!$H:$H,"Expired")</f>
        <v>0</v>
      </c>
      <c r="I140">
        <f ca="1">COUNTIFS(Sustainability_Documents!$A:$A,$A140,Sustainability_Documents!$H:$H,"Expiring Soon")</f>
        <v>0</v>
      </c>
      <c r="J140">
        <f>COUNTIFS(Sustainability_Documents!$A:$A,$A140,Sustainability_Documents!$C:$C,"Yes")</f>
        <v>4</v>
      </c>
      <c r="K140">
        <f ca="1">IF($J140=0,"",($J140-$G140-$H140)/$J140)</f>
        <v>1</v>
      </c>
      <c r="L140">
        <f>COUNTIFS(OutReach_Log!$A:$A,$A140,OutReach_Log!$G:$G,"Yes")</f>
        <v>0</v>
      </c>
      <c r="M140">
        <f>COUNTIFS(OutReach_Log!$A:$A,$A140,OutReach_Log!$E:$E,"Pending")
 +COUNTIFS(OutReach_Log!$A:$A,$A140,OutReach_Log!$E:$E,"Escalated")</f>
        <v>0</v>
      </c>
      <c r="N140">
        <f>COUNTIFS(Incident_Log!$A:$A,$A140,Incident_Log!$C:$C,"High",Incident_Log!$E:$E,"No")</f>
        <v>0</v>
      </c>
      <c r="O140" t="str">
        <f t="shared" ca="1" si="2"/>
        <v>Attention Required</v>
      </c>
      <c r="P140">
        <f ca="1">($G140*40)+($H140*30)+($I140*10)+($N140*50)+IF($L140&gt;0,20,0)</f>
        <v>0</v>
      </c>
      <c r="Q140">
        <f ca="1">E140*(P140/100)</f>
        <v>0</v>
      </c>
      <c r="R140">
        <f ca="1">_xlfn.RANK.EQ($Q140,$Q$2:$Q$401,0)</f>
        <v>180</v>
      </c>
    </row>
    <row r="141" spans="1:18">
      <c r="A141" t="str" cm="1">
        <f t="array" ref="A141">_xlfn._xlws.SORT(Vendor_Master!A141)</f>
        <v>VND-140</v>
      </c>
      <c r="B141" t="str">
        <f>_xlfn.XLOOKUP(Compliance_Sheet!A141,Vendor_Master!A141,Vendor_Master!B141,"")</f>
        <v>Vendor_140</v>
      </c>
      <c r="C141" t="str">
        <f>_xlfn.XLOOKUP(A141,Vendor_Master!A141,Vendor_Master!C141,"")</f>
        <v>Rail Services</v>
      </c>
      <c r="D141" t="str">
        <f>_xlfn.XLOOKUP(A141,Vendor_Master!A141,Vendor_Master!D141,"")</f>
        <v>South</v>
      </c>
      <c r="E141">
        <f>_xlfn.XLOOKUP(A141,Vendor_Master!A141,Vendor_Master!E141,0)</f>
        <v>107981</v>
      </c>
      <c r="F141" t="str">
        <f>_xlfn.XLOOKUP(A141,Vendor_Master!A141,Vendor_Master!H141,"")</f>
        <v>contact140@vendor.com</v>
      </c>
      <c r="G141">
        <f ca="1">COUNTIFS(Sustainability_Documents!$A:$A,$A141,Sustainability_Documents!$H:$H,"Missing")</f>
        <v>0</v>
      </c>
      <c r="H141">
        <f ca="1">COUNTIFS(Sustainability_Documents!$A:$A,$A141,Sustainability_Documents!$H:$H,"Expired")</f>
        <v>0</v>
      </c>
      <c r="I141">
        <f ca="1">COUNTIFS(Sustainability_Documents!$A:$A,$A141,Sustainability_Documents!$H:$H,"Expiring Soon")</f>
        <v>0</v>
      </c>
      <c r="J141">
        <f>COUNTIFS(Sustainability_Documents!$A:$A,$A141,Sustainability_Documents!$C:$C,"Yes")</f>
        <v>4</v>
      </c>
      <c r="K141">
        <f ca="1">IF($J141=0,"",($J141-$G141-$H141)/$J141)</f>
        <v>1</v>
      </c>
      <c r="L141">
        <f>COUNTIFS(OutReach_Log!$A:$A,$A141,OutReach_Log!$G:$G,"Yes")</f>
        <v>0</v>
      </c>
      <c r="M141">
        <f>COUNTIFS(OutReach_Log!$A:$A,$A141,OutReach_Log!$E:$E,"Pending")
 +COUNTIFS(OutReach_Log!$A:$A,$A141,OutReach_Log!$E:$E,"Escalated")</f>
        <v>0</v>
      </c>
      <c r="N141">
        <f>COUNTIFS(Incident_Log!$A:$A,$A141,Incident_Log!$C:$C,"High",Incident_Log!$E:$E,"No")</f>
        <v>0</v>
      </c>
      <c r="O141" t="str">
        <f t="shared" ca="1" si="2"/>
        <v>Attention Required</v>
      </c>
      <c r="P141">
        <f ca="1">($G141*40)+($H141*30)+($I141*10)+($N141*50)+IF($L141&gt;0,20,0)</f>
        <v>0</v>
      </c>
      <c r="Q141">
        <f ca="1">E141*(P141/100)</f>
        <v>0</v>
      </c>
      <c r="R141">
        <f ca="1">_xlfn.RANK.EQ($Q141,$Q$2:$Q$401,0)</f>
        <v>180</v>
      </c>
    </row>
    <row r="142" spans="1:18">
      <c r="A142" t="str" cm="1">
        <f t="array" ref="A142">_xlfn._xlws.SORT(Vendor_Master!A142)</f>
        <v>VND-141</v>
      </c>
      <c r="B142" t="str">
        <f>_xlfn.XLOOKUP(Compliance_Sheet!A142,Vendor_Master!A142,Vendor_Master!B142,"")</f>
        <v>Vendor_141</v>
      </c>
      <c r="C142" t="str">
        <f>_xlfn.XLOOKUP(A142,Vendor_Master!A142,Vendor_Master!C142,"")</f>
        <v>Rail Services</v>
      </c>
      <c r="D142" t="str">
        <f>_xlfn.XLOOKUP(A142,Vendor_Master!A142,Vendor_Master!D142,"")</f>
        <v>South</v>
      </c>
      <c r="E142">
        <f>_xlfn.XLOOKUP(A142,Vendor_Master!A142,Vendor_Master!E142,0)</f>
        <v>101615</v>
      </c>
      <c r="F142" t="str">
        <f>_xlfn.XLOOKUP(A142,Vendor_Master!A142,Vendor_Master!H142,"")</f>
        <v>contact141@vendor.com</v>
      </c>
      <c r="G142">
        <f ca="1">COUNTIFS(Sustainability_Documents!$A:$A,$A142,Sustainability_Documents!$H:$H,"Missing")</f>
        <v>0</v>
      </c>
      <c r="H142">
        <f ca="1">COUNTIFS(Sustainability_Documents!$A:$A,$A142,Sustainability_Documents!$H:$H,"Expired")</f>
        <v>0</v>
      </c>
      <c r="I142">
        <f ca="1">COUNTIFS(Sustainability_Documents!$A:$A,$A142,Sustainability_Documents!$H:$H,"Expiring Soon")</f>
        <v>0</v>
      </c>
      <c r="J142">
        <f>COUNTIFS(Sustainability_Documents!$A:$A,$A142,Sustainability_Documents!$C:$C,"Yes")</f>
        <v>4</v>
      </c>
      <c r="K142">
        <f ca="1">IF($J142=0,"",($J142-$G142-$H142)/$J142)</f>
        <v>1</v>
      </c>
      <c r="L142">
        <f>COUNTIFS(OutReach_Log!$A:$A,$A142,OutReach_Log!$G:$G,"Yes")</f>
        <v>0</v>
      </c>
      <c r="M142">
        <f>COUNTIFS(OutReach_Log!$A:$A,$A142,OutReach_Log!$E:$E,"Pending")
 +COUNTIFS(OutReach_Log!$A:$A,$A142,OutReach_Log!$E:$E,"Escalated")</f>
        <v>0</v>
      </c>
      <c r="N142">
        <f>COUNTIFS(Incident_Log!$A:$A,$A142,Incident_Log!$C:$C,"High",Incident_Log!$E:$E,"No")</f>
        <v>0</v>
      </c>
      <c r="O142" t="str">
        <f t="shared" ca="1" si="2"/>
        <v>Attention Required</v>
      </c>
      <c r="P142">
        <f ca="1">($G142*40)+($H142*30)+($I142*10)+($N142*50)+IF($L142&gt;0,20,0)</f>
        <v>0</v>
      </c>
      <c r="Q142">
        <f ca="1">E142*(P142/100)</f>
        <v>0</v>
      </c>
      <c r="R142">
        <f ca="1">_xlfn.RANK.EQ($Q142,$Q$2:$Q$401,0)</f>
        <v>180</v>
      </c>
    </row>
    <row r="143" spans="1:18">
      <c r="A143" t="str" cm="1">
        <f t="array" ref="A143">_xlfn._xlws.SORT(Vendor_Master!A143)</f>
        <v>VND-142</v>
      </c>
      <c r="B143" t="str">
        <f>_xlfn.XLOOKUP(Compliance_Sheet!A143,Vendor_Master!A143,Vendor_Master!B143,"")</f>
        <v>Vendor_142</v>
      </c>
      <c r="C143" t="str">
        <f>_xlfn.XLOOKUP(A143,Vendor_Master!A143,Vendor_Master!C143,"")</f>
        <v>Rail Services</v>
      </c>
      <c r="D143" t="str">
        <f>_xlfn.XLOOKUP(A143,Vendor_Master!A143,Vendor_Master!D143,"")</f>
        <v>South</v>
      </c>
      <c r="E143">
        <f>_xlfn.XLOOKUP(A143,Vendor_Master!A143,Vendor_Master!E143,0)</f>
        <v>190998</v>
      </c>
      <c r="F143" t="str">
        <f>_xlfn.XLOOKUP(A143,Vendor_Master!A143,Vendor_Master!H143,"")</f>
        <v>contact142@vendor.com</v>
      </c>
      <c r="G143">
        <f ca="1">COUNTIFS(Sustainability_Documents!$A:$A,$A143,Sustainability_Documents!$H:$H,"Missing")</f>
        <v>0</v>
      </c>
      <c r="H143">
        <f ca="1">COUNTIFS(Sustainability_Documents!$A:$A,$A143,Sustainability_Documents!$H:$H,"Expired")</f>
        <v>0</v>
      </c>
      <c r="I143">
        <f ca="1">COUNTIFS(Sustainability_Documents!$A:$A,$A143,Sustainability_Documents!$H:$H,"Expiring Soon")</f>
        <v>0</v>
      </c>
      <c r="J143">
        <f>COUNTIFS(Sustainability_Documents!$A:$A,$A143,Sustainability_Documents!$C:$C,"Yes")</f>
        <v>4</v>
      </c>
      <c r="K143">
        <f ca="1">IF($J143=0,"",($J143-$G143-$H143)/$J143)</f>
        <v>1</v>
      </c>
      <c r="L143">
        <f>COUNTIFS(OutReach_Log!$A:$A,$A143,OutReach_Log!$G:$G,"Yes")</f>
        <v>0</v>
      </c>
      <c r="M143">
        <f>COUNTIFS(OutReach_Log!$A:$A,$A143,OutReach_Log!$E:$E,"Pending")
 +COUNTIFS(OutReach_Log!$A:$A,$A143,OutReach_Log!$E:$E,"Escalated")</f>
        <v>0</v>
      </c>
      <c r="N143">
        <f>COUNTIFS(Incident_Log!$A:$A,$A143,Incident_Log!$C:$C,"High",Incident_Log!$E:$E,"No")</f>
        <v>0</v>
      </c>
      <c r="O143" t="str">
        <f t="shared" ca="1" si="2"/>
        <v>Attention Required</v>
      </c>
      <c r="P143">
        <f ca="1">($G143*40)+($H143*30)+($I143*10)+($N143*50)+IF($L143&gt;0,20,0)</f>
        <v>0</v>
      </c>
      <c r="Q143">
        <f ca="1">E143*(P143/100)</f>
        <v>0</v>
      </c>
      <c r="R143">
        <f ca="1">_xlfn.RANK.EQ($Q143,$Q$2:$Q$401,0)</f>
        <v>180</v>
      </c>
    </row>
    <row r="144" spans="1:18">
      <c r="A144" t="str" cm="1">
        <f t="array" ref="A144">_xlfn._xlws.SORT(Vendor_Master!A144)</f>
        <v>VND-143</v>
      </c>
      <c r="B144" t="str">
        <f>_xlfn.XLOOKUP(Compliance_Sheet!A144,Vendor_Master!A144,Vendor_Master!B144,"")</f>
        <v>Vendor_143</v>
      </c>
      <c r="C144" t="str">
        <f>_xlfn.XLOOKUP(A144,Vendor_Master!A144,Vendor_Master!C144,"")</f>
        <v>Rail Services</v>
      </c>
      <c r="D144" t="str">
        <f>_xlfn.XLOOKUP(A144,Vendor_Master!A144,Vendor_Master!D144,"")</f>
        <v>South</v>
      </c>
      <c r="E144">
        <f>_xlfn.XLOOKUP(A144,Vendor_Master!A144,Vendor_Master!E144,0)</f>
        <v>186489</v>
      </c>
      <c r="F144" t="str">
        <f>_xlfn.XLOOKUP(A144,Vendor_Master!A144,Vendor_Master!H144,"")</f>
        <v>contact143@vendor.com</v>
      </c>
      <c r="G144">
        <f ca="1">COUNTIFS(Sustainability_Documents!$A:$A,$A144,Sustainability_Documents!$H:$H,"Missing")</f>
        <v>0</v>
      </c>
      <c r="H144">
        <f ca="1">COUNTIFS(Sustainability_Documents!$A:$A,$A144,Sustainability_Documents!$H:$H,"Expired")</f>
        <v>0</v>
      </c>
      <c r="I144">
        <f ca="1">COUNTIFS(Sustainability_Documents!$A:$A,$A144,Sustainability_Documents!$H:$H,"Expiring Soon")</f>
        <v>0</v>
      </c>
      <c r="J144">
        <f>COUNTIFS(Sustainability_Documents!$A:$A,$A144,Sustainability_Documents!$C:$C,"Yes")</f>
        <v>4</v>
      </c>
      <c r="K144">
        <f ca="1">IF($J144=0,"",($J144-$G144-$H144)/$J144)</f>
        <v>1</v>
      </c>
      <c r="L144">
        <f>COUNTIFS(OutReach_Log!$A:$A,$A144,OutReach_Log!$G:$G,"Yes")</f>
        <v>0</v>
      </c>
      <c r="M144">
        <f>COUNTIFS(OutReach_Log!$A:$A,$A144,OutReach_Log!$E:$E,"Pending")
 +COUNTIFS(OutReach_Log!$A:$A,$A144,OutReach_Log!$E:$E,"Escalated")</f>
        <v>0</v>
      </c>
      <c r="N144">
        <f>COUNTIFS(Incident_Log!$A:$A,$A144,Incident_Log!$C:$C,"High",Incident_Log!$E:$E,"No")</f>
        <v>0</v>
      </c>
      <c r="O144" t="str">
        <f t="shared" ca="1" si="2"/>
        <v>Attention Required</v>
      </c>
      <c r="P144">
        <f ca="1">($G144*40)+($H144*30)+($I144*10)+($N144*50)+IF($L144&gt;0,20,0)</f>
        <v>0</v>
      </c>
      <c r="Q144">
        <f ca="1">E144*(P144/100)</f>
        <v>0</v>
      </c>
      <c r="R144">
        <f ca="1">_xlfn.RANK.EQ($Q144,$Q$2:$Q$401,0)</f>
        <v>180</v>
      </c>
    </row>
    <row r="145" spans="1:18">
      <c r="A145" t="str" cm="1">
        <f t="array" ref="A145">_xlfn._xlws.SORT(Vendor_Master!A145)</f>
        <v>VND-144</v>
      </c>
      <c r="B145" t="str">
        <f>_xlfn.XLOOKUP(Compliance_Sheet!A145,Vendor_Master!A145,Vendor_Master!B145,"")</f>
        <v>Vendor_144</v>
      </c>
      <c r="C145" t="str">
        <f>_xlfn.XLOOKUP(A145,Vendor_Master!A145,Vendor_Master!C145,"")</f>
        <v>Rail Services</v>
      </c>
      <c r="D145" t="str">
        <f>_xlfn.XLOOKUP(A145,Vendor_Master!A145,Vendor_Master!D145,"")</f>
        <v>South</v>
      </c>
      <c r="E145">
        <f>_xlfn.XLOOKUP(A145,Vendor_Master!A145,Vendor_Master!E145,0)</f>
        <v>139406</v>
      </c>
      <c r="F145" t="str">
        <f>_xlfn.XLOOKUP(A145,Vendor_Master!A145,Vendor_Master!H145,"")</f>
        <v>contact144@vendor.com</v>
      </c>
      <c r="G145">
        <f ca="1">COUNTIFS(Sustainability_Documents!$A:$A,$A145,Sustainability_Documents!$H:$H,"Missing")</f>
        <v>0</v>
      </c>
      <c r="H145">
        <f ca="1">COUNTIFS(Sustainability_Documents!$A:$A,$A145,Sustainability_Documents!$H:$H,"Expired")</f>
        <v>0</v>
      </c>
      <c r="I145">
        <f ca="1">COUNTIFS(Sustainability_Documents!$A:$A,$A145,Sustainability_Documents!$H:$H,"Expiring Soon")</f>
        <v>0</v>
      </c>
      <c r="J145">
        <f>COUNTIFS(Sustainability_Documents!$A:$A,$A145,Sustainability_Documents!$C:$C,"Yes")</f>
        <v>4</v>
      </c>
      <c r="K145">
        <f ca="1">IF($J145=0,"",($J145-$G145-$H145)/$J145)</f>
        <v>1</v>
      </c>
      <c r="L145">
        <f>COUNTIFS(OutReach_Log!$A:$A,$A145,OutReach_Log!$G:$G,"Yes")</f>
        <v>0</v>
      </c>
      <c r="M145">
        <f>COUNTIFS(OutReach_Log!$A:$A,$A145,OutReach_Log!$E:$E,"Pending")
 +COUNTIFS(OutReach_Log!$A:$A,$A145,OutReach_Log!$E:$E,"Escalated")</f>
        <v>0</v>
      </c>
      <c r="N145">
        <f>COUNTIFS(Incident_Log!$A:$A,$A145,Incident_Log!$C:$C,"High",Incident_Log!$E:$E,"No")</f>
        <v>0</v>
      </c>
      <c r="O145" t="str">
        <f t="shared" ca="1" si="2"/>
        <v>Attention Required</v>
      </c>
      <c r="P145">
        <f ca="1">($G145*40)+($H145*30)+($I145*10)+($N145*50)+IF($L145&gt;0,20,0)</f>
        <v>0</v>
      </c>
      <c r="Q145">
        <f ca="1">E145*(P145/100)</f>
        <v>0</v>
      </c>
      <c r="R145">
        <f ca="1">_xlfn.RANK.EQ($Q145,$Q$2:$Q$401,0)</f>
        <v>180</v>
      </c>
    </row>
    <row r="146" spans="1:18">
      <c r="A146" t="str" cm="1">
        <f t="array" ref="A146">_xlfn._xlws.SORT(Vendor_Master!A146)</f>
        <v>VND-145</v>
      </c>
      <c r="B146" t="str">
        <f>_xlfn.XLOOKUP(Compliance_Sheet!A146,Vendor_Master!A146,Vendor_Master!B146,"")</f>
        <v>Vendor_145</v>
      </c>
      <c r="C146" t="str">
        <f>_xlfn.XLOOKUP(A146,Vendor_Master!A146,Vendor_Master!C146,"")</f>
        <v>Rail Services</v>
      </c>
      <c r="D146" t="str">
        <f>_xlfn.XLOOKUP(A146,Vendor_Master!A146,Vendor_Master!D146,"")</f>
        <v>South</v>
      </c>
      <c r="E146">
        <f>_xlfn.XLOOKUP(A146,Vendor_Master!A146,Vendor_Master!E146,0)</f>
        <v>217628</v>
      </c>
      <c r="F146" t="str">
        <f>_xlfn.XLOOKUP(A146,Vendor_Master!A146,Vendor_Master!H146,"")</f>
        <v>contact145@vendor.com</v>
      </c>
      <c r="G146">
        <f ca="1">COUNTIFS(Sustainability_Documents!$A:$A,$A146,Sustainability_Documents!$H:$H,"Missing")</f>
        <v>0</v>
      </c>
      <c r="H146">
        <f ca="1">COUNTIFS(Sustainability_Documents!$A:$A,$A146,Sustainability_Documents!$H:$H,"Expired")</f>
        <v>0</v>
      </c>
      <c r="I146">
        <f ca="1">COUNTIFS(Sustainability_Documents!$A:$A,$A146,Sustainability_Documents!$H:$H,"Expiring Soon")</f>
        <v>0</v>
      </c>
      <c r="J146">
        <f>COUNTIFS(Sustainability_Documents!$A:$A,$A146,Sustainability_Documents!$C:$C,"Yes")</f>
        <v>4</v>
      </c>
      <c r="K146">
        <f ca="1">IF($J146=0,"",($J146-$G146-$H146)/$J146)</f>
        <v>1</v>
      </c>
      <c r="L146">
        <f>COUNTIFS(OutReach_Log!$A:$A,$A146,OutReach_Log!$G:$G,"Yes")</f>
        <v>0</v>
      </c>
      <c r="M146">
        <f>COUNTIFS(OutReach_Log!$A:$A,$A146,OutReach_Log!$E:$E,"Pending")
 +COUNTIFS(OutReach_Log!$A:$A,$A146,OutReach_Log!$E:$E,"Escalated")</f>
        <v>0</v>
      </c>
      <c r="N146">
        <f>COUNTIFS(Incident_Log!$A:$A,$A146,Incident_Log!$C:$C,"High",Incident_Log!$E:$E,"No")</f>
        <v>0</v>
      </c>
      <c r="O146" t="str">
        <f t="shared" ca="1" si="2"/>
        <v>Attention Required</v>
      </c>
      <c r="P146">
        <f ca="1">($G146*40)+($H146*30)+($I146*10)+($N146*50)+IF($L146&gt;0,20,0)</f>
        <v>0</v>
      </c>
      <c r="Q146">
        <f ca="1">E146*(P146/100)</f>
        <v>0</v>
      </c>
      <c r="R146">
        <f ca="1">_xlfn.RANK.EQ($Q146,$Q$2:$Q$401,0)</f>
        <v>180</v>
      </c>
    </row>
    <row r="147" spans="1:18">
      <c r="A147" t="str" cm="1">
        <f t="array" ref="A147">_xlfn._xlws.SORT(Vendor_Master!A147)</f>
        <v>VND-146</v>
      </c>
      <c r="B147" t="str">
        <f>_xlfn.XLOOKUP(Compliance_Sheet!A147,Vendor_Master!A147,Vendor_Master!B147,"")</f>
        <v>Vendor_146</v>
      </c>
      <c r="C147" t="str">
        <f>_xlfn.XLOOKUP(A147,Vendor_Master!A147,Vendor_Master!C147,"")</f>
        <v>Rail Services</v>
      </c>
      <c r="D147" t="str">
        <f>_xlfn.XLOOKUP(A147,Vendor_Master!A147,Vendor_Master!D147,"")</f>
        <v>South</v>
      </c>
      <c r="E147">
        <f>_xlfn.XLOOKUP(A147,Vendor_Master!A147,Vendor_Master!E147,0)</f>
        <v>79067</v>
      </c>
      <c r="F147" t="str">
        <f>_xlfn.XLOOKUP(A147,Vendor_Master!A147,Vendor_Master!H147,"")</f>
        <v>contact146@vendor.com</v>
      </c>
      <c r="G147">
        <f ca="1">COUNTIFS(Sustainability_Documents!$A:$A,$A147,Sustainability_Documents!$H:$H,"Missing")</f>
        <v>0</v>
      </c>
      <c r="H147">
        <f ca="1">COUNTIFS(Sustainability_Documents!$A:$A,$A147,Sustainability_Documents!$H:$H,"Expired")</f>
        <v>0</v>
      </c>
      <c r="I147">
        <f ca="1">COUNTIFS(Sustainability_Documents!$A:$A,$A147,Sustainability_Documents!$H:$H,"Expiring Soon")</f>
        <v>0</v>
      </c>
      <c r="J147">
        <f>COUNTIFS(Sustainability_Documents!$A:$A,$A147,Sustainability_Documents!$C:$C,"Yes")</f>
        <v>4</v>
      </c>
      <c r="K147">
        <f ca="1">IF($J147=0,"",($J147-$G147-$H147)/$J147)</f>
        <v>1</v>
      </c>
      <c r="L147">
        <f>COUNTIFS(OutReach_Log!$A:$A,$A147,OutReach_Log!$G:$G,"Yes")</f>
        <v>0</v>
      </c>
      <c r="M147">
        <f>COUNTIFS(OutReach_Log!$A:$A,$A147,OutReach_Log!$E:$E,"Pending")
 +COUNTIFS(OutReach_Log!$A:$A,$A147,OutReach_Log!$E:$E,"Escalated")</f>
        <v>0</v>
      </c>
      <c r="N147">
        <f>COUNTIFS(Incident_Log!$A:$A,$A147,Incident_Log!$C:$C,"High",Incident_Log!$E:$E,"No")</f>
        <v>0</v>
      </c>
      <c r="O147" t="str">
        <f t="shared" ca="1" si="2"/>
        <v>Attention Required</v>
      </c>
      <c r="P147">
        <f ca="1">($G147*40)+($H147*30)+($I147*10)+($N147*50)+IF($L147&gt;0,20,0)</f>
        <v>0</v>
      </c>
      <c r="Q147">
        <f ca="1">E147*(P147/100)</f>
        <v>0</v>
      </c>
      <c r="R147">
        <f ca="1">_xlfn.RANK.EQ($Q147,$Q$2:$Q$401,0)</f>
        <v>180</v>
      </c>
    </row>
    <row r="148" spans="1:18">
      <c r="A148" t="str" cm="1">
        <f t="array" ref="A148">_xlfn._xlws.SORT(Vendor_Master!A148)</f>
        <v>VND-147</v>
      </c>
      <c r="B148" t="str">
        <f>_xlfn.XLOOKUP(Compliance_Sheet!A148,Vendor_Master!A148,Vendor_Master!B148,"")</f>
        <v>Vendor_147</v>
      </c>
      <c r="C148" t="str">
        <f>_xlfn.XLOOKUP(A148,Vendor_Master!A148,Vendor_Master!C148,"")</f>
        <v>Rail Services</v>
      </c>
      <c r="D148" t="str">
        <f>_xlfn.XLOOKUP(A148,Vendor_Master!A148,Vendor_Master!D148,"")</f>
        <v>South</v>
      </c>
      <c r="E148">
        <f>_xlfn.XLOOKUP(A148,Vendor_Master!A148,Vendor_Master!E148,0)</f>
        <v>142270</v>
      </c>
      <c r="F148" t="str">
        <f>_xlfn.XLOOKUP(A148,Vendor_Master!A148,Vendor_Master!H148,"")</f>
        <v>contact147@vendor.com</v>
      </c>
      <c r="G148">
        <f ca="1">COUNTIFS(Sustainability_Documents!$A:$A,$A148,Sustainability_Documents!$H:$H,"Missing")</f>
        <v>0</v>
      </c>
      <c r="H148">
        <f ca="1">COUNTIFS(Sustainability_Documents!$A:$A,$A148,Sustainability_Documents!$H:$H,"Expired")</f>
        <v>0</v>
      </c>
      <c r="I148">
        <f ca="1">COUNTIFS(Sustainability_Documents!$A:$A,$A148,Sustainability_Documents!$H:$H,"Expiring Soon")</f>
        <v>0</v>
      </c>
      <c r="J148">
        <f>COUNTIFS(Sustainability_Documents!$A:$A,$A148,Sustainability_Documents!$C:$C,"Yes")</f>
        <v>4</v>
      </c>
      <c r="K148">
        <f ca="1">IF($J148=0,"",($J148-$G148-$H148)/$J148)</f>
        <v>1</v>
      </c>
      <c r="L148">
        <f>COUNTIFS(OutReach_Log!$A:$A,$A148,OutReach_Log!$G:$G,"Yes")</f>
        <v>0</v>
      </c>
      <c r="M148">
        <f>COUNTIFS(OutReach_Log!$A:$A,$A148,OutReach_Log!$E:$E,"Pending")
 +COUNTIFS(OutReach_Log!$A:$A,$A148,OutReach_Log!$E:$E,"Escalated")</f>
        <v>0</v>
      </c>
      <c r="N148">
        <f>COUNTIFS(Incident_Log!$A:$A,$A148,Incident_Log!$C:$C,"High",Incident_Log!$E:$E,"No")</f>
        <v>0</v>
      </c>
      <c r="O148" t="str">
        <f t="shared" ca="1" si="2"/>
        <v>Attention Required</v>
      </c>
      <c r="P148">
        <f ca="1">($G148*40)+($H148*30)+($I148*10)+($N148*50)+IF($L148&gt;0,20,0)</f>
        <v>0</v>
      </c>
      <c r="Q148">
        <f ca="1">E148*(P148/100)</f>
        <v>0</v>
      </c>
      <c r="R148">
        <f ca="1">_xlfn.RANK.EQ($Q148,$Q$2:$Q$401,0)</f>
        <v>180</v>
      </c>
    </row>
    <row r="149" spans="1:18">
      <c r="A149" t="str" cm="1">
        <f t="array" ref="A149">_xlfn._xlws.SORT(Vendor_Master!A149)</f>
        <v>VND-148</v>
      </c>
      <c r="B149" t="str">
        <f>_xlfn.XLOOKUP(Compliance_Sheet!A149,Vendor_Master!A149,Vendor_Master!B149,"")</f>
        <v>Vendor_148</v>
      </c>
      <c r="C149" t="str">
        <f>_xlfn.XLOOKUP(A149,Vendor_Master!A149,Vendor_Master!C149,"")</f>
        <v>Rail Services</v>
      </c>
      <c r="D149" t="str">
        <f>_xlfn.XLOOKUP(A149,Vendor_Master!A149,Vendor_Master!D149,"")</f>
        <v>South</v>
      </c>
      <c r="E149">
        <f>_xlfn.XLOOKUP(A149,Vendor_Master!A149,Vendor_Master!E149,0)</f>
        <v>125646</v>
      </c>
      <c r="F149" t="str">
        <f>_xlfn.XLOOKUP(A149,Vendor_Master!A149,Vendor_Master!H149,"")</f>
        <v>contact148@vendor.com</v>
      </c>
      <c r="G149">
        <f ca="1">COUNTIFS(Sustainability_Documents!$A:$A,$A149,Sustainability_Documents!$H:$H,"Missing")</f>
        <v>0</v>
      </c>
      <c r="H149">
        <f ca="1">COUNTIFS(Sustainability_Documents!$A:$A,$A149,Sustainability_Documents!$H:$H,"Expired")</f>
        <v>0</v>
      </c>
      <c r="I149">
        <f ca="1">COUNTIFS(Sustainability_Documents!$A:$A,$A149,Sustainability_Documents!$H:$H,"Expiring Soon")</f>
        <v>0</v>
      </c>
      <c r="J149">
        <f>COUNTIFS(Sustainability_Documents!$A:$A,$A149,Sustainability_Documents!$C:$C,"Yes")</f>
        <v>4</v>
      </c>
      <c r="K149">
        <f ca="1">IF($J149=0,"",($J149-$G149-$H149)/$J149)</f>
        <v>1</v>
      </c>
      <c r="L149">
        <f>COUNTIFS(OutReach_Log!$A:$A,$A149,OutReach_Log!$G:$G,"Yes")</f>
        <v>0</v>
      </c>
      <c r="M149">
        <f>COUNTIFS(OutReach_Log!$A:$A,$A149,OutReach_Log!$E:$E,"Pending")
 +COUNTIFS(OutReach_Log!$A:$A,$A149,OutReach_Log!$E:$E,"Escalated")</f>
        <v>0</v>
      </c>
      <c r="N149">
        <f>COUNTIFS(Incident_Log!$A:$A,$A149,Incident_Log!$C:$C,"High",Incident_Log!$E:$E,"No")</f>
        <v>0</v>
      </c>
      <c r="O149" t="str">
        <f t="shared" ca="1" si="2"/>
        <v>Attention Required</v>
      </c>
      <c r="P149">
        <f ca="1">($G149*40)+($H149*30)+($I149*10)+($N149*50)+IF($L149&gt;0,20,0)</f>
        <v>0</v>
      </c>
      <c r="Q149">
        <f ca="1">E149*(P149/100)</f>
        <v>0</v>
      </c>
      <c r="R149">
        <f ca="1">_xlfn.RANK.EQ($Q149,$Q$2:$Q$401,0)</f>
        <v>180</v>
      </c>
    </row>
    <row r="150" spans="1:18">
      <c r="A150" t="str" cm="1">
        <f t="array" ref="A150">_xlfn._xlws.SORT(Vendor_Master!A150)</f>
        <v>VND-149</v>
      </c>
      <c r="B150" t="str">
        <f>_xlfn.XLOOKUP(Compliance_Sheet!A150,Vendor_Master!A150,Vendor_Master!B150,"")</f>
        <v>Vendor_149</v>
      </c>
      <c r="C150" t="str">
        <f>_xlfn.XLOOKUP(A150,Vendor_Master!A150,Vendor_Master!C150,"")</f>
        <v>Rail Services</v>
      </c>
      <c r="D150" t="str">
        <f>_xlfn.XLOOKUP(A150,Vendor_Master!A150,Vendor_Master!D150,"")</f>
        <v>South</v>
      </c>
      <c r="E150">
        <f>_xlfn.XLOOKUP(A150,Vendor_Master!A150,Vendor_Master!E150,0)</f>
        <v>152001</v>
      </c>
      <c r="F150" t="str">
        <f>_xlfn.XLOOKUP(A150,Vendor_Master!A150,Vendor_Master!H150,"")</f>
        <v>contact149@vendor.com</v>
      </c>
      <c r="G150">
        <f ca="1">COUNTIFS(Sustainability_Documents!$A:$A,$A150,Sustainability_Documents!$H:$H,"Missing")</f>
        <v>0</v>
      </c>
      <c r="H150">
        <f ca="1">COUNTIFS(Sustainability_Documents!$A:$A,$A150,Sustainability_Documents!$H:$H,"Expired")</f>
        <v>0</v>
      </c>
      <c r="I150">
        <f ca="1">COUNTIFS(Sustainability_Documents!$A:$A,$A150,Sustainability_Documents!$H:$H,"Expiring Soon")</f>
        <v>0</v>
      </c>
      <c r="J150">
        <f>COUNTIFS(Sustainability_Documents!$A:$A,$A150,Sustainability_Documents!$C:$C,"Yes")</f>
        <v>4</v>
      </c>
      <c r="K150">
        <f ca="1">IF($J150=0,"",($J150-$G150-$H150)/$J150)</f>
        <v>1</v>
      </c>
      <c r="L150">
        <f>COUNTIFS(OutReach_Log!$A:$A,$A150,OutReach_Log!$G:$G,"Yes")</f>
        <v>0</v>
      </c>
      <c r="M150">
        <f>COUNTIFS(OutReach_Log!$A:$A,$A150,OutReach_Log!$E:$E,"Pending")
 +COUNTIFS(OutReach_Log!$A:$A,$A150,OutReach_Log!$E:$E,"Escalated")</f>
        <v>0</v>
      </c>
      <c r="N150">
        <f>COUNTIFS(Incident_Log!$A:$A,$A150,Incident_Log!$C:$C,"High",Incident_Log!$E:$E,"No")</f>
        <v>0</v>
      </c>
      <c r="O150" t="str">
        <f t="shared" ca="1" si="2"/>
        <v>Attention Required</v>
      </c>
      <c r="P150">
        <f ca="1">($G150*40)+($H150*30)+($I150*10)+($N150*50)+IF($L150&gt;0,20,0)</f>
        <v>0</v>
      </c>
      <c r="Q150">
        <f ca="1">E150*(P150/100)</f>
        <v>0</v>
      </c>
      <c r="R150">
        <f ca="1">_xlfn.RANK.EQ($Q150,$Q$2:$Q$401,0)</f>
        <v>180</v>
      </c>
    </row>
    <row r="151" spans="1:18">
      <c r="A151" t="str" cm="1">
        <f t="array" ref="A151">_xlfn._xlws.SORT(Vendor_Master!A151)</f>
        <v>VND-150</v>
      </c>
      <c r="B151" t="str">
        <f>_xlfn.XLOOKUP(Compliance_Sheet!A151,Vendor_Master!A151,Vendor_Master!B151,"")</f>
        <v>Vendor_150</v>
      </c>
      <c r="C151" t="str">
        <f>_xlfn.XLOOKUP(A151,Vendor_Master!A151,Vendor_Master!C151,"")</f>
        <v>Rail Services</v>
      </c>
      <c r="D151" t="str">
        <f>_xlfn.XLOOKUP(A151,Vendor_Master!A151,Vendor_Master!D151,"")</f>
        <v>South</v>
      </c>
      <c r="E151">
        <f>_xlfn.XLOOKUP(A151,Vendor_Master!A151,Vendor_Master!E151,0)</f>
        <v>214282</v>
      </c>
      <c r="F151" t="str">
        <f>_xlfn.XLOOKUP(A151,Vendor_Master!A151,Vendor_Master!H151,"")</f>
        <v>contact150@vendor.com</v>
      </c>
      <c r="G151">
        <f ca="1">COUNTIFS(Sustainability_Documents!$A:$A,$A151,Sustainability_Documents!$H:$H,"Missing")</f>
        <v>0</v>
      </c>
      <c r="H151">
        <f ca="1">COUNTIFS(Sustainability_Documents!$A:$A,$A151,Sustainability_Documents!$H:$H,"Expired")</f>
        <v>0</v>
      </c>
      <c r="I151">
        <f ca="1">COUNTIFS(Sustainability_Documents!$A:$A,$A151,Sustainability_Documents!$H:$H,"Expiring Soon")</f>
        <v>0</v>
      </c>
      <c r="J151">
        <f>COUNTIFS(Sustainability_Documents!$A:$A,$A151,Sustainability_Documents!$C:$C,"Yes")</f>
        <v>4</v>
      </c>
      <c r="K151">
        <f ca="1">IF($J151=0,"",($J151-$G151-$H151)/$J151)</f>
        <v>1</v>
      </c>
      <c r="L151">
        <f>COUNTIFS(OutReach_Log!$A:$A,$A151,OutReach_Log!$G:$G,"Yes")</f>
        <v>0</v>
      </c>
      <c r="M151">
        <f>COUNTIFS(OutReach_Log!$A:$A,$A151,OutReach_Log!$E:$E,"Pending")
 +COUNTIFS(OutReach_Log!$A:$A,$A151,OutReach_Log!$E:$E,"Escalated")</f>
        <v>0</v>
      </c>
      <c r="N151">
        <f>COUNTIFS(Incident_Log!$A:$A,$A151,Incident_Log!$C:$C,"High",Incident_Log!$E:$E,"No")</f>
        <v>0</v>
      </c>
      <c r="O151" t="str">
        <f t="shared" ca="1" si="2"/>
        <v>Attention Required</v>
      </c>
      <c r="P151">
        <f ca="1">($G151*40)+($H151*30)+($I151*10)+($N151*50)+IF($L151&gt;0,20,0)</f>
        <v>0</v>
      </c>
      <c r="Q151">
        <f ca="1">E151*(P151/100)</f>
        <v>0</v>
      </c>
      <c r="R151">
        <f ca="1">_xlfn.RANK.EQ($Q151,$Q$2:$Q$401,0)</f>
        <v>180</v>
      </c>
    </row>
    <row r="152" spans="1:18">
      <c r="A152" t="str" cm="1">
        <f t="array" ref="A152">_xlfn._xlws.SORT(Vendor_Master!A152)</f>
        <v>VND-151</v>
      </c>
      <c r="B152" t="str">
        <f>_xlfn.XLOOKUP(Compliance_Sheet!A152,Vendor_Master!A152,Vendor_Master!B152,"")</f>
        <v>Vendor_151</v>
      </c>
      <c r="C152" t="str">
        <f>_xlfn.XLOOKUP(A152,Vendor_Master!A152,Vendor_Master!C152,"")</f>
        <v>Rail Services</v>
      </c>
      <c r="D152" t="str">
        <f>_xlfn.XLOOKUP(A152,Vendor_Master!A152,Vendor_Master!D152,"")</f>
        <v>South</v>
      </c>
      <c r="E152">
        <f>_xlfn.XLOOKUP(A152,Vendor_Master!A152,Vendor_Master!E152,0)</f>
        <v>189147</v>
      </c>
      <c r="F152" t="str">
        <f>_xlfn.XLOOKUP(A152,Vendor_Master!A152,Vendor_Master!H152,"")</f>
        <v>contact151@vendor.com</v>
      </c>
      <c r="G152">
        <f ca="1">COUNTIFS(Sustainability_Documents!$A:$A,$A152,Sustainability_Documents!$H:$H,"Missing")</f>
        <v>0</v>
      </c>
      <c r="H152">
        <f ca="1">COUNTIFS(Sustainability_Documents!$A:$A,$A152,Sustainability_Documents!$H:$H,"Expired")</f>
        <v>0</v>
      </c>
      <c r="I152">
        <f ca="1">COUNTIFS(Sustainability_Documents!$A:$A,$A152,Sustainability_Documents!$H:$H,"Expiring Soon")</f>
        <v>0</v>
      </c>
      <c r="J152">
        <f>COUNTIFS(Sustainability_Documents!$A:$A,$A152,Sustainability_Documents!$C:$C,"Yes")</f>
        <v>4</v>
      </c>
      <c r="K152">
        <f ca="1">IF($J152=0,"",($J152-$G152-$H152)/$J152)</f>
        <v>1</v>
      </c>
      <c r="L152">
        <f>COUNTIFS(OutReach_Log!$A:$A,$A152,OutReach_Log!$G:$G,"Yes")</f>
        <v>0</v>
      </c>
      <c r="M152">
        <f>COUNTIFS(OutReach_Log!$A:$A,$A152,OutReach_Log!$E:$E,"Pending")
 +COUNTIFS(OutReach_Log!$A:$A,$A152,OutReach_Log!$E:$E,"Escalated")</f>
        <v>0</v>
      </c>
      <c r="N152">
        <f>COUNTIFS(Incident_Log!$A:$A,$A152,Incident_Log!$C:$C,"High",Incident_Log!$E:$E,"No")</f>
        <v>0</v>
      </c>
      <c r="O152" t="str">
        <f t="shared" ca="1" si="2"/>
        <v>Attention Required</v>
      </c>
      <c r="P152">
        <f ca="1">($G152*40)+($H152*30)+($I152*10)+($N152*50)+IF($L152&gt;0,20,0)</f>
        <v>0</v>
      </c>
      <c r="Q152">
        <f ca="1">E152*(P152/100)</f>
        <v>0</v>
      </c>
      <c r="R152">
        <f ca="1">_xlfn.RANK.EQ($Q152,$Q$2:$Q$401,0)</f>
        <v>180</v>
      </c>
    </row>
    <row r="153" spans="1:18">
      <c r="A153" t="str" cm="1">
        <f t="array" ref="A153">_xlfn._xlws.SORT(Vendor_Master!A153)</f>
        <v>VND-152</v>
      </c>
      <c r="B153" t="str">
        <f>_xlfn.XLOOKUP(Compliance_Sheet!A153,Vendor_Master!A153,Vendor_Master!B153,"")</f>
        <v>Vendor_152</v>
      </c>
      <c r="C153" t="str">
        <f>_xlfn.XLOOKUP(A153,Vendor_Master!A153,Vendor_Master!C153,"")</f>
        <v>Rail Services</v>
      </c>
      <c r="D153" t="str">
        <f>_xlfn.XLOOKUP(A153,Vendor_Master!A153,Vendor_Master!D153,"")</f>
        <v>South</v>
      </c>
      <c r="E153">
        <f>_xlfn.XLOOKUP(A153,Vendor_Master!A153,Vendor_Master!E153,0)</f>
        <v>234026</v>
      </c>
      <c r="F153" t="str">
        <f>_xlfn.XLOOKUP(A153,Vendor_Master!A153,Vendor_Master!H153,"")</f>
        <v>contact152@vendor.com</v>
      </c>
      <c r="G153">
        <f ca="1">COUNTIFS(Sustainability_Documents!$A:$A,$A153,Sustainability_Documents!$H:$H,"Missing")</f>
        <v>0</v>
      </c>
      <c r="H153">
        <f ca="1">COUNTIFS(Sustainability_Documents!$A:$A,$A153,Sustainability_Documents!$H:$H,"Expired")</f>
        <v>0</v>
      </c>
      <c r="I153">
        <f ca="1">COUNTIFS(Sustainability_Documents!$A:$A,$A153,Sustainability_Documents!$H:$H,"Expiring Soon")</f>
        <v>0</v>
      </c>
      <c r="J153">
        <f>COUNTIFS(Sustainability_Documents!$A:$A,$A153,Sustainability_Documents!$C:$C,"Yes")</f>
        <v>4</v>
      </c>
      <c r="K153">
        <f ca="1">IF($J153=0,"",($J153-$G153-$H153)/$J153)</f>
        <v>1</v>
      </c>
      <c r="L153">
        <f>COUNTIFS(OutReach_Log!$A:$A,$A153,OutReach_Log!$G:$G,"Yes")</f>
        <v>0</v>
      </c>
      <c r="M153">
        <f>COUNTIFS(OutReach_Log!$A:$A,$A153,OutReach_Log!$E:$E,"Pending")
 +COUNTIFS(OutReach_Log!$A:$A,$A153,OutReach_Log!$E:$E,"Escalated")</f>
        <v>0</v>
      </c>
      <c r="N153">
        <f>COUNTIFS(Incident_Log!$A:$A,$A153,Incident_Log!$C:$C,"High",Incident_Log!$E:$E,"No")</f>
        <v>0</v>
      </c>
      <c r="O153" t="str">
        <f t="shared" ca="1" si="2"/>
        <v>Attention Required</v>
      </c>
      <c r="P153">
        <f ca="1">($G153*40)+($H153*30)+($I153*10)+($N153*50)+IF($L153&gt;0,20,0)</f>
        <v>0</v>
      </c>
      <c r="Q153">
        <f ca="1">E153*(P153/100)</f>
        <v>0</v>
      </c>
      <c r="R153">
        <f ca="1">_xlfn.RANK.EQ($Q153,$Q$2:$Q$401,0)</f>
        <v>180</v>
      </c>
    </row>
    <row r="154" spans="1:18">
      <c r="A154" t="str" cm="1">
        <f t="array" ref="A154">_xlfn._xlws.SORT(Vendor_Master!A154)</f>
        <v>VND-153</v>
      </c>
      <c r="B154" t="str">
        <f>_xlfn.XLOOKUP(Compliance_Sheet!A154,Vendor_Master!A154,Vendor_Master!B154,"")</f>
        <v>Vendor_153</v>
      </c>
      <c r="C154" t="str">
        <f>_xlfn.XLOOKUP(A154,Vendor_Master!A154,Vendor_Master!C154,"")</f>
        <v>Rail Services</v>
      </c>
      <c r="D154" t="str">
        <f>_xlfn.XLOOKUP(A154,Vendor_Master!A154,Vendor_Master!D154,"")</f>
        <v>South</v>
      </c>
      <c r="E154">
        <f>_xlfn.XLOOKUP(A154,Vendor_Master!A154,Vendor_Master!E154,0)</f>
        <v>177289</v>
      </c>
      <c r="F154" t="str">
        <f>_xlfn.XLOOKUP(A154,Vendor_Master!A154,Vendor_Master!H154,"")</f>
        <v>contact153@vendor.com</v>
      </c>
      <c r="G154">
        <f ca="1">COUNTIFS(Sustainability_Documents!$A:$A,$A154,Sustainability_Documents!$H:$H,"Missing")</f>
        <v>0</v>
      </c>
      <c r="H154">
        <f ca="1">COUNTIFS(Sustainability_Documents!$A:$A,$A154,Sustainability_Documents!$H:$H,"Expired")</f>
        <v>0</v>
      </c>
      <c r="I154">
        <f ca="1">COUNTIFS(Sustainability_Documents!$A:$A,$A154,Sustainability_Documents!$H:$H,"Expiring Soon")</f>
        <v>0</v>
      </c>
      <c r="J154">
        <f>COUNTIFS(Sustainability_Documents!$A:$A,$A154,Sustainability_Documents!$C:$C,"Yes")</f>
        <v>4</v>
      </c>
      <c r="K154">
        <f ca="1">IF($J154=0,"",($J154-$G154-$H154)/$J154)</f>
        <v>1</v>
      </c>
      <c r="L154">
        <f>COUNTIFS(OutReach_Log!$A:$A,$A154,OutReach_Log!$G:$G,"Yes")</f>
        <v>0</v>
      </c>
      <c r="M154">
        <f>COUNTIFS(OutReach_Log!$A:$A,$A154,OutReach_Log!$E:$E,"Pending")
 +COUNTIFS(OutReach_Log!$A:$A,$A154,OutReach_Log!$E:$E,"Escalated")</f>
        <v>0</v>
      </c>
      <c r="N154">
        <f>COUNTIFS(Incident_Log!$A:$A,$A154,Incident_Log!$C:$C,"High",Incident_Log!$E:$E,"No")</f>
        <v>0</v>
      </c>
      <c r="O154" t="str">
        <f t="shared" ca="1" si="2"/>
        <v>Attention Required</v>
      </c>
      <c r="P154">
        <f ca="1">($G154*40)+($H154*30)+($I154*10)+($N154*50)+IF($L154&gt;0,20,0)</f>
        <v>0</v>
      </c>
      <c r="Q154">
        <f ca="1">E154*(P154/100)</f>
        <v>0</v>
      </c>
      <c r="R154">
        <f ca="1">_xlfn.RANK.EQ($Q154,$Q$2:$Q$401,0)</f>
        <v>180</v>
      </c>
    </row>
    <row r="155" spans="1:18">
      <c r="A155" t="str" cm="1">
        <f t="array" ref="A155">_xlfn._xlws.SORT(Vendor_Master!A155)</f>
        <v>VND-154</v>
      </c>
      <c r="B155" t="str">
        <f>_xlfn.XLOOKUP(Compliance_Sheet!A155,Vendor_Master!A155,Vendor_Master!B155,"")</f>
        <v>Vendor_154</v>
      </c>
      <c r="C155" t="str">
        <f>_xlfn.XLOOKUP(A155,Vendor_Master!A155,Vendor_Master!C155,"")</f>
        <v>Rail Services</v>
      </c>
      <c r="D155" t="str">
        <f>_xlfn.XLOOKUP(A155,Vendor_Master!A155,Vendor_Master!D155,"")</f>
        <v>South</v>
      </c>
      <c r="E155">
        <f>_xlfn.XLOOKUP(A155,Vendor_Master!A155,Vendor_Master!E155,0)</f>
        <v>96599</v>
      </c>
      <c r="F155" t="str">
        <f>_xlfn.XLOOKUP(A155,Vendor_Master!A155,Vendor_Master!H155,"")</f>
        <v>contact154@vendor.com</v>
      </c>
      <c r="G155">
        <f ca="1">COUNTIFS(Sustainability_Documents!$A:$A,$A155,Sustainability_Documents!$H:$H,"Missing")</f>
        <v>0</v>
      </c>
      <c r="H155">
        <f ca="1">COUNTIFS(Sustainability_Documents!$A:$A,$A155,Sustainability_Documents!$H:$H,"Expired")</f>
        <v>0</v>
      </c>
      <c r="I155">
        <f ca="1">COUNTIFS(Sustainability_Documents!$A:$A,$A155,Sustainability_Documents!$H:$H,"Expiring Soon")</f>
        <v>0</v>
      </c>
      <c r="J155">
        <f>COUNTIFS(Sustainability_Documents!$A:$A,$A155,Sustainability_Documents!$C:$C,"Yes")</f>
        <v>4</v>
      </c>
      <c r="K155">
        <f ca="1">IF($J155=0,"",($J155-$G155-$H155)/$J155)</f>
        <v>1</v>
      </c>
      <c r="L155">
        <f>COUNTIFS(OutReach_Log!$A:$A,$A155,OutReach_Log!$G:$G,"Yes")</f>
        <v>0</v>
      </c>
      <c r="M155">
        <f>COUNTIFS(OutReach_Log!$A:$A,$A155,OutReach_Log!$E:$E,"Pending")
 +COUNTIFS(OutReach_Log!$A:$A,$A155,OutReach_Log!$E:$E,"Escalated")</f>
        <v>0</v>
      </c>
      <c r="N155">
        <f>COUNTIFS(Incident_Log!$A:$A,$A155,Incident_Log!$C:$C,"High",Incident_Log!$E:$E,"No")</f>
        <v>0</v>
      </c>
      <c r="O155" t="str">
        <f t="shared" ca="1" si="2"/>
        <v>Attention Required</v>
      </c>
      <c r="P155">
        <f ca="1">($G155*40)+($H155*30)+($I155*10)+($N155*50)+IF($L155&gt;0,20,0)</f>
        <v>0</v>
      </c>
      <c r="Q155">
        <f ca="1">E155*(P155/100)</f>
        <v>0</v>
      </c>
      <c r="R155">
        <f ca="1">_xlfn.RANK.EQ($Q155,$Q$2:$Q$401,0)</f>
        <v>180</v>
      </c>
    </row>
    <row r="156" spans="1:18">
      <c r="A156" t="str" cm="1">
        <f t="array" ref="A156">_xlfn._xlws.SORT(Vendor_Master!A156)</f>
        <v>VND-155</v>
      </c>
      <c r="B156" t="str">
        <f>_xlfn.XLOOKUP(Compliance_Sheet!A156,Vendor_Master!A156,Vendor_Master!B156,"")</f>
        <v>Vendor_155</v>
      </c>
      <c r="C156" t="str">
        <f>_xlfn.XLOOKUP(A156,Vendor_Master!A156,Vendor_Master!C156,"")</f>
        <v>Rail Services</v>
      </c>
      <c r="D156" t="str">
        <f>_xlfn.XLOOKUP(A156,Vendor_Master!A156,Vendor_Master!D156,"")</f>
        <v>South</v>
      </c>
      <c r="E156">
        <f>_xlfn.XLOOKUP(A156,Vendor_Master!A156,Vendor_Master!E156,0)</f>
        <v>2512193</v>
      </c>
      <c r="F156" t="str">
        <f>_xlfn.XLOOKUP(A156,Vendor_Master!A156,Vendor_Master!H156,"")</f>
        <v>contact155@vendor.com</v>
      </c>
      <c r="G156">
        <f ca="1">COUNTIFS(Sustainability_Documents!$A:$A,$A156,Sustainability_Documents!$H:$H,"Missing")</f>
        <v>0</v>
      </c>
      <c r="H156">
        <f ca="1">COUNTIFS(Sustainability_Documents!$A:$A,$A156,Sustainability_Documents!$H:$H,"Expired")</f>
        <v>0</v>
      </c>
      <c r="I156">
        <f ca="1">COUNTIFS(Sustainability_Documents!$A:$A,$A156,Sustainability_Documents!$H:$H,"Expiring Soon")</f>
        <v>0</v>
      </c>
      <c r="J156">
        <f>COUNTIFS(Sustainability_Documents!$A:$A,$A156,Sustainability_Documents!$C:$C,"Yes")</f>
        <v>4</v>
      </c>
      <c r="K156">
        <f ca="1">IF($J156=0,"",($J156-$G156-$H156)/$J156)</f>
        <v>1</v>
      </c>
      <c r="L156">
        <f>COUNTIFS(OutReach_Log!$A:$A,$A156,OutReach_Log!$G:$G,"Yes")</f>
        <v>0</v>
      </c>
      <c r="M156">
        <f>COUNTIFS(OutReach_Log!$A:$A,$A156,OutReach_Log!$E:$E,"Pending")
 +COUNTIFS(OutReach_Log!$A:$A,$A156,OutReach_Log!$E:$E,"Escalated")</f>
        <v>0</v>
      </c>
      <c r="N156">
        <f>COUNTIFS(Incident_Log!$A:$A,$A156,Incident_Log!$C:$C,"High",Incident_Log!$E:$E,"No")</f>
        <v>0</v>
      </c>
      <c r="O156" t="str">
        <f t="shared" ca="1" si="2"/>
        <v>Attention Required</v>
      </c>
      <c r="P156">
        <f ca="1">($G156*40)+($H156*30)+($I156*10)+($N156*50)+IF($L156&gt;0,20,0)</f>
        <v>0</v>
      </c>
      <c r="Q156">
        <f ca="1">E156*(P156/100)</f>
        <v>0</v>
      </c>
      <c r="R156">
        <f ca="1">_xlfn.RANK.EQ($Q156,$Q$2:$Q$401,0)</f>
        <v>180</v>
      </c>
    </row>
    <row r="157" spans="1:18">
      <c r="A157" t="str" cm="1">
        <f t="array" ref="A157">_xlfn._xlws.SORT(Vendor_Master!A157)</f>
        <v>VND-156</v>
      </c>
      <c r="B157" t="str">
        <f>_xlfn.XLOOKUP(Compliance_Sheet!A157,Vendor_Master!A157,Vendor_Master!B157,"")</f>
        <v>Vendor_156</v>
      </c>
      <c r="C157" t="str">
        <f>_xlfn.XLOOKUP(A157,Vendor_Master!A157,Vendor_Master!C157,"")</f>
        <v>Rail Services</v>
      </c>
      <c r="D157" t="str">
        <f>_xlfn.XLOOKUP(A157,Vendor_Master!A157,Vendor_Master!D157,"")</f>
        <v>South</v>
      </c>
      <c r="E157">
        <f>_xlfn.XLOOKUP(A157,Vendor_Master!A157,Vendor_Master!E157,0)</f>
        <v>1047379</v>
      </c>
      <c r="F157" t="str">
        <f>_xlfn.XLOOKUP(A157,Vendor_Master!A157,Vendor_Master!H157,"")</f>
        <v>contact156@vendor.com</v>
      </c>
      <c r="G157">
        <f ca="1">COUNTIFS(Sustainability_Documents!$A:$A,$A157,Sustainability_Documents!$H:$H,"Missing")</f>
        <v>0</v>
      </c>
      <c r="H157">
        <f ca="1">COUNTIFS(Sustainability_Documents!$A:$A,$A157,Sustainability_Documents!$H:$H,"Expired")</f>
        <v>0</v>
      </c>
      <c r="I157">
        <f ca="1">COUNTIFS(Sustainability_Documents!$A:$A,$A157,Sustainability_Documents!$H:$H,"Expiring Soon")</f>
        <v>0</v>
      </c>
      <c r="J157">
        <f>COUNTIFS(Sustainability_Documents!$A:$A,$A157,Sustainability_Documents!$C:$C,"Yes")</f>
        <v>4</v>
      </c>
      <c r="K157">
        <f ca="1">IF($J157=0,"",($J157-$G157-$H157)/$J157)</f>
        <v>1</v>
      </c>
      <c r="L157">
        <f>COUNTIFS(OutReach_Log!$A:$A,$A157,OutReach_Log!$G:$G,"Yes")</f>
        <v>0</v>
      </c>
      <c r="M157">
        <f>COUNTIFS(OutReach_Log!$A:$A,$A157,OutReach_Log!$E:$E,"Pending")
 +COUNTIFS(OutReach_Log!$A:$A,$A157,OutReach_Log!$E:$E,"Escalated")</f>
        <v>0</v>
      </c>
      <c r="N157">
        <f>COUNTIFS(Incident_Log!$A:$A,$A157,Incident_Log!$C:$C,"High",Incident_Log!$E:$E,"No")</f>
        <v>0</v>
      </c>
      <c r="O157" t="str">
        <f t="shared" ca="1" si="2"/>
        <v>Attention Required</v>
      </c>
      <c r="P157">
        <f ca="1">($G157*40)+($H157*30)+($I157*10)+($N157*50)+IF($L157&gt;0,20,0)</f>
        <v>0</v>
      </c>
      <c r="Q157">
        <f ca="1">E157*(P157/100)</f>
        <v>0</v>
      </c>
      <c r="R157">
        <f ca="1">_xlfn.RANK.EQ($Q157,$Q$2:$Q$401,0)</f>
        <v>180</v>
      </c>
    </row>
    <row r="158" spans="1:18">
      <c r="A158" t="str" cm="1">
        <f t="array" ref="A158">_xlfn._xlws.SORT(Vendor_Master!A158)</f>
        <v>VND-157</v>
      </c>
      <c r="B158" t="str">
        <f>_xlfn.XLOOKUP(Compliance_Sheet!A158,Vendor_Master!A158,Vendor_Master!B158,"")</f>
        <v>Vendor_157</v>
      </c>
      <c r="C158" t="str">
        <f>_xlfn.XLOOKUP(A158,Vendor_Master!A158,Vendor_Master!C158,"")</f>
        <v>Rail Services</v>
      </c>
      <c r="D158" t="str">
        <f>_xlfn.XLOOKUP(A158,Vendor_Master!A158,Vendor_Master!D158,"")</f>
        <v>South</v>
      </c>
      <c r="E158">
        <f>_xlfn.XLOOKUP(A158,Vendor_Master!A158,Vendor_Master!E158,0)</f>
        <v>1159729</v>
      </c>
      <c r="F158" t="str">
        <f>_xlfn.XLOOKUP(A158,Vendor_Master!A158,Vendor_Master!H158,"")</f>
        <v>contact157@vendor.com</v>
      </c>
      <c r="G158">
        <f ca="1">COUNTIFS(Sustainability_Documents!$A:$A,$A158,Sustainability_Documents!$H:$H,"Missing")</f>
        <v>0</v>
      </c>
      <c r="H158">
        <f ca="1">COUNTIFS(Sustainability_Documents!$A:$A,$A158,Sustainability_Documents!$H:$H,"Expired")</f>
        <v>0</v>
      </c>
      <c r="I158">
        <f ca="1">COUNTIFS(Sustainability_Documents!$A:$A,$A158,Sustainability_Documents!$H:$H,"Expiring Soon")</f>
        <v>0</v>
      </c>
      <c r="J158">
        <f>COUNTIFS(Sustainability_Documents!$A:$A,$A158,Sustainability_Documents!$C:$C,"Yes")</f>
        <v>4</v>
      </c>
      <c r="K158">
        <f ca="1">IF($J158=0,"",($J158-$G158-$H158)/$J158)</f>
        <v>1</v>
      </c>
      <c r="L158">
        <f>COUNTIFS(OutReach_Log!$A:$A,$A158,OutReach_Log!$G:$G,"Yes")</f>
        <v>0</v>
      </c>
      <c r="M158">
        <f>COUNTIFS(OutReach_Log!$A:$A,$A158,OutReach_Log!$E:$E,"Pending")
 +COUNTIFS(OutReach_Log!$A:$A,$A158,OutReach_Log!$E:$E,"Escalated")</f>
        <v>0</v>
      </c>
      <c r="N158">
        <f>COUNTIFS(Incident_Log!$A:$A,$A158,Incident_Log!$C:$C,"High",Incident_Log!$E:$E,"No")</f>
        <v>0</v>
      </c>
      <c r="O158" t="str">
        <f t="shared" ca="1" si="2"/>
        <v>Attention Required</v>
      </c>
      <c r="P158">
        <f ca="1">($G158*40)+($H158*30)+($I158*10)+($N158*50)+IF($L158&gt;0,20,0)</f>
        <v>0</v>
      </c>
      <c r="Q158">
        <f ca="1">E158*(P158/100)</f>
        <v>0</v>
      </c>
      <c r="R158">
        <f ca="1">_xlfn.RANK.EQ($Q158,$Q$2:$Q$401,0)</f>
        <v>180</v>
      </c>
    </row>
    <row r="159" spans="1:18">
      <c r="A159" t="str" cm="1">
        <f t="array" ref="A159">_xlfn._xlws.SORT(Vendor_Master!A159)</f>
        <v>VND-158</v>
      </c>
      <c r="B159" t="str">
        <f>_xlfn.XLOOKUP(Compliance_Sheet!A159,Vendor_Master!A159,Vendor_Master!B159,"")</f>
        <v>Vendor_158</v>
      </c>
      <c r="C159" t="str">
        <f>_xlfn.XLOOKUP(A159,Vendor_Master!A159,Vendor_Master!C159,"")</f>
        <v>Rail Services</v>
      </c>
      <c r="D159" t="str">
        <f>_xlfn.XLOOKUP(A159,Vendor_Master!A159,Vendor_Master!D159,"")</f>
        <v>South</v>
      </c>
      <c r="E159">
        <f>_xlfn.XLOOKUP(A159,Vendor_Master!A159,Vendor_Master!E159,0)</f>
        <v>3344429</v>
      </c>
      <c r="F159" t="str">
        <f>_xlfn.XLOOKUP(A159,Vendor_Master!A159,Vendor_Master!H159,"")</f>
        <v>contact158@vendor.com</v>
      </c>
      <c r="G159">
        <f ca="1">COUNTIFS(Sustainability_Documents!$A:$A,$A159,Sustainability_Documents!$H:$H,"Missing")</f>
        <v>0</v>
      </c>
      <c r="H159">
        <f ca="1">COUNTIFS(Sustainability_Documents!$A:$A,$A159,Sustainability_Documents!$H:$H,"Expired")</f>
        <v>0</v>
      </c>
      <c r="I159">
        <f ca="1">COUNTIFS(Sustainability_Documents!$A:$A,$A159,Sustainability_Documents!$H:$H,"Expiring Soon")</f>
        <v>0</v>
      </c>
      <c r="J159">
        <f>COUNTIFS(Sustainability_Documents!$A:$A,$A159,Sustainability_Documents!$C:$C,"Yes")</f>
        <v>4</v>
      </c>
      <c r="K159">
        <f ca="1">IF($J159=0,"",($J159-$G159-$H159)/$J159)</f>
        <v>1</v>
      </c>
      <c r="L159">
        <f>COUNTIFS(OutReach_Log!$A:$A,$A159,OutReach_Log!$G:$G,"Yes")</f>
        <v>0</v>
      </c>
      <c r="M159">
        <f>COUNTIFS(OutReach_Log!$A:$A,$A159,OutReach_Log!$E:$E,"Pending")
 +COUNTIFS(OutReach_Log!$A:$A,$A159,OutReach_Log!$E:$E,"Escalated")</f>
        <v>0</v>
      </c>
      <c r="N159">
        <f>COUNTIFS(Incident_Log!$A:$A,$A159,Incident_Log!$C:$C,"High",Incident_Log!$E:$E,"No")</f>
        <v>0</v>
      </c>
      <c r="O159" t="str">
        <f t="shared" ca="1" si="2"/>
        <v>Attention Required</v>
      </c>
      <c r="P159">
        <f ca="1">($G159*40)+($H159*30)+($I159*10)+($N159*50)+IF($L159&gt;0,20,0)</f>
        <v>0</v>
      </c>
      <c r="Q159">
        <f ca="1">E159*(P159/100)</f>
        <v>0</v>
      </c>
      <c r="R159">
        <f ca="1">_xlfn.RANK.EQ($Q159,$Q$2:$Q$401,0)</f>
        <v>180</v>
      </c>
    </row>
    <row r="160" spans="1:18">
      <c r="A160" t="str" cm="1">
        <f t="array" ref="A160">_xlfn._xlws.SORT(Vendor_Master!A160)</f>
        <v>VND-159</v>
      </c>
      <c r="B160" t="str">
        <f>_xlfn.XLOOKUP(Compliance_Sheet!A160,Vendor_Master!A160,Vendor_Master!B160,"")</f>
        <v>Vendor_159</v>
      </c>
      <c r="C160" t="str">
        <f>_xlfn.XLOOKUP(A160,Vendor_Master!A160,Vendor_Master!C160,"")</f>
        <v>Rail Services</v>
      </c>
      <c r="D160" t="str">
        <f>_xlfn.XLOOKUP(A160,Vendor_Master!A160,Vendor_Master!D160,"")</f>
        <v>South</v>
      </c>
      <c r="E160">
        <f>_xlfn.XLOOKUP(A160,Vendor_Master!A160,Vendor_Master!E160,0)</f>
        <v>3478654</v>
      </c>
      <c r="F160" t="str">
        <f>_xlfn.XLOOKUP(A160,Vendor_Master!A160,Vendor_Master!H160,"")</f>
        <v>contact159@vendor.com</v>
      </c>
      <c r="G160">
        <f ca="1">COUNTIFS(Sustainability_Documents!$A:$A,$A160,Sustainability_Documents!$H:$H,"Missing")</f>
        <v>0</v>
      </c>
      <c r="H160">
        <f ca="1">COUNTIFS(Sustainability_Documents!$A:$A,$A160,Sustainability_Documents!$H:$H,"Expired")</f>
        <v>0</v>
      </c>
      <c r="I160">
        <f ca="1">COUNTIFS(Sustainability_Documents!$A:$A,$A160,Sustainability_Documents!$H:$H,"Expiring Soon")</f>
        <v>0</v>
      </c>
      <c r="J160">
        <f>COUNTIFS(Sustainability_Documents!$A:$A,$A160,Sustainability_Documents!$C:$C,"Yes")</f>
        <v>4</v>
      </c>
      <c r="K160">
        <f ca="1">IF($J160=0,"",($J160-$G160-$H160)/$J160)</f>
        <v>1</v>
      </c>
      <c r="L160">
        <f>COUNTIFS(OutReach_Log!$A:$A,$A160,OutReach_Log!$G:$G,"Yes")</f>
        <v>0</v>
      </c>
      <c r="M160">
        <f>COUNTIFS(OutReach_Log!$A:$A,$A160,OutReach_Log!$E:$E,"Pending")
 +COUNTIFS(OutReach_Log!$A:$A,$A160,OutReach_Log!$E:$E,"Escalated")</f>
        <v>0</v>
      </c>
      <c r="N160">
        <f>COUNTIFS(Incident_Log!$A:$A,$A160,Incident_Log!$C:$C,"High",Incident_Log!$E:$E,"No")</f>
        <v>0</v>
      </c>
      <c r="O160" t="str">
        <f t="shared" ca="1" si="2"/>
        <v>Attention Required</v>
      </c>
      <c r="P160">
        <f ca="1">($G160*40)+($H160*30)+($I160*10)+($N160*50)+IF($L160&gt;0,20,0)</f>
        <v>0</v>
      </c>
      <c r="Q160">
        <f ca="1">E160*(P160/100)</f>
        <v>0</v>
      </c>
      <c r="R160">
        <f ca="1">_xlfn.RANK.EQ($Q160,$Q$2:$Q$401,0)</f>
        <v>180</v>
      </c>
    </row>
    <row r="161" spans="1:18">
      <c r="A161" t="str" cm="1">
        <f t="array" ref="A161">_xlfn._xlws.SORT(Vendor_Master!A161)</f>
        <v>VND-160</v>
      </c>
      <c r="B161" t="str">
        <f>_xlfn.XLOOKUP(Compliance_Sheet!A161,Vendor_Master!A161,Vendor_Master!B161,"")</f>
        <v>Vendor_160</v>
      </c>
      <c r="C161" t="str">
        <f>_xlfn.XLOOKUP(A161,Vendor_Master!A161,Vendor_Master!C161,"")</f>
        <v>Marine Services</v>
      </c>
      <c r="D161" t="str">
        <f>_xlfn.XLOOKUP(A161,Vendor_Master!A161,Vendor_Master!D161,"")</f>
        <v>South</v>
      </c>
      <c r="E161">
        <f>_xlfn.XLOOKUP(A161,Vendor_Master!A161,Vendor_Master!E161,0)</f>
        <v>4220223</v>
      </c>
      <c r="F161" t="str">
        <f>_xlfn.XLOOKUP(A161,Vendor_Master!A161,Vendor_Master!H161,"")</f>
        <v>contact160@vendor.com</v>
      </c>
      <c r="G161">
        <f ca="1">COUNTIFS(Sustainability_Documents!$A:$A,$A161,Sustainability_Documents!$H:$H,"Missing")</f>
        <v>0</v>
      </c>
      <c r="H161">
        <f ca="1">COUNTIFS(Sustainability_Documents!$A:$A,$A161,Sustainability_Documents!$H:$H,"Expired")</f>
        <v>0</v>
      </c>
      <c r="I161">
        <f ca="1">COUNTIFS(Sustainability_Documents!$A:$A,$A161,Sustainability_Documents!$H:$H,"Expiring Soon")</f>
        <v>0</v>
      </c>
      <c r="J161">
        <f>COUNTIFS(Sustainability_Documents!$A:$A,$A161,Sustainability_Documents!$C:$C,"Yes")</f>
        <v>4</v>
      </c>
      <c r="K161">
        <f ca="1">IF($J161=0,"",($J161-$G161-$H161)/$J161)</f>
        <v>1</v>
      </c>
      <c r="L161">
        <f>COUNTIFS(OutReach_Log!$A:$A,$A161,OutReach_Log!$G:$G,"Yes")</f>
        <v>0</v>
      </c>
      <c r="M161">
        <f>COUNTIFS(OutReach_Log!$A:$A,$A161,OutReach_Log!$E:$E,"Pending")
 +COUNTIFS(OutReach_Log!$A:$A,$A161,OutReach_Log!$E:$E,"Escalated")</f>
        <v>0</v>
      </c>
      <c r="N161">
        <f>COUNTIFS(Incident_Log!$A:$A,$A161,Incident_Log!$C:$C,"High",Incident_Log!$E:$E,"No")</f>
        <v>0</v>
      </c>
      <c r="O161" t="str">
        <f t="shared" ca="1" si="2"/>
        <v>Attention Required</v>
      </c>
      <c r="P161">
        <f ca="1">($G161*40)+($H161*30)+($I161*10)+($N161*50)+IF($L161&gt;0,20,0)</f>
        <v>0</v>
      </c>
      <c r="Q161">
        <f ca="1">E161*(P161/100)</f>
        <v>0</v>
      </c>
      <c r="R161">
        <f ca="1">_xlfn.RANK.EQ($Q161,$Q$2:$Q$401,0)</f>
        <v>180</v>
      </c>
    </row>
    <row r="162" spans="1:18">
      <c r="A162" t="str" cm="1">
        <f t="array" ref="A162">_xlfn._xlws.SORT(Vendor_Master!A162)</f>
        <v>VND-161</v>
      </c>
      <c r="B162" t="str">
        <f>_xlfn.XLOOKUP(Compliance_Sheet!A162,Vendor_Master!A162,Vendor_Master!B162,"")</f>
        <v>Vendor_161</v>
      </c>
      <c r="C162" t="str">
        <f>_xlfn.XLOOKUP(A162,Vendor_Master!A162,Vendor_Master!C162,"")</f>
        <v>Marine Services</v>
      </c>
      <c r="D162" t="str">
        <f>_xlfn.XLOOKUP(A162,Vendor_Master!A162,Vendor_Master!D162,"")</f>
        <v>South</v>
      </c>
      <c r="E162">
        <f>_xlfn.XLOOKUP(A162,Vendor_Master!A162,Vendor_Master!E162,0)</f>
        <v>4417228</v>
      </c>
      <c r="F162" t="str">
        <f>_xlfn.XLOOKUP(A162,Vendor_Master!A162,Vendor_Master!H162,"")</f>
        <v>contact161@vendor.com</v>
      </c>
      <c r="G162">
        <f ca="1">COUNTIFS(Sustainability_Documents!$A:$A,$A162,Sustainability_Documents!$H:$H,"Missing")</f>
        <v>0</v>
      </c>
      <c r="H162">
        <f ca="1">COUNTIFS(Sustainability_Documents!$A:$A,$A162,Sustainability_Documents!$H:$H,"Expired")</f>
        <v>0</v>
      </c>
      <c r="I162">
        <f ca="1">COUNTIFS(Sustainability_Documents!$A:$A,$A162,Sustainability_Documents!$H:$H,"Expiring Soon")</f>
        <v>0</v>
      </c>
      <c r="J162">
        <f>COUNTIFS(Sustainability_Documents!$A:$A,$A162,Sustainability_Documents!$C:$C,"Yes")</f>
        <v>4</v>
      </c>
      <c r="K162">
        <f ca="1">IF($J162=0,"",($J162-$G162-$H162)/$J162)</f>
        <v>1</v>
      </c>
      <c r="L162">
        <f>COUNTIFS(OutReach_Log!$A:$A,$A162,OutReach_Log!$G:$G,"Yes")</f>
        <v>0</v>
      </c>
      <c r="M162">
        <f>COUNTIFS(OutReach_Log!$A:$A,$A162,OutReach_Log!$E:$E,"Pending")
 +COUNTIFS(OutReach_Log!$A:$A,$A162,OutReach_Log!$E:$E,"Escalated")</f>
        <v>0</v>
      </c>
      <c r="N162">
        <f>COUNTIFS(Incident_Log!$A:$A,$A162,Incident_Log!$C:$C,"High",Incident_Log!$E:$E,"No")</f>
        <v>0</v>
      </c>
      <c r="O162" t="str">
        <f t="shared" ca="1" si="2"/>
        <v>Attention Required</v>
      </c>
      <c r="P162">
        <f ca="1">($G162*40)+($H162*30)+($I162*10)+($N162*50)+IF($L162&gt;0,20,0)</f>
        <v>0</v>
      </c>
      <c r="Q162">
        <f ca="1">E162*(P162/100)</f>
        <v>0</v>
      </c>
      <c r="R162">
        <f ca="1">_xlfn.RANK.EQ($Q162,$Q$2:$Q$401,0)</f>
        <v>180</v>
      </c>
    </row>
    <row r="163" spans="1:18">
      <c r="A163" t="str" cm="1">
        <f t="array" ref="A163">_xlfn._xlws.SORT(Vendor_Master!A163)</f>
        <v>VND-162</v>
      </c>
      <c r="B163" t="str">
        <f>_xlfn.XLOOKUP(Compliance_Sheet!A163,Vendor_Master!A163,Vendor_Master!B163,"")</f>
        <v>Vendor_162</v>
      </c>
      <c r="C163" t="str">
        <f>_xlfn.XLOOKUP(A163,Vendor_Master!A163,Vendor_Master!C163,"")</f>
        <v>Marine Services</v>
      </c>
      <c r="D163" t="str">
        <f>_xlfn.XLOOKUP(A163,Vendor_Master!A163,Vendor_Master!D163,"")</f>
        <v>South</v>
      </c>
      <c r="E163">
        <f>_xlfn.XLOOKUP(A163,Vendor_Master!A163,Vendor_Master!E163,0)</f>
        <v>1848273</v>
      </c>
      <c r="F163" t="str">
        <f>_xlfn.XLOOKUP(A163,Vendor_Master!A163,Vendor_Master!H163,"")</f>
        <v>contact162@vendor.com</v>
      </c>
      <c r="G163">
        <f ca="1">COUNTIFS(Sustainability_Documents!$A:$A,$A163,Sustainability_Documents!$H:$H,"Missing")</f>
        <v>0</v>
      </c>
      <c r="H163">
        <f ca="1">COUNTIFS(Sustainability_Documents!$A:$A,$A163,Sustainability_Documents!$H:$H,"Expired")</f>
        <v>0</v>
      </c>
      <c r="I163">
        <f ca="1">COUNTIFS(Sustainability_Documents!$A:$A,$A163,Sustainability_Documents!$H:$H,"Expiring Soon")</f>
        <v>0</v>
      </c>
      <c r="J163">
        <f>COUNTIFS(Sustainability_Documents!$A:$A,$A163,Sustainability_Documents!$C:$C,"Yes")</f>
        <v>4</v>
      </c>
      <c r="K163">
        <f ca="1">IF($J163=0,"",($J163-$G163-$H163)/$J163)</f>
        <v>1</v>
      </c>
      <c r="L163">
        <f>COUNTIFS(OutReach_Log!$A:$A,$A163,OutReach_Log!$G:$G,"Yes")</f>
        <v>0</v>
      </c>
      <c r="M163">
        <f>COUNTIFS(OutReach_Log!$A:$A,$A163,OutReach_Log!$E:$E,"Pending")
 +COUNTIFS(OutReach_Log!$A:$A,$A163,OutReach_Log!$E:$E,"Escalated")</f>
        <v>0</v>
      </c>
      <c r="N163">
        <f>COUNTIFS(Incident_Log!$A:$A,$A163,Incident_Log!$C:$C,"High",Incident_Log!$E:$E,"No")</f>
        <v>0</v>
      </c>
      <c r="O163" t="str">
        <f t="shared" ca="1" si="2"/>
        <v>Attention Required</v>
      </c>
      <c r="P163">
        <f ca="1">($G163*40)+($H163*30)+($I163*10)+($N163*50)+IF($L163&gt;0,20,0)</f>
        <v>0</v>
      </c>
      <c r="Q163">
        <f ca="1">E163*(P163/100)</f>
        <v>0</v>
      </c>
      <c r="R163">
        <f ca="1">_xlfn.RANK.EQ($Q163,$Q$2:$Q$401,0)</f>
        <v>180</v>
      </c>
    </row>
    <row r="164" spans="1:18">
      <c r="A164" t="str" cm="1">
        <f t="array" ref="A164">_xlfn._xlws.SORT(Vendor_Master!A164)</f>
        <v>VND-163</v>
      </c>
      <c r="B164" t="str">
        <f>_xlfn.XLOOKUP(Compliance_Sheet!A164,Vendor_Master!A164,Vendor_Master!B164,"")</f>
        <v>Vendor_163</v>
      </c>
      <c r="C164" t="str">
        <f>_xlfn.XLOOKUP(A164,Vendor_Master!A164,Vendor_Master!C164,"")</f>
        <v>Marine Services</v>
      </c>
      <c r="D164" t="str">
        <f>_xlfn.XLOOKUP(A164,Vendor_Master!A164,Vendor_Master!D164,"")</f>
        <v>South</v>
      </c>
      <c r="E164">
        <f>_xlfn.XLOOKUP(A164,Vendor_Master!A164,Vendor_Master!E164,0)</f>
        <v>4555555</v>
      </c>
      <c r="F164" t="str">
        <f>_xlfn.XLOOKUP(A164,Vendor_Master!A164,Vendor_Master!H164,"")</f>
        <v>contact163@vendor.com</v>
      </c>
      <c r="G164">
        <f ca="1">COUNTIFS(Sustainability_Documents!$A:$A,$A164,Sustainability_Documents!$H:$H,"Missing")</f>
        <v>0</v>
      </c>
      <c r="H164">
        <f ca="1">COUNTIFS(Sustainability_Documents!$A:$A,$A164,Sustainability_Documents!$H:$H,"Expired")</f>
        <v>0</v>
      </c>
      <c r="I164">
        <f ca="1">COUNTIFS(Sustainability_Documents!$A:$A,$A164,Sustainability_Documents!$H:$H,"Expiring Soon")</f>
        <v>0</v>
      </c>
      <c r="J164">
        <f>COUNTIFS(Sustainability_Documents!$A:$A,$A164,Sustainability_Documents!$C:$C,"Yes")</f>
        <v>4</v>
      </c>
      <c r="K164">
        <f ca="1">IF($J164=0,"",($J164-$G164-$H164)/$J164)</f>
        <v>1</v>
      </c>
      <c r="L164">
        <f>COUNTIFS(OutReach_Log!$A:$A,$A164,OutReach_Log!$G:$G,"Yes")</f>
        <v>0</v>
      </c>
      <c r="M164">
        <f>COUNTIFS(OutReach_Log!$A:$A,$A164,OutReach_Log!$E:$E,"Pending")
 +COUNTIFS(OutReach_Log!$A:$A,$A164,OutReach_Log!$E:$E,"Escalated")</f>
        <v>0</v>
      </c>
      <c r="N164">
        <f>COUNTIFS(Incident_Log!$A:$A,$A164,Incident_Log!$C:$C,"High",Incident_Log!$E:$E,"No")</f>
        <v>0</v>
      </c>
      <c r="O164" t="str">
        <f t="shared" ca="1" si="2"/>
        <v>Attention Required</v>
      </c>
      <c r="P164">
        <f ca="1">($G164*40)+($H164*30)+($I164*10)+($N164*50)+IF($L164&gt;0,20,0)</f>
        <v>0</v>
      </c>
      <c r="Q164">
        <f ca="1">E164*(P164/100)</f>
        <v>0</v>
      </c>
      <c r="R164">
        <f ca="1">_xlfn.RANK.EQ($Q164,$Q$2:$Q$401,0)</f>
        <v>180</v>
      </c>
    </row>
    <row r="165" spans="1:18">
      <c r="A165" t="str" cm="1">
        <f t="array" ref="A165">_xlfn._xlws.SORT(Vendor_Master!A165)</f>
        <v>VND-164</v>
      </c>
      <c r="B165" t="str">
        <f>_xlfn.XLOOKUP(Compliance_Sheet!A165,Vendor_Master!A165,Vendor_Master!B165,"")</f>
        <v>Vendor_164</v>
      </c>
      <c r="C165" t="str">
        <f>_xlfn.XLOOKUP(A165,Vendor_Master!A165,Vendor_Master!C165,"")</f>
        <v>Marine Services</v>
      </c>
      <c r="D165" t="str">
        <f>_xlfn.XLOOKUP(A165,Vendor_Master!A165,Vendor_Master!D165,"")</f>
        <v>South</v>
      </c>
      <c r="E165">
        <f>_xlfn.XLOOKUP(A165,Vendor_Master!A165,Vendor_Master!E165,0)</f>
        <v>4997293</v>
      </c>
      <c r="F165" t="str">
        <f>_xlfn.XLOOKUP(A165,Vendor_Master!A165,Vendor_Master!H165,"")</f>
        <v>contact164@vendor.com</v>
      </c>
      <c r="G165">
        <f ca="1">COUNTIFS(Sustainability_Documents!$A:$A,$A165,Sustainability_Documents!$H:$H,"Missing")</f>
        <v>0</v>
      </c>
      <c r="H165">
        <f ca="1">COUNTIFS(Sustainability_Documents!$A:$A,$A165,Sustainability_Documents!$H:$H,"Expired")</f>
        <v>0</v>
      </c>
      <c r="I165">
        <f ca="1">COUNTIFS(Sustainability_Documents!$A:$A,$A165,Sustainability_Documents!$H:$H,"Expiring Soon")</f>
        <v>0</v>
      </c>
      <c r="J165">
        <f>COUNTIFS(Sustainability_Documents!$A:$A,$A165,Sustainability_Documents!$C:$C,"Yes")</f>
        <v>4</v>
      </c>
      <c r="K165">
        <f ca="1">IF($J165=0,"",($J165-$G165-$H165)/$J165)</f>
        <v>1</v>
      </c>
      <c r="L165">
        <f>COUNTIFS(OutReach_Log!$A:$A,$A165,OutReach_Log!$G:$G,"Yes")</f>
        <v>0</v>
      </c>
      <c r="M165">
        <f>COUNTIFS(OutReach_Log!$A:$A,$A165,OutReach_Log!$E:$E,"Pending")
 +COUNTIFS(OutReach_Log!$A:$A,$A165,OutReach_Log!$E:$E,"Escalated")</f>
        <v>0</v>
      </c>
      <c r="N165">
        <f>COUNTIFS(Incident_Log!$A:$A,$A165,Incident_Log!$C:$C,"High",Incident_Log!$E:$E,"No")</f>
        <v>0</v>
      </c>
      <c r="O165" t="str">
        <f t="shared" ca="1" si="2"/>
        <v>Attention Required</v>
      </c>
      <c r="P165">
        <f ca="1">($G165*40)+($H165*30)+($I165*10)+($N165*50)+IF($L165&gt;0,20,0)</f>
        <v>0</v>
      </c>
      <c r="Q165">
        <f ca="1">E165*(P165/100)</f>
        <v>0</v>
      </c>
      <c r="R165">
        <f ca="1">_xlfn.RANK.EQ($Q165,$Q$2:$Q$401,0)</f>
        <v>180</v>
      </c>
    </row>
    <row r="166" spans="1:18">
      <c r="A166" t="str" cm="1">
        <f t="array" ref="A166">_xlfn._xlws.SORT(Vendor_Master!A166)</f>
        <v>VND-165</v>
      </c>
      <c r="B166" t="str">
        <f>_xlfn.XLOOKUP(Compliance_Sheet!A166,Vendor_Master!A166,Vendor_Master!B166,"")</f>
        <v>Vendor_165</v>
      </c>
      <c r="C166" t="str">
        <f>_xlfn.XLOOKUP(A166,Vendor_Master!A166,Vendor_Master!C166,"")</f>
        <v>Marine Services</v>
      </c>
      <c r="D166" t="str">
        <f>_xlfn.XLOOKUP(A166,Vendor_Master!A166,Vendor_Master!D166,"")</f>
        <v>South</v>
      </c>
      <c r="E166">
        <f>_xlfn.XLOOKUP(A166,Vendor_Master!A166,Vendor_Master!E166,0)</f>
        <v>1678346</v>
      </c>
      <c r="F166" t="str">
        <f>_xlfn.XLOOKUP(A166,Vendor_Master!A166,Vendor_Master!H166,"")</f>
        <v>contact165@vendor.com</v>
      </c>
      <c r="G166">
        <f ca="1">COUNTIFS(Sustainability_Documents!$A:$A,$A166,Sustainability_Documents!$H:$H,"Missing")</f>
        <v>0</v>
      </c>
      <c r="H166">
        <f ca="1">COUNTIFS(Sustainability_Documents!$A:$A,$A166,Sustainability_Documents!$H:$H,"Expired")</f>
        <v>0</v>
      </c>
      <c r="I166">
        <f ca="1">COUNTIFS(Sustainability_Documents!$A:$A,$A166,Sustainability_Documents!$H:$H,"Expiring Soon")</f>
        <v>0</v>
      </c>
      <c r="J166">
        <f>COUNTIFS(Sustainability_Documents!$A:$A,$A166,Sustainability_Documents!$C:$C,"Yes")</f>
        <v>4</v>
      </c>
      <c r="K166">
        <f ca="1">IF($J166=0,"",($J166-$G166-$H166)/$J166)</f>
        <v>1</v>
      </c>
      <c r="L166">
        <f>COUNTIFS(OutReach_Log!$A:$A,$A166,OutReach_Log!$G:$G,"Yes")</f>
        <v>0</v>
      </c>
      <c r="M166">
        <f>COUNTIFS(OutReach_Log!$A:$A,$A166,OutReach_Log!$E:$E,"Pending")
 +COUNTIFS(OutReach_Log!$A:$A,$A166,OutReach_Log!$E:$E,"Escalated")</f>
        <v>0</v>
      </c>
      <c r="N166">
        <f>COUNTIFS(Incident_Log!$A:$A,$A166,Incident_Log!$C:$C,"High",Incident_Log!$E:$E,"No")</f>
        <v>0</v>
      </c>
      <c r="O166" t="str">
        <f t="shared" ca="1" si="2"/>
        <v>Attention Required</v>
      </c>
      <c r="P166">
        <f ca="1">($G166*40)+($H166*30)+($I166*10)+($N166*50)+IF($L166&gt;0,20,0)</f>
        <v>0</v>
      </c>
      <c r="Q166">
        <f ca="1">E166*(P166/100)</f>
        <v>0</v>
      </c>
      <c r="R166">
        <f ca="1">_xlfn.RANK.EQ($Q166,$Q$2:$Q$401,0)</f>
        <v>180</v>
      </c>
    </row>
    <row r="167" spans="1:18">
      <c r="A167" t="str" cm="1">
        <f t="array" ref="A167">_xlfn._xlws.SORT(Vendor_Master!A167)</f>
        <v>VND-166</v>
      </c>
      <c r="B167" t="str">
        <f>_xlfn.XLOOKUP(Compliance_Sheet!A167,Vendor_Master!A167,Vendor_Master!B167,"")</f>
        <v>Vendor_166</v>
      </c>
      <c r="C167" t="str">
        <f>_xlfn.XLOOKUP(A167,Vendor_Master!A167,Vendor_Master!C167,"")</f>
        <v>Marine Services</v>
      </c>
      <c r="D167" t="str">
        <f>_xlfn.XLOOKUP(A167,Vendor_Master!A167,Vendor_Master!D167,"")</f>
        <v>South</v>
      </c>
      <c r="E167">
        <f>_xlfn.XLOOKUP(A167,Vendor_Master!A167,Vendor_Master!E167,0)</f>
        <v>3063052</v>
      </c>
      <c r="F167" t="str">
        <f>_xlfn.XLOOKUP(A167,Vendor_Master!A167,Vendor_Master!H167,"")</f>
        <v>contact166@vendor.com</v>
      </c>
      <c r="G167">
        <f ca="1">COUNTIFS(Sustainability_Documents!$A:$A,$A167,Sustainability_Documents!$H:$H,"Missing")</f>
        <v>0</v>
      </c>
      <c r="H167">
        <f ca="1">COUNTIFS(Sustainability_Documents!$A:$A,$A167,Sustainability_Documents!$H:$H,"Expired")</f>
        <v>0</v>
      </c>
      <c r="I167">
        <f ca="1">COUNTIFS(Sustainability_Documents!$A:$A,$A167,Sustainability_Documents!$H:$H,"Expiring Soon")</f>
        <v>0</v>
      </c>
      <c r="J167">
        <f>COUNTIFS(Sustainability_Documents!$A:$A,$A167,Sustainability_Documents!$C:$C,"Yes")</f>
        <v>4</v>
      </c>
      <c r="K167">
        <f ca="1">IF($J167=0,"",($J167-$G167-$H167)/$J167)</f>
        <v>1</v>
      </c>
      <c r="L167">
        <f>COUNTIFS(OutReach_Log!$A:$A,$A167,OutReach_Log!$G:$G,"Yes")</f>
        <v>0</v>
      </c>
      <c r="M167">
        <f>COUNTIFS(OutReach_Log!$A:$A,$A167,OutReach_Log!$E:$E,"Pending")
 +COUNTIFS(OutReach_Log!$A:$A,$A167,OutReach_Log!$E:$E,"Escalated")</f>
        <v>0</v>
      </c>
      <c r="N167">
        <f>COUNTIFS(Incident_Log!$A:$A,$A167,Incident_Log!$C:$C,"High",Incident_Log!$E:$E,"No")</f>
        <v>0</v>
      </c>
      <c r="O167" t="str">
        <f t="shared" ca="1" si="2"/>
        <v>Attention Required</v>
      </c>
      <c r="P167">
        <f ca="1">($G167*40)+($H167*30)+($I167*10)+($N167*50)+IF($L167&gt;0,20,0)</f>
        <v>0</v>
      </c>
      <c r="Q167">
        <f ca="1">E167*(P167/100)</f>
        <v>0</v>
      </c>
      <c r="R167">
        <f ca="1">_xlfn.RANK.EQ($Q167,$Q$2:$Q$401,0)</f>
        <v>180</v>
      </c>
    </row>
    <row r="168" spans="1:18">
      <c r="A168" t="str" cm="1">
        <f t="array" ref="A168">_xlfn._xlws.SORT(Vendor_Master!A168)</f>
        <v>VND-167</v>
      </c>
      <c r="B168" t="str">
        <f>_xlfn.XLOOKUP(Compliance_Sheet!A168,Vendor_Master!A168,Vendor_Master!B168,"")</f>
        <v>Vendor_167</v>
      </c>
      <c r="C168" t="str">
        <f>_xlfn.XLOOKUP(A168,Vendor_Master!A168,Vendor_Master!C168,"")</f>
        <v>Marine Services</v>
      </c>
      <c r="D168" t="str">
        <f>_xlfn.XLOOKUP(A168,Vendor_Master!A168,Vendor_Master!D168,"")</f>
        <v>South</v>
      </c>
      <c r="E168">
        <f>_xlfn.XLOOKUP(A168,Vendor_Master!A168,Vendor_Master!E168,0)</f>
        <v>3494695</v>
      </c>
      <c r="F168" t="str">
        <f>_xlfn.XLOOKUP(A168,Vendor_Master!A168,Vendor_Master!H168,"")</f>
        <v>contact167@vendor.com</v>
      </c>
      <c r="G168">
        <f ca="1">COUNTIFS(Sustainability_Documents!$A:$A,$A168,Sustainability_Documents!$H:$H,"Missing")</f>
        <v>0</v>
      </c>
      <c r="H168">
        <f ca="1">COUNTIFS(Sustainability_Documents!$A:$A,$A168,Sustainability_Documents!$H:$H,"Expired")</f>
        <v>0</v>
      </c>
      <c r="I168">
        <f ca="1">COUNTIFS(Sustainability_Documents!$A:$A,$A168,Sustainability_Documents!$H:$H,"Expiring Soon")</f>
        <v>0</v>
      </c>
      <c r="J168">
        <f>COUNTIFS(Sustainability_Documents!$A:$A,$A168,Sustainability_Documents!$C:$C,"Yes")</f>
        <v>4</v>
      </c>
      <c r="K168">
        <f ca="1">IF($J168=0,"",($J168-$G168-$H168)/$J168)</f>
        <v>1</v>
      </c>
      <c r="L168">
        <f>COUNTIFS(OutReach_Log!$A:$A,$A168,OutReach_Log!$G:$G,"Yes")</f>
        <v>0</v>
      </c>
      <c r="M168">
        <f>COUNTIFS(OutReach_Log!$A:$A,$A168,OutReach_Log!$E:$E,"Pending")
 +COUNTIFS(OutReach_Log!$A:$A,$A168,OutReach_Log!$E:$E,"Escalated")</f>
        <v>0</v>
      </c>
      <c r="N168">
        <f>COUNTIFS(Incident_Log!$A:$A,$A168,Incident_Log!$C:$C,"High",Incident_Log!$E:$E,"No")</f>
        <v>0</v>
      </c>
      <c r="O168" t="str">
        <f t="shared" ca="1" si="2"/>
        <v>Attention Required</v>
      </c>
      <c r="P168">
        <f ca="1">($G168*40)+($H168*30)+($I168*10)+($N168*50)+IF($L168&gt;0,20,0)</f>
        <v>0</v>
      </c>
      <c r="Q168">
        <f ca="1">E168*(P168/100)</f>
        <v>0</v>
      </c>
      <c r="R168">
        <f ca="1">_xlfn.RANK.EQ($Q168,$Q$2:$Q$401,0)</f>
        <v>180</v>
      </c>
    </row>
    <row r="169" spans="1:18">
      <c r="A169" t="str" cm="1">
        <f t="array" ref="A169">_xlfn._xlws.SORT(Vendor_Master!A169)</f>
        <v>VND-168</v>
      </c>
      <c r="B169" t="str">
        <f>_xlfn.XLOOKUP(Compliance_Sheet!A169,Vendor_Master!A169,Vendor_Master!B169,"")</f>
        <v>Vendor_168</v>
      </c>
      <c r="C169" t="str">
        <f>_xlfn.XLOOKUP(A169,Vendor_Master!A169,Vendor_Master!C169,"")</f>
        <v>Marine Services</v>
      </c>
      <c r="D169" t="str">
        <f>_xlfn.XLOOKUP(A169,Vendor_Master!A169,Vendor_Master!D169,"")</f>
        <v>South</v>
      </c>
      <c r="E169">
        <f>_xlfn.XLOOKUP(A169,Vendor_Master!A169,Vendor_Master!E169,0)</f>
        <v>3820248</v>
      </c>
      <c r="F169" t="str">
        <f>_xlfn.XLOOKUP(A169,Vendor_Master!A169,Vendor_Master!H169,"")</f>
        <v>contact168@vendor.com</v>
      </c>
      <c r="G169">
        <f ca="1">COUNTIFS(Sustainability_Documents!$A:$A,$A169,Sustainability_Documents!$H:$H,"Missing")</f>
        <v>0</v>
      </c>
      <c r="H169">
        <f ca="1">COUNTIFS(Sustainability_Documents!$A:$A,$A169,Sustainability_Documents!$H:$H,"Expired")</f>
        <v>0</v>
      </c>
      <c r="I169">
        <f ca="1">COUNTIFS(Sustainability_Documents!$A:$A,$A169,Sustainability_Documents!$H:$H,"Expiring Soon")</f>
        <v>0</v>
      </c>
      <c r="J169">
        <f>COUNTIFS(Sustainability_Documents!$A:$A,$A169,Sustainability_Documents!$C:$C,"Yes")</f>
        <v>4</v>
      </c>
      <c r="K169">
        <f ca="1">IF($J169=0,"",($J169-$G169-$H169)/$J169)</f>
        <v>1</v>
      </c>
      <c r="L169">
        <f>COUNTIFS(OutReach_Log!$A:$A,$A169,OutReach_Log!$G:$G,"Yes")</f>
        <v>0</v>
      </c>
      <c r="M169">
        <f>COUNTIFS(OutReach_Log!$A:$A,$A169,OutReach_Log!$E:$E,"Pending")
 +COUNTIFS(OutReach_Log!$A:$A,$A169,OutReach_Log!$E:$E,"Escalated")</f>
        <v>0</v>
      </c>
      <c r="N169">
        <f>COUNTIFS(Incident_Log!$A:$A,$A169,Incident_Log!$C:$C,"High",Incident_Log!$E:$E,"No")</f>
        <v>0</v>
      </c>
      <c r="O169" t="str">
        <f t="shared" ca="1" si="2"/>
        <v>Attention Required</v>
      </c>
      <c r="P169">
        <f ca="1">($G169*40)+($H169*30)+($I169*10)+($N169*50)+IF($L169&gt;0,20,0)</f>
        <v>0</v>
      </c>
      <c r="Q169">
        <f ca="1">E169*(P169/100)</f>
        <v>0</v>
      </c>
      <c r="R169">
        <f ca="1">_xlfn.RANK.EQ($Q169,$Q$2:$Q$401,0)</f>
        <v>180</v>
      </c>
    </row>
    <row r="170" spans="1:18">
      <c r="A170" t="str" cm="1">
        <f t="array" ref="A170">_xlfn._xlws.SORT(Vendor_Master!A170)</f>
        <v>VND-169</v>
      </c>
      <c r="B170" t="str">
        <f>_xlfn.XLOOKUP(Compliance_Sheet!A170,Vendor_Master!A170,Vendor_Master!B170,"")</f>
        <v>Vendor_169</v>
      </c>
      <c r="C170" t="str">
        <f>_xlfn.XLOOKUP(A170,Vendor_Master!A170,Vendor_Master!C170,"")</f>
        <v>Marine Services</v>
      </c>
      <c r="D170" t="str">
        <f>_xlfn.XLOOKUP(A170,Vendor_Master!A170,Vendor_Master!D170,"")</f>
        <v>South</v>
      </c>
      <c r="E170">
        <f>_xlfn.XLOOKUP(A170,Vendor_Master!A170,Vendor_Master!E170,0)</f>
        <v>4272694</v>
      </c>
      <c r="F170" t="str">
        <f>_xlfn.XLOOKUP(A170,Vendor_Master!A170,Vendor_Master!H170,"")</f>
        <v>contact169@vendor.com</v>
      </c>
      <c r="G170">
        <f ca="1">COUNTIFS(Sustainability_Documents!$A:$A,$A170,Sustainability_Documents!$H:$H,"Missing")</f>
        <v>0</v>
      </c>
      <c r="H170">
        <f ca="1">COUNTIFS(Sustainability_Documents!$A:$A,$A170,Sustainability_Documents!$H:$H,"Expired")</f>
        <v>0</v>
      </c>
      <c r="I170">
        <f ca="1">COUNTIFS(Sustainability_Documents!$A:$A,$A170,Sustainability_Documents!$H:$H,"Expiring Soon")</f>
        <v>0</v>
      </c>
      <c r="J170">
        <f>COUNTIFS(Sustainability_Documents!$A:$A,$A170,Sustainability_Documents!$C:$C,"Yes")</f>
        <v>4</v>
      </c>
      <c r="K170">
        <f ca="1">IF($J170=0,"",($J170-$G170-$H170)/$J170)</f>
        <v>1</v>
      </c>
      <c r="L170">
        <f>COUNTIFS(OutReach_Log!$A:$A,$A170,OutReach_Log!$G:$G,"Yes")</f>
        <v>0</v>
      </c>
      <c r="M170">
        <f>COUNTIFS(OutReach_Log!$A:$A,$A170,OutReach_Log!$E:$E,"Pending")
 +COUNTIFS(OutReach_Log!$A:$A,$A170,OutReach_Log!$E:$E,"Escalated")</f>
        <v>0</v>
      </c>
      <c r="N170">
        <f>COUNTIFS(Incident_Log!$A:$A,$A170,Incident_Log!$C:$C,"High",Incident_Log!$E:$E,"No")</f>
        <v>0</v>
      </c>
      <c r="O170" t="str">
        <f t="shared" ca="1" si="2"/>
        <v>Attention Required</v>
      </c>
      <c r="P170">
        <f ca="1">($G170*40)+($H170*30)+($I170*10)+($N170*50)+IF($L170&gt;0,20,0)</f>
        <v>0</v>
      </c>
      <c r="Q170">
        <f ca="1">E170*(P170/100)</f>
        <v>0</v>
      </c>
      <c r="R170">
        <f ca="1">_xlfn.RANK.EQ($Q170,$Q$2:$Q$401,0)</f>
        <v>180</v>
      </c>
    </row>
    <row r="171" spans="1:18">
      <c r="A171" t="str" cm="1">
        <f t="array" ref="A171">_xlfn._xlws.SORT(Vendor_Master!A171)</f>
        <v>VND-170</v>
      </c>
      <c r="B171" t="str">
        <f>_xlfn.XLOOKUP(Compliance_Sheet!A171,Vendor_Master!A171,Vendor_Master!B171,"")</f>
        <v>Vendor_170</v>
      </c>
      <c r="C171" t="str">
        <f>_xlfn.XLOOKUP(A171,Vendor_Master!A171,Vendor_Master!C171,"")</f>
        <v>Marine Services</v>
      </c>
      <c r="D171" t="str">
        <f>_xlfn.XLOOKUP(A171,Vendor_Master!A171,Vendor_Master!D171,"")</f>
        <v>South</v>
      </c>
      <c r="E171">
        <f>_xlfn.XLOOKUP(A171,Vendor_Master!A171,Vendor_Master!E171,0)</f>
        <v>2304077</v>
      </c>
      <c r="F171" t="str">
        <f>_xlfn.XLOOKUP(A171,Vendor_Master!A171,Vendor_Master!H171,"")</f>
        <v>contact170@vendor.com</v>
      </c>
      <c r="G171">
        <f ca="1">COUNTIFS(Sustainability_Documents!$A:$A,$A171,Sustainability_Documents!$H:$H,"Missing")</f>
        <v>0</v>
      </c>
      <c r="H171">
        <f ca="1">COUNTIFS(Sustainability_Documents!$A:$A,$A171,Sustainability_Documents!$H:$H,"Expired")</f>
        <v>0</v>
      </c>
      <c r="I171">
        <f ca="1">COUNTIFS(Sustainability_Documents!$A:$A,$A171,Sustainability_Documents!$H:$H,"Expiring Soon")</f>
        <v>0</v>
      </c>
      <c r="J171">
        <f>COUNTIFS(Sustainability_Documents!$A:$A,$A171,Sustainability_Documents!$C:$C,"Yes")</f>
        <v>4</v>
      </c>
      <c r="K171">
        <f ca="1">IF($J171=0,"",($J171-$G171-$H171)/$J171)</f>
        <v>1</v>
      </c>
      <c r="L171">
        <f>COUNTIFS(OutReach_Log!$A:$A,$A171,OutReach_Log!$G:$G,"Yes")</f>
        <v>0</v>
      </c>
      <c r="M171">
        <f>COUNTIFS(OutReach_Log!$A:$A,$A171,OutReach_Log!$E:$E,"Pending")
 +COUNTIFS(OutReach_Log!$A:$A,$A171,OutReach_Log!$E:$E,"Escalated")</f>
        <v>0</v>
      </c>
      <c r="N171">
        <f>COUNTIFS(Incident_Log!$A:$A,$A171,Incident_Log!$C:$C,"High",Incident_Log!$E:$E,"No")</f>
        <v>0</v>
      </c>
      <c r="O171" t="str">
        <f t="shared" ca="1" si="2"/>
        <v>Attention Required</v>
      </c>
      <c r="P171">
        <f ca="1">($G171*40)+($H171*30)+($I171*10)+($N171*50)+IF($L171&gt;0,20,0)</f>
        <v>0</v>
      </c>
      <c r="Q171">
        <f ca="1">E171*(P171/100)</f>
        <v>0</v>
      </c>
      <c r="R171">
        <f ca="1">_xlfn.RANK.EQ($Q171,$Q$2:$Q$401,0)</f>
        <v>180</v>
      </c>
    </row>
    <row r="172" spans="1:18">
      <c r="A172" t="str" cm="1">
        <f t="array" ref="A172">_xlfn._xlws.SORT(Vendor_Master!A172)</f>
        <v>VND-171</v>
      </c>
      <c r="B172" t="str">
        <f>_xlfn.XLOOKUP(Compliance_Sheet!A172,Vendor_Master!A172,Vendor_Master!B172,"")</f>
        <v>Vendor_171</v>
      </c>
      <c r="C172" t="str">
        <f>_xlfn.XLOOKUP(A172,Vendor_Master!A172,Vendor_Master!C172,"")</f>
        <v>Marine Services</v>
      </c>
      <c r="D172" t="str">
        <f>_xlfn.XLOOKUP(A172,Vendor_Master!A172,Vendor_Master!D172,"")</f>
        <v>South</v>
      </c>
      <c r="E172">
        <f>_xlfn.XLOOKUP(A172,Vendor_Master!A172,Vendor_Master!E172,0)</f>
        <v>2041504</v>
      </c>
      <c r="F172" t="str">
        <f>_xlfn.XLOOKUP(A172,Vendor_Master!A172,Vendor_Master!H172,"")</f>
        <v>contact171@vendor.com</v>
      </c>
      <c r="G172">
        <f ca="1">COUNTIFS(Sustainability_Documents!$A:$A,$A172,Sustainability_Documents!$H:$H,"Missing")</f>
        <v>0</v>
      </c>
      <c r="H172">
        <f ca="1">COUNTIFS(Sustainability_Documents!$A:$A,$A172,Sustainability_Documents!$H:$H,"Expired")</f>
        <v>0</v>
      </c>
      <c r="I172">
        <f ca="1">COUNTIFS(Sustainability_Documents!$A:$A,$A172,Sustainability_Documents!$H:$H,"Expiring Soon")</f>
        <v>0</v>
      </c>
      <c r="J172">
        <f>COUNTIFS(Sustainability_Documents!$A:$A,$A172,Sustainability_Documents!$C:$C,"Yes")</f>
        <v>4</v>
      </c>
      <c r="K172">
        <f ca="1">IF($J172=0,"",($J172-$G172-$H172)/$J172)</f>
        <v>1</v>
      </c>
      <c r="L172">
        <f>COUNTIFS(OutReach_Log!$A:$A,$A172,OutReach_Log!$G:$G,"Yes")</f>
        <v>0</v>
      </c>
      <c r="M172">
        <f>COUNTIFS(OutReach_Log!$A:$A,$A172,OutReach_Log!$E:$E,"Pending")
 +COUNTIFS(OutReach_Log!$A:$A,$A172,OutReach_Log!$E:$E,"Escalated")</f>
        <v>0</v>
      </c>
      <c r="N172">
        <f>COUNTIFS(Incident_Log!$A:$A,$A172,Incident_Log!$C:$C,"High",Incident_Log!$E:$E,"No")</f>
        <v>0</v>
      </c>
      <c r="O172" t="str">
        <f t="shared" ca="1" si="2"/>
        <v>Attention Required</v>
      </c>
      <c r="P172">
        <f ca="1">($G172*40)+($H172*30)+($I172*10)+($N172*50)+IF($L172&gt;0,20,0)</f>
        <v>0</v>
      </c>
      <c r="Q172">
        <f ca="1">E172*(P172/100)</f>
        <v>0</v>
      </c>
      <c r="R172">
        <f ca="1">_xlfn.RANK.EQ($Q172,$Q$2:$Q$401,0)</f>
        <v>180</v>
      </c>
    </row>
    <row r="173" spans="1:18">
      <c r="A173" t="str" cm="1">
        <f t="array" ref="A173">_xlfn._xlws.SORT(Vendor_Master!A173)</f>
        <v>VND-172</v>
      </c>
      <c r="B173" t="str">
        <f>_xlfn.XLOOKUP(Compliance_Sheet!A173,Vendor_Master!A173,Vendor_Master!B173,"")</f>
        <v>Vendor_172</v>
      </c>
      <c r="C173" t="str">
        <f>_xlfn.XLOOKUP(A173,Vendor_Master!A173,Vendor_Master!C173,"")</f>
        <v>Marine Services</v>
      </c>
      <c r="D173" t="str">
        <f>_xlfn.XLOOKUP(A173,Vendor_Master!A173,Vendor_Master!D173,"")</f>
        <v>South</v>
      </c>
      <c r="E173">
        <f>_xlfn.XLOOKUP(A173,Vendor_Master!A173,Vendor_Master!E173,0)</f>
        <v>3012538</v>
      </c>
      <c r="F173" t="str">
        <f>_xlfn.XLOOKUP(A173,Vendor_Master!A173,Vendor_Master!H173,"")</f>
        <v>contact172@vendor.com</v>
      </c>
      <c r="G173">
        <f ca="1">COUNTIFS(Sustainability_Documents!$A:$A,$A173,Sustainability_Documents!$H:$H,"Missing")</f>
        <v>0</v>
      </c>
      <c r="H173">
        <f ca="1">COUNTIFS(Sustainability_Documents!$A:$A,$A173,Sustainability_Documents!$H:$H,"Expired")</f>
        <v>0</v>
      </c>
      <c r="I173">
        <f ca="1">COUNTIFS(Sustainability_Documents!$A:$A,$A173,Sustainability_Documents!$H:$H,"Expiring Soon")</f>
        <v>0</v>
      </c>
      <c r="J173">
        <f>COUNTIFS(Sustainability_Documents!$A:$A,$A173,Sustainability_Documents!$C:$C,"Yes")</f>
        <v>4</v>
      </c>
      <c r="K173">
        <f ca="1">IF($J173=0,"",($J173-$G173-$H173)/$J173)</f>
        <v>1</v>
      </c>
      <c r="L173">
        <f>COUNTIFS(OutReach_Log!$A:$A,$A173,OutReach_Log!$G:$G,"Yes")</f>
        <v>0</v>
      </c>
      <c r="M173">
        <f>COUNTIFS(OutReach_Log!$A:$A,$A173,OutReach_Log!$E:$E,"Pending")
 +COUNTIFS(OutReach_Log!$A:$A,$A173,OutReach_Log!$E:$E,"Escalated")</f>
        <v>0</v>
      </c>
      <c r="N173">
        <f>COUNTIFS(Incident_Log!$A:$A,$A173,Incident_Log!$C:$C,"High",Incident_Log!$E:$E,"No")</f>
        <v>0</v>
      </c>
      <c r="O173" t="str">
        <f t="shared" ca="1" si="2"/>
        <v>Attention Required</v>
      </c>
      <c r="P173">
        <f ca="1">($G173*40)+($H173*30)+($I173*10)+($N173*50)+IF($L173&gt;0,20,0)</f>
        <v>0</v>
      </c>
      <c r="Q173">
        <f ca="1">E173*(P173/100)</f>
        <v>0</v>
      </c>
      <c r="R173">
        <f ca="1">_xlfn.RANK.EQ($Q173,$Q$2:$Q$401,0)</f>
        <v>180</v>
      </c>
    </row>
    <row r="174" spans="1:18">
      <c r="A174" t="str" cm="1">
        <f t="array" ref="A174">_xlfn._xlws.SORT(Vendor_Master!A174)</f>
        <v>VND-173</v>
      </c>
      <c r="B174" t="str">
        <f>_xlfn.XLOOKUP(Compliance_Sheet!A174,Vendor_Master!A174,Vendor_Master!B174,"")</f>
        <v>Vendor_173</v>
      </c>
      <c r="C174" t="str">
        <f>_xlfn.XLOOKUP(A174,Vendor_Master!A174,Vendor_Master!C174,"")</f>
        <v>Marine Services</v>
      </c>
      <c r="D174" t="str">
        <f>_xlfn.XLOOKUP(A174,Vendor_Master!A174,Vendor_Master!D174,"")</f>
        <v>South</v>
      </c>
      <c r="E174">
        <f>_xlfn.XLOOKUP(A174,Vendor_Master!A174,Vendor_Master!E174,0)</f>
        <v>2620078</v>
      </c>
      <c r="F174" t="str">
        <f>_xlfn.XLOOKUP(A174,Vendor_Master!A174,Vendor_Master!H174,"")</f>
        <v>contact173@vendor.com</v>
      </c>
      <c r="G174">
        <f ca="1">COUNTIFS(Sustainability_Documents!$A:$A,$A174,Sustainability_Documents!$H:$H,"Missing")</f>
        <v>0</v>
      </c>
      <c r="H174">
        <f ca="1">COUNTIFS(Sustainability_Documents!$A:$A,$A174,Sustainability_Documents!$H:$H,"Expired")</f>
        <v>0</v>
      </c>
      <c r="I174">
        <f ca="1">COUNTIFS(Sustainability_Documents!$A:$A,$A174,Sustainability_Documents!$H:$H,"Expiring Soon")</f>
        <v>0</v>
      </c>
      <c r="J174">
        <f>COUNTIFS(Sustainability_Documents!$A:$A,$A174,Sustainability_Documents!$C:$C,"Yes")</f>
        <v>4</v>
      </c>
      <c r="K174">
        <f ca="1">IF($J174=0,"",($J174-$G174-$H174)/$J174)</f>
        <v>1</v>
      </c>
      <c r="L174">
        <f>COUNTIFS(OutReach_Log!$A:$A,$A174,OutReach_Log!$G:$G,"Yes")</f>
        <v>0</v>
      </c>
      <c r="M174">
        <f>COUNTIFS(OutReach_Log!$A:$A,$A174,OutReach_Log!$E:$E,"Pending")
 +COUNTIFS(OutReach_Log!$A:$A,$A174,OutReach_Log!$E:$E,"Escalated")</f>
        <v>0</v>
      </c>
      <c r="N174">
        <f>COUNTIFS(Incident_Log!$A:$A,$A174,Incident_Log!$C:$C,"High",Incident_Log!$E:$E,"No")</f>
        <v>0</v>
      </c>
      <c r="O174" t="str">
        <f t="shared" ca="1" si="2"/>
        <v>Attention Required</v>
      </c>
      <c r="P174">
        <f ca="1">($G174*40)+($H174*30)+($I174*10)+($N174*50)+IF($L174&gt;0,20,0)</f>
        <v>0</v>
      </c>
      <c r="Q174">
        <f ca="1">E174*(P174/100)</f>
        <v>0</v>
      </c>
      <c r="R174">
        <f ca="1">_xlfn.RANK.EQ($Q174,$Q$2:$Q$401,0)</f>
        <v>180</v>
      </c>
    </row>
    <row r="175" spans="1:18">
      <c r="A175" t="str" cm="1">
        <f t="array" ref="A175">_xlfn._xlws.SORT(Vendor_Master!A175)</f>
        <v>VND-174</v>
      </c>
      <c r="B175" t="str">
        <f>_xlfn.XLOOKUP(Compliance_Sheet!A175,Vendor_Master!A175,Vendor_Master!B175,"")</f>
        <v>Vendor_174</v>
      </c>
      <c r="C175" t="str">
        <f>_xlfn.XLOOKUP(A175,Vendor_Master!A175,Vendor_Master!C175,"")</f>
        <v>Marine Services</v>
      </c>
      <c r="D175" t="str">
        <f>_xlfn.XLOOKUP(A175,Vendor_Master!A175,Vendor_Master!D175,"")</f>
        <v>South</v>
      </c>
      <c r="E175">
        <f>_xlfn.XLOOKUP(A175,Vendor_Master!A175,Vendor_Master!E175,0)</f>
        <v>4820136</v>
      </c>
      <c r="F175" t="str">
        <f>_xlfn.XLOOKUP(A175,Vendor_Master!A175,Vendor_Master!H175,"")</f>
        <v>contact174@vendor.com</v>
      </c>
      <c r="G175">
        <f ca="1">COUNTIFS(Sustainability_Documents!$A:$A,$A175,Sustainability_Documents!$H:$H,"Missing")</f>
        <v>0</v>
      </c>
      <c r="H175">
        <f ca="1">COUNTIFS(Sustainability_Documents!$A:$A,$A175,Sustainability_Documents!$H:$H,"Expired")</f>
        <v>0</v>
      </c>
      <c r="I175">
        <f ca="1">COUNTIFS(Sustainability_Documents!$A:$A,$A175,Sustainability_Documents!$H:$H,"Expiring Soon")</f>
        <v>0</v>
      </c>
      <c r="J175">
        <f>COUNTIFS(Sustainability_Documents!$A:$A,$A175,Sustainability_Documents!$C:$C,"Yes")</f>
        <v>4</v>
      </c>
      <c r="K175">
        <f ca="1">IF($J175=0,"",($J175-$G175-$H175)/$J175)</f>
        <v>1</v>
      </c>
      <c r="L175">
        <f>COUNTIFS(OutReach_Log!$A:$A,$A175,OutReach_Log!$G:$G,"Yes")</f>
        <v>0</v>
      </c>
      <c r="M175">
        <f>COUNTIFS(OutReach_Log!$A:$A,$A175,OutReach_Log!$E:$E,"Pending")
 +COUNTIFS(OutReach_Log!$A:$A,$A175,OutReach_Log!$E:$E,"Escalated")</f>
        <v>0</v>
      </c>
      <c r="N175">
        <f>COUNTIFS(Incident_Log!$A:$A,$A175,Incident_Log!$C:$C,"High",Incident_Log!$E:$E,"No")</f>
        <v>0</v>
      </c>
      <c r="O175" t="str">
        <f t="shared" ca="1" si="2"/>
        <v>Attention Required</v>
      </c>
      <c r="P175">
        <f ca="1">($G175*40)+($H175*30)+($I175*10)+($N175*50)+IF($L175&gt;0,20,0)</f>
        <v>0</v>
      </c>
      <c r="Q175">
        <f ca="1">E175*(P175/100)</f>
        <v>0</v>
      </c>
      <c r="R175">
        <f ca="1">_xlfn.RANK.EQ($Q175,$Q$2:$Q$401,0)</f>
        <v>180</v>
      </c>
    </row>
    <row r="176" spans="1:18">
      <c r="A176" t="str" cm="1">
        <f t="array" ref="A176">_xlfn._xlws.SORT(Vendor_Master!A176)</f>
        <v>VND-175</v>
      </c>
      <c r="B176" t="str">
        <f>_xlfn.XLOOKUP(Compliance_Sheet!A176,Vendor_Master!A176,Vendor_Master!B176,"")</f>
        <v>Vendor_175</v>
      </c>
      <c r="C176" t="str">
        <f>_xlfn.XLOOKUP(A176,Vendor_Master!A176,Vendor_Master!C176,"")</f>
        <v>Marine Services</v>
      </c>
      <c r="D176" t="str">
        <f>_xlfn.XLOOKUP(A176,Vendor_Master!A176,Vendor_Master!D176,"")</f>
        <v>South</v>
      </c>
      <c r="E176">
        <f>_xlfn.XLOOKUP(A176,Vendor_Master!A176,Vendor_Master!E176,0)</f>
        <v>492749</v>
      </c>
      <c r="F176" t="str">
        <f>_xlfn.XLOOKUP(A176,Vendor_Master!A176,Vendor_Master!H176,"")</f>
        <v>contact175@vendor.com</v>
      </c>
      <c r="G176">
        <f ca="1">COUNTIFS(Sustainability_Documents!$A:$A,$A176,Sustainability_Documents!$H:$H,"Missing")</f>
        <v>0</v>
      </c>
      <c r="H176">
        <f ca="1">COUNTIFS(Sustainability_Documents!$A:$A,$A176,Sustainability_Documents!$H:$H,"Expired")</f>
        <v>0</v>
      </c>
      <c r="I176">
        <f ca="1">COUNTIFS(Sustainability_Documents!$A:$A,$A176,Sustainability_Documents!$H:$H,"Expiring Soon")</f>
        <v>0</v>
      </c>
      <c r="J176">
        <f>COUNTIFS(Sustainability_Documents!$A:$A,$A176,Sustainability_Documents!$C:$C,"Yes")</f>
        <v>4</v>
      </c>
      <c r="K176">
        <f ca="1">IF($J176=0,"",($J176-$G176-$H176)/$J176)</f>
        <v>1</v>
      </c>
      <c r="L176">
        <f>COUNTIFS(OutReach_Log!$A:$A,$A176,OutReach_Log!$G:$G,"Yes")</f>
        <v>0</v>
      </c>
      <c r="M176">
        <f>COUNTIFS(OutReach_Log!$A:$A,$A176,OutReach_Log!$E:$E,"Pending")
 +COUNTIFS(OutReach_Log!$A:$A,$A176,OutReach_Log!$E:$E,"Escalated")</f>
        <v>0</v>
      </c>
      <c r="N176">
        <f>COUNTIFS(Incident_Log!$A:$A,$A176,Incident_Log!$C:$C,"High",Incident_Log!$E:$E,"No")</f>
        <v>0</v>
      </c>
      <c r="O176" t="str">
        <f t="shared" ca="1" si="2"/>
        <v>Attention Required</v>
      </c>
      <c r="P176">
        <f ca="1">($G176*40)+($H176*30)+($I176*10)+($N176*50)+IF($L176&gt;0,20,0)</f>
        <v>0</v>
      </c>
      <c r="Q176">
        <f ca="1">E176*(P176/100)</f>
        <v>0</v>
      </c>
      <c r="R176">
        <f ca="1">_xlfn.RANK.EQ($Q176,$Q$2:$Q$401,0)</f>
        <v>180</v>
      </c>
    </row>
    <row r="177" spans="1:18">
      <c r="A177" t="str" cm="1">
        <f t="array" ref="A177">_xlfn._xlws.SORT(Vendor_Master!A177)</f>
        <v>VND-176</v>
      </c>
      <c r="B177" t="str">
        <f>_xlfn.XLOOKUP(Compliance_Sheet!A177,Vendor_Master!A177,Vendor_Master!B177,"")</f>
        <v>Vendor_176</v>
      </c>
      <c r="C177" t="str">
        <f>_xlfn.XLOOKUP(A177,Vendor_Master!A177,Vendor_Master!C177,"")</f>
        <v>Marine Services</v>
      </c>
      <c r="D177" t="str">
        <f>_xlfn.XLOOKUP(A177,Vendor_Master!A177,Vendor_Master!D177,"")</f>
        <v>South</v>
      </c>
      <c r="E177">
        <f>_xlfn.XLOOKUP(A177,Vendor_Master!A177,Vendor_Master!E177,0)</f>
        <v>743718</v>
      </c>
      <c r="F177" t="str">
        <f>_xlfn.XLOOKUP(A177,Vendor_Master!A177,Vendor_Master!H177,"")</f>
        <v>contact176@vendor.com</v>
      </c>
      <c r="G177">
        <f ca="1">COUNTIFS(Sustainability_Documents!$A:$A,$A177,Sustainability_Documents!$H:$H,"Missing")</f>
        <v>0</v>
      </c>
      <c r="H177">
        <f ca="1">COUNTIFS(Sustainability_Documents!$A:$A,$A177,Sustainability_Documents!$H:$H,"Expired")</f>
        <v>0</v>
      </c>
      <c r="I177">
        <f ca="1">COUNTIFS(Sustainability_Documents!$A:$A,$A177,Sustainability_Documents!$H:$H,"Expiring Soon")</f>
        <v>0</v>
      </c>
      <c r="J177">
        <f>COUNTIFS(Sustainability_Documents!$A:$A,$A177,Sustainability_Documents!$C:$C,"Yes")</f>
        <v>4</v>
      </c>
      <c r="K177">
        <f ca="1">IF($J177=0,"",($J177-$G177-$H177)/$J177)</f>
        <v>1</v>
      </c>
      <c r="L177">
        <f>COUNTIFS(OutReach_Log!$A:$A,$A177,OutReach_Log!$G:$G,"Yes")</f>
        <v>0</v>
      </c>
      <c r="M177">
        <f>COUNTIFS(OutReach_Log!$A:$A,$A177,OutReach_Log!$E:$E,"Pending")
 +COUNTIFS(OutReach_Log!$A:$A,$A177,OutReach_Log!$E:$E,"Escalated")</f>
        <v>0</v>
      </c>
      <c r="N177">
        <f>COUNTIFS(Incident_Log!$A:$A,$A177,Incident_Log!$C:$C,"High",Incident_Log!$E:$E,"No")</f>
        <v>0</v>
      </c>
      <c r="O177" t="str">
        <f t="shared" ca="1" si="2"/>
        <v>Attention Required</v>
      </c>
      <c r="P177">
        <f ca="1">($G177*40)+($H177*30)+($I177*10)+($N177*50)+IF($L177&gt;0,20,0)</f>
        <v>0</v>
      </c>
      <c r="Q177">
        <f ca="1">E177*(P177/100)</f>
        <v>0</v>
      </c>
      <c r="R177">
        <f ca="1">_xlfn.RANK.EQ($Q177,$Q$2:$Q$401,0)</f>
        <v>180</v>
      </c>
    </row>
    <row r="178" spans="1:18">
      <c r="A178" t="str" cm="1">
        <f t="array" ref="A178">_xlfn._xlws.SORT(Vendor_Master!A178)</f>
        <v>VND-177</v>
      </c>
      <c r="B178" t="str">
        <f>_xlfn.XLOOKUP(Compliance_Sheet!A178,Vendor_Master!A178,Vendor_Master!B178,"")</f>
        <v>Vendor_177</v>
      </c>
      <c r="C178" t="str">
        <f>_xlfn.XLOOKUP(A178,Vendor_Master!A178,Vendor_Master!C178,"")</f>
        <v>Marine Services</v>
      </c>
      <c r="D178" t="str">
        <f>_xlfn.XLOOKUP(A178,Vendor_Master!A178,Vendor_Master!D178,"")</f>
        <v>South</v>
      </c>
      <c r="E178">
        <f>_xlfn.XLOOKUP(A178,Vendor_Master!A178,Vendor_Master!E178,0)</f>
        <v>352884</v>
      </c>
      <c r="F178" t="str">
        <f>_xlfn.XLOOKUP(A178,Vendor_Master!A178,Vendor_Master!H178,"")</f>
        <v>contact177@vendor.com</v>
      </c>
      <c r="G178">
        <f ca="1">COUNTIFS(Sustainability_Documents!$A:$A,$A178,Sustainability_Documents!$H:$H,"Missing")</f>
        <v>0</v>
      </c>
      <c r="H178">
        <f ca="1">COUNTIFS(Sustainability_Documents!$A:$A,$A178,Sustainability_Documents!$H:$H,"Expired")</f>
        <v>0</v>
      </c>
      <c r="I178">
        <f ca="1">COUNTIFS(Sustainability_Documents!$A:$A,$A178,Sustainability_Documents!$H:$H,"Expiring Soon")</f>
        <v>0</v>
      </c>
      <c r="J178">
        <f>COUNTIFS(Sustainability_Documents!$A:$A,$A178,Sustainability_Documents!$C:$C,"Yes")</f>
        <v>4</v>
      </c>
      <c r="K178">
        <f ca="1">IF($J178=0,"",($J178-$G178-$H178)/$J178)</f>
        <v>1</v>
      </c>
      <c r="L178">
        <f>COUNTIFS(OutReach_Log!$A:$A,$A178,OutReach_Log!$G:$G,"Yes")</f>
        <v>0</v>
      </c>
      <c r="M178">
        <f>COUNTIFS(OutReach_Log!$A:$A,$A178,OutReach_Log!$E:$E,"Pending")
 +COUNTIFS(OutReach_Log!$A:$A,$A178,OutReach_Log!$E:$E,"Escalated")</f>
        <v>0</v>
      </c>
      <c r="N178">
        <f>COUNTIFS(Incident_Log!$A:$A,$A178,Incident_Log!$C:$C,"High",Incident_Log!$E:$E,"No")</f>
        <v>0</v>
      </c>
      <c r="O178" t="str">
        <f t="shared" ca="1" si="2"/>
        <v>Attention Required</v>
      </c>
      <c r="P178">
        <f ca="1">($G178*40)+($H178*30)+($I178*10)+($N178*50)+IF($L178&gt;0,20,0)</f>
        <v>0</v>
      </c>
      <c r="Q178">
        <f ca="1">E178*(P178/100)</f>
        <v>0</v>
      </c>
      <c r="R178">
        <f ca="1">_xlfn.RANK.EQ($Q178,$Q$2:$Q$401,0)</f>
        <v>180</v>
      </c>
    </row>
    <row r="179" spans="1:18">
      <c r="A179" t="str" cm="1">
        <f t="array" ref="A179">_xlfn._xlws.SORT(Vendor_Master!A179)</f>
        <v>VND-178</v>
      </c>
      <c r="B179" t="str">
        <f>_xlfn.XLOOKUP(Compliance_Sheet!A179,Vendor_Master!A179,Vendor_Master!B179,"")</f>
        <v>Vendor_178</v>
      </c>
      <c r="C179" t="str">
        <f>_xlfn.XLOOKUP(A179,Vendor_Master!A179,Vendor_Master!C179,"")</f>
        <v>Marine Services</v>
      </c>
      <c r="D179" t="str">
        <f>_xlfn.XLOOKUP(A179,Vendor_Master!A179,Vendor_Master!D179,"")</f>
        <v>South</v>
      </c>
      <c r="E179">
        <f>_xlfn.XLOOKUP(A179,Vendor_Master!A179,Vendor_Master!E179,0)</f>
        <v>966333</v>
      </c>
      <c r="F179" t="str">
        <f>_xlfn.XLOOKUP(A179,Vendor_Master!A179,Vendor_Master!H179,"")</f>
        <v>contact178@vendor.com</v>
      </c>
      <c r="G179">
        <f ca="1">COUNTIFS(Sustainability_Documents!$A:$A,$A179,Sustainability_Documents!$H:$H,"Missing")</f>
        <v>0</v>
      </c>
      <c r="H179">
        <f ca="1">COUNTIFS(Sustainability_Documents!$A:$A,$A179,Sustainability_Documents!$H:$H,"Expired")</f>
        <v>0</v>
      </c>
      <c r="I179">
        <f ca="1">COUNTIFS(Sustainability_Documents!$A:$A,$A179,Sustainability_Documents!$H:$H,"Expiring Soon")</f>
        <v>0</v>
      </c>
      <c r="J179">
        <f>COUNTIFS(Sustainability_Documents!$A:$A,$A179,Sustainability_Documents!$C:$C,"Yes")</f>
        <v>4</v>
      </c>
      <c r="K179">
        <f ca="1">IF($J179=0,"",($J179-$G179-$H179)/$J179)</f>
        <v>1</v>
      </c>
      <c r="L179">
        <f>COUNTIFS(OutReach_Log!$A:$A,$A179,OutReach_Log!$G:$G,"Yes")</f>
        <v>0</v>
      </c>
      <c r="M179">
        <f>COUNTIFS(OutReach_Log!$A:$A,$A179,OutReach_Log!$E:$E,"Pending")
 +COUNTIFS(OutReach_Log!$A:$A,$A179,OutReach_Log!$E:$E,"Escalated")</f>
        <v>0</v>
      </c>
      <c r="N179">
        <f>COUNTIFS(Incident_Log!$A:$A,$A179,Incident_Log!$C:$C,"High",Incident_Log!$E:$E,"No")</f>
        <v>0</v>
      </c>
      <c r="O179" t="str">
        <f t="shared" ca="1" si="2"/>
        <v>Attention Required</v>
      </c>
      <c r="P179">
        <f ca="1">($G179*40)+($H179*30)+($I179*10)+($N179*50)+IF($L179&gt;0,20,0)</f>
        <v>0</v>
      </c>
      <c r="Q179">
        <f ca="1">E179*(P179/100)</f>
        <v>0</v>
      </c>
      <c r="R179">
        <f ca="1">_xlfn.RANK.EQ($Q179,$Q$2:$Q$401,0)</f>
        <v>180</v>
      </c>
    </row>
    <row r="180" spans="1:18">
      <c r="A180" t="str" cm="1">
        <f t="array" ref="A180">_xlfn._xlws.SORT(Vendor_Master!A180)</f>
        <v>VND-179</v>
      </c>
      <c r="B180" t="str">
        <f>_xlfn.XLOOKUP(Compliance_Sheet!A180,Vendor_Master!A180,Vendor_Master!B180,"")</f>
        <v>Vendor_179</v>
      </c>
      <c r="C180" t="str">
        <f>_xlfn.XLOOKUP(A180,Vendor_Master!A180,Vendor_Master!C180,"")</f>
        <v>Marine Services</v>
      </c>
      <c r="D180" t="str">
        <f>_xlfn.XLOOKUP(A180,Vendor_Master!A180,Vendor_Master!D180,"")</f>
        <v>South</v>
      </c>
      <c r="E180">
        <f>_xlfn.XLOOKUP(A180,Vendor_Master!A180,Vendor_Master!E180,0)</f>
        <v>981666</v>
      </c>
      <c r="F180" t="str">
        <f>_xlfn.XLOOKUP(A180,Vendor_Master!A180,Vendor_Master!H180,"")</f>
        <v>contact179@vendor.com</v>
      </c>
      <c r="G180">
        <f ca="1">COUNTIFS(Sustainability_Documents!$A:$A,$A180,Sustainability_Documents!$H:$H,"Missing")</f>
        <v>0</v>
      </c>
      <c r="H180">
        <f ca="1">COUNTIFS(Sustainability_Documents!$A:$A,$A180,Sustainability_Documents!$H:$H,"Expired")</f>
        <v>0</v>
      </c>
      <c r="I180">
        <f ca="1">COUNTIFS(Sustainability_Documents!$A:$A,$A180,Sustainability_Documents!$H:$H,"Expiring Soon")</f>
        <v>0</v>
      </c>
      <c r="J180">
        <f>COUNTIFS(Sustainability_Documents!$A:$A,$A180,Sustainability_Documents!$C:$C,"Yes")</f>
        <v>4</v>
      </c>
      <c r="K180">
        <f ca="1">IF($J180=0,"",($J180-$G180-$H180)/$J180)</f>
        <v>1</v>
      </c>
      <c r="L180">
        <f>COUNTIFS(OutReach_Log!$A:$A,$A180,OutReach_Log!$G:$G,"Yes")</f>
        <v>0</v>
      </c>
      <c r="M180">
        <f>COUNTIFS(OutReach_Log!$A:$A,$A180,OutReach_Log!$E:$E,"Pending")
 +COUNTIFS(OutReach_Log!$A:$A,$A180,OutReach_Log!$E:$E,"Escalated")</f>
        <v>0</v>
      </c>
      <c r="N180">
        <f>COUNTIFS(Incident_Log!$A:$A,$A180,Incident_Log!$C:$C,"High",Incident_Log!$E:$E,"No")</f>
        <v>0</v>
      </c>
      <c r="O180" t="str">
        <f t="shared" ca="1" si="2"/>
        <v>Attention Required</v>
      </c>
      <c r="P180">
        <f ca="1">($G180*40)+($H180*30)+($I180*10)+($N180*50)+IF($L180&gt;0,20,0)</f>
        <v>0</v>
      </c>
      <c r="Q180">
        <f ca="1">E180*(P180/100)</f>
        <v>0</v>
      </c>
      <c r="R180">
        <f ca="1">_xlfn.RANK.EQ($Q180,$Q$2:$Q$401,0)</f>
        <v>180</v>
      </c>
    </row>
    <row r="181" spans="1:18">
      <c r="A181" t="str" cm="1">
        <f t="array" ref="A181">_xlfn._xlws.SORT(Vendor_Master!A181)</f>
        <v>VND-180</v>
      </c>
      <c r="B181" t="str">
        <f>_xlfn.XLOOKUP(Compliance_Sheet!A181,Vendor_Master!A181,Vendor_Master!B181,"")</f>
        <v>Vendor_180</v>
      </c>
      <c r="C181" t="str">
        <f>_xlfn.XLOOKUP(A181,Vendor_Master!A181,Vendor_Master!C181,"")</f>
        <v>Marine Services</v>
      </c>
      <c r="D181" t="str">
        <f>_xlfn.XLOOKUP(A181,Vendor_Master!A181,Vendor_Master!D181,"")</f>
        <v>South</v>
      </c>
      <c r="E181">
        <f>_xlfn.XLOOKUP(A181,Vendor_Master!A181,Vendor_Master!E181,0)</f>
        <v>898006</v>
      </c>
      <c r="F181" t="str">
        <f>_xlfn.XLOOKUP(A181,Vendor_Master!A181,Vendor_Master!H181,"")</f>
        <v>contact180@vendor.com</v>
      </c>
      <c r="G181">
        <f ca="1">COUNTIFS(Sustainability_Documents!$A:$A,$A181,Sustainability_Documents!$H:$H,"Missing")</f>
        <v>0</v>
      </c>
      <c r="H181">
        <f ca="1">COUNTIFS(Sustainability_Documents!$A:$A,$A181,Sustainability_Documents!$H:$H,"Expired")</f>
        <v>0</v>
      </c>
      <c r="I181">
        <f ca="1">COUNTIFS(Sustainability_Documents!$A:$A,$A181,Sustainability_Documents!$H:$H,"Expiring Soon")</f>
        <v>0</v>
      </c>
      <c r="J181">
        <f>COUNTIFS(Sustainability_Documents!$A:$A,$A181,Sustainability_Documents!$C:$C,"Yes")</f>
        <v>4</v>
      </c>
      <c r="K181">
        <f ca="1">IF($J181=0,"",($J181-$G181-$H181)/$J181)</f>
        <v>1</v>
      </c>
      <c r="L181">
        <f>COUNTIFS(OutReach_Log!$A:$A,$A181,OutReach_Log!$G:$G,"Yes")</f>
        <v>0</v>
      </c>
      <c r="M181">
        <f>COUNTIFS(OutReach_Log!$A:$A,$A181,OutReach_Log!$E:$E,"Pending")
 +COUNTIFS(OutReach_Log!$A:$A,$A181,OutReach_Log!$E:$E,"Escalated")</f>
        <v>0</v>
      </c>
      <c r="N181">
        <f>COUNTIFS(Incident_Log!$A:$A,$A181,Incident_Log!$C:$C,"High",Incident_Log!$E:$E,"No")</f>
        <v>0</v>
      </c>
      <c r="O181" t="str">
        <f t="shared" ca="1" si="2"/>
        <v>Attention Required</v>
      </c>
      <c r="P181">
        <f ca="1">($G181*40)+($H181*30)+($I181*10)+($N181*50)+IF($L181&gt;0,20,0)</f>
        <v>0</v>
      </c>
      <c r="Q181">
        <f ca="1">E181*(P181/100)</f>
        <v>0</v>
      </c>
      <c r="R181">
        <f ca="1">_xlfn.RANK.EQ($Q181,$Q$2:$Q$401,0)</f>
        <v>180</v>
      </c>
    </row>
    <row r="182" spans="1:18">
      <c r="A182" t="str" cm="1">
        <f t="array" ref="A182">_xlfn._xlws.SORT(Vendor_Master!A182)</f>
        <v>VND-181</v>
      </c>
      <c r="B182" t="str">
        <f>_xlfn.XLOOKUP(Compliance_Sheet!A182,Vendor_Master!A182,Vendor_Master!B182,"")</f>
        <v>Vendor_181</v>
      </c>
      <c r="C182" t="str">
        <f>_xlfn.XLOOKUP(A182,Vendor_Master!A182,Vendor_Master!C182,"")</f>
        <v>Marine Services</v>
      </c>
      <c r="D182" t="str">
        <f>_xlfn.XLOOKUP(A182,Vendor_Master!A182,Vendor_Master!D182,"")</f>
        <v>South</v>
      </c>
      <c r="E182">
        <f>_xlfn.XLOOKUP(A182,Vendor_Master!A182,Vendor_Master!E182,0)</f>
        <v>723647</v>
      </c>
      <c r="F182" t="str">
        <f>_xlfn.XLOOKUP(A182,Vendor_Master!A182,Vendor_Master!H182,"")</f>
        <v>contact181@vendor.com</v>
      </c>
      <c r="G182">
        <f ca="1">COUNTIFS(Sustainability_Documents!$A:$A,$A182,Sustainability_Documents!$H:$H,"Missing")</f>
        <v>0</v>
      </c>
      <c r="H182">
        <f ca="1">COUNTIFS(Sustainability_Documents!$A:$A,$A182,Sustainability_Documents!$H:$H,"Expired")</f>
        <v>0</v>
      </c>
      <c r="I182">
        <f ca="1">COUNTIFS(Sustainability_Documents!$A:$A,$A182,Sustainability_Documents!$H:$H,"Expiring Soon")</f>
        <v>0</v>
      </c>
      <c r="J182">
        <f>COUNTIFS(Sustainability_Documents!$A:$A,$A182,Sustainability_Documents!$C:$C,"Yes")</f>
        <v>4</v>
      </c>
      <c r="K182">
        <f ca="1">IF($J182=0,"",($J182-$G182-$H182)/$J182)</f>
        <v>1</v>
      </c>
      <c r="L182">
        <f>COUNTIFS(OutReach_Log!$A:$A,$A182,OutReach_Log!$G:$G,"Yes")</f>
        <v>0</v>
      </c>
      <c r="M182">
        <f>COUNTIFS(OutReach_Log!$A:$A,$A182,OutReach_Log!$E:$E,"Pending")
 +COUNTIFS(OutReach_Log!$A:$A,$A182,OutReach_Log!$E:$E,"Escalated")</f>
        <v>0</v>
      </c>
      <c r="N182">
        <f>COUNTIFS(Incident_Log!$A:$A,$A182,Incident_Log!$C:$C,"High",Incident_Log!$E:$E,"No")</f>
        <v>0</v>
      </c>
      <c r="O182" t="str">
        <f t="shared" ca="1" si="2"/>
        <v>Attention Required</v>
      </c>
      <c r="P182">
        <f ca="1">($G182*40)+($H182*30)+($I182*10)+($N182*50)+IF($L182&gt;0,20,0)</f>
        <v>0</v>
      </c>
      <c r="Q182">
        <f ca="1">E182*(P182/100)</f>
        <v>0</v>
      </c>
      <c r="R182">
        <f ca="1">_xlfn.RANK.EQ($Q182,$Q$2:$Q$401,0)</f>
        <v>180</v>
      </c>
    </row>
    <row r="183" spans="1:18">
      <c r="A183" t="str" cm="1">
        <f t="array" ref="A183">_xlfn._xlws.SORT(Vendor_Master!A183)</f>
        <v>VND-182</v>
      </c>
      <c r="B183" t="str">
        <f>_xlfn.XLOOKUP(Compliance_Sheet!A183,Vendor_Master!A183,Vendor_Master!B183,"")</f>
        <v>Vendor_182</v>
      </c>
      <c r="C183" t="str">
        <f>_xlfn.XLOOKUP(A183,Vendor_Master!A183,Vendor_Master!C183,"")</f>
        <v>Marine Services</v>
      </c>
      <c r="D183" t="str">
        <f>_xlfn.XLOOKUP(A183,Vendor_Master!A183,Vendor_Master!D183,"")</f>
        <v>South</v>
      </c>
      <c r="E183">
        <f>_xlfn.XLOOKUP(A183,Vendor_Master!A183,Vendor_Master!E183,0)</f>
        <v>842038</v>
      </c>
      <c r="F183" t="str">
        <f>_xlfn.XLOOKUP(A183,Vendor_Master!A183,Vendor_Master!H183,"")</f>
        <v>contact182@vendor.com</v>
      </c>
      <c r="G183">
        <f ca="1">COUNTIFS(Sustainability_Documents!$A:$A,$A183,Sustainability_Documents!$H:$H,"Missing")</f>
        <v>0</v>
      </c>
      <c r="H183">
        <f ca="1">COUNTIFS(Sustainability_Documents!$A:$A,$A183,Sustainability_Documents!$H:$H,"Expired")</f>
        <v>0</v>
      </c>
      <c r="I183">
        <f ca="1">COUNTIFS(Sustainability_Documents!$A:$A,$A183,Sustainability_Documents!$H:$H,"Expiring Soon")</f>
        <v>0</v>
      </c>
      <c r="J183">
        <f>COUNTIFS(Sustainability_Documents!$A:$A,$A183,Sustainability_Documents!$C:$C,"Yes")</f>
        <v>4</v>
      </c>
      <c r="K183">
        <f ca="1">IF($J183=0,"",($J183-$G183-$H183)/$J183)</f>
        <v>1</v>
      </c>
      <c r="L183">
        <f>COUNTIFS(OutReach_Log!$A:$A,$A183,OutReach_Log!$G:$G,"Yes")</f>
        <v>0</v>
      </c>
      <c r="M183">
        <f>COUNTIFS(OutReach_Log!$A:$A,$A183,OutReach_Log!$E:$E,"Pending")
 +COUNTIFS(OutReach_Log!$A:$A,$A183,OutReach_Log!$E:$E,"Escalated")</f>
        <v>0</v>
      </c>
      <c r="N183">
        <f>COUNTIFS(Incident_Log!$A:$A,$A183,Incident_Log!$C:$C,"High",Incident_Log!$E:$E,"No")</f>
        <v>0</v>
      </c>
      <c r="O183" t="str">
        <f t="shared" ca="1" si="2"/>
        <v>Attention Required</v>
      </c>
      <c r="P183">
        <f ca="1">($G183*40)+($H183*30)+($I183*10)+($N183*50)+IF($L183&gt;0,20,0)</f>
        <v>0</v>
      </c>
      <c r="Q183">
        <f ca="1">E183*(P183/100)</f>
        <v>0</v>
      </c>
      <c r="R183">
        <f ca="1">_xlfn.RANK.EQ($Q183,$Q$2:$Q$401,0)</f>
        <v>180</v>
      </c>
    </row>
    <row r="184" spans="1:18">
      <c r="A184" t="str" cm="1">
        <f t="array" ref="A184">_xlfn._xlws.SORT(Vendor_Master!A184)</f>
        <v>VND-183</v>
      </c>
      <c r="B184" t="str">
        <f>_xlfn.XLOOKUP(Compliance_Sheet!A184,Vendor_Master!A184,Vendor_Master!B184,"")</f>
        <v>Vendor_183</v>
      </c>
      <c r="C184" t="str">
        <f>_xlfn.XLOOKUP(A184,Vendor_Master!A184,Vendor_Master!C184,"")</f>
        <v>Marine Services</v>
      </c>
      <c r="D184" t="str">
        <f>_xlfn.XLOOKUP(A184,Vendor_Master!A184,Vendor_Master!D184,"")</f>
        <v>South</v>
      </c>
      <c r="E184">
        <f>_xlfn.XLOOKUP(A184,Vendor_Master!A184,Vendor_Master!E184,0)</f>
        <v>962583</v>
      </c>
      <c r="F184" t="str">
        <f>_xlfn.XLOOKUP(A184,Vendor_Master!A184,Vendor_Master!H184,"")</f>
        <v>contact183@vendor.com</v>
      </c>
      <c r="G184">
        <f ca="1">COUNTIFS(Sustainability_Documents!$A:$A,$A184,Sustainability_Documents!$H:$H,"Missing")</f>
        <v>0</v>
      </c>
      <c r="H184">
        <f ca="1">COUNTIFS(Sustainability_Documents!$A:$A,$A184,Sustainability_Documents!$H:$H,"Expired")</f>
        <v>0</v>
      </c>
      <c r="I184">
        <f ca="1">COUNTIFS(Sustainability_Documents!$A:$A,$A184,Sustainability_Documents!$H:$H,"Expiring Soon")</f>
        <v>0</v>
      </c>
      <c r="J184">
        <f>COUNTIFS(Sustainability_Documents!$A:$A,$A184,Sustainability_Documents!$C:$C,"Yes")</f>
        <v>4</v>
      </c>
      <c r="K184">
        <f ca="1">IF($J184=0,"",($J184-$G184-$H184)/$J184)</f>
        <v>1</v>
      </c>
      <c r="L184">
        <f>COUNTIFS(OutReach_Log!$A:$A,$A184,OutReach_Log!$G:$G,"Yes")</f>
        <v>0</v>
      </c>
      <c r="M184">
        <f>COUNTIFS(OutReach_Log!$A:$A,$A184,OutReach_Log!$E:$E,"Pending")
 +COUNTIFS(OutReach_Log!$A:$A,$A184,OutReach_Log!$E:$E,"Escalated")</f>
        <v>0</v>
      </c>
      <c r="N184">
        <f>COUNTIFS(Incident_Log!$A:$A,$A184,Incident_Log!$C:$C,"High",Incident_Log!$E:$E,"No")</f>
        <v>0</v>
      </c>
      <c r="O184" t="str">
        <f t="shared" ca="1" si="2"/>
        <v>Attention Required</v>
      </c>
      <c r="P184">
        <f ca="1">($G184*40)+($H184*30)+($I184*10)+($N184*50)+IF($L184&gt;0,20,0)</f>
        <v>0</v>
      </c>
      <c r="Q184">
        <f ca="1">E184*(P184/100)</f>
        <v>0</v>
      </c>
      <c r="R184">
        <f ca="1">_xlfn.RANK.EQ($Q184,$Q$2:$Q$401,0)</f>
        <v>180</v>
      </c>
    </row>
    <row r="185" spans="1:18">
      <c r="A185" t="str" cm="1">
        <f t="array" ref="A185">_xlfn._xlws.SORT(Vendor_Master!A185)</f>
        <v>VND-184</v>
      </c>
      <c r="B185" t="str">
        <f>_xlfn.XLOOKUP(Compliance_Sheet!A185,Vendor_Master!A185,Vendor_Master!B185,"")</f>
        <v>Vendor_184</v>
      </c>
      <c r="C185" t="str">
        <f>_xlfn.XLOOKUP(A185,Vendor_Master!A185,Vendor_Master!C185,"")</f>
        <v>Marine Services</v>
      </c>
      <c r="D185" t="str">
        <f>_xlfn.XLOOKUP(A185,Vendor_Master!A185,Vendor_Master!D185,"")</f>
        <v>South</v>
      </c>
      <c r="E185">
        <f>_xlfn.XLOOKUP(A185,Vendor_Master!A185,Vendor_Master!E185,0)</f>
        <v>362153</v>
      </c>
      <c r="F185" t="str">
        <f>_xlfn.XLOOKUP(A185,Vendor_Master!A185,Vendor_Master!H185,"")</f>
        <v>contact184@vendor.com</v>
      </c>
      <c r="G185">
        <f ca="1">COUNTIFS(Sustainability_Documents!$A:$A,$A185,Sustainability_Documents!$H:$H,"Missing")</f>
        <v>0</v>
      </c>
      <c r="H185">
        <f ca="1">COUNTIFS(Sustainability_Documents!$A:$A,$A185,Sustainability_Documents!$H:$H,"Expired")</f>
        <v>0</v>
      </c>
      <c r="I185">
        <f ca="1">COUNTIFS(Sustainability_Documents!$A:$A,$A185,Sustainability_Documents!$H:$H,"Expiring Soon")</f>
        <v>0</v>
      </c>
      <c r="J185">
        <f>COUNTIFS(Sustainability_Documents!$A:$A,$A185,Sustainability_Documents!$C:$C,"Yes")</f>
        <v>4</v>
      </c>
      <c r="K185">
        <f ca="1">IF($J185=0,"",($J185-$G185-$H185)/$J185)</f>
        <v>1</v>
      </c>
      <c r="L185">
        <f>COUNTIFS(OutReach_Log!$A:$A,$A185,OutReach_Log!$G:$G,"Yes")</f>
        <v>0</v>
      </c>
      <c r="M185">
        <f>COUNTIFS(OutReach_Log!$A:$A,$A185,OutReach_Log!$E:$E,"Pending")
 +COUNTIFS(OutReach_Log!$A:$A,$A185,OutReach_Log!$E:$E,"Escalated")</f>
        <v>0</v>
      </c>
      <c r="N185">
        <f>COUNTIFS(Incident_Log!$A:$A,$A185,Incident_Log!$C:$C,"High",Incident_Log!$E:$E,"No")</f>
        <v>0</v>
      </c>
      <c r="O185" t="str">
        <f t="shared" ca="1" si="2"/>
        <v>Attention Required</v>
      </c>
      <c r="P185">
        <f ca="1">($G185*40)+($H185*30)+($I185*10)+($N185*50)+IF($L185&gt;0,20,0)</f>
        <v>0</v>
      </c>
      <c r="Q185">
        <f ca="1">E185*(P185/100)</f>
        <v>0</v>
      </c>
      <c r="R185">
        <f ca="1">_xlfn.RANK.EQ($Q185,$Q$2:$Q$401,0)</f>
        <v>180</v>
      </c>
    </row>
    <row r="186" spans="1:18">
      <c r="A186" t="str" cm="1">
        <f t="array" ref="A186">_xlfn._xlws.SORT(Vendor_Master!A186)</f>
        <v>VND-185</v>
      </c>
      <c r="B186" t="str">
        <f>_xlfn.XLOOKUP(Compliance_Sheet!A186,Vendor_Master!A186,Vendor_Master!B186,"")</f>
        <v>Vendor_185</v>
      </c>
      <c r="C186" t="str">
        <f>_xlfn.XLOOKUP(A186,Vendor_Master!A186,Vendor_Master!C186,"")</f>
        <v>Marine Services</v>
      </c>
      <c r="D186" t="str">
        <f>_xlfn.XLOOKUP(A186,Vendor_Master!A186,Vendor_Master!D186,"")</f>
        <v>South</v>
      </c>
      <c r="E186">
        <f>_xlfn.XLOOKUP(A186,Vendor_Master!A186,Vendor_Master!E186,0)</f>
        <v>576700</v>
      </c>
      <c r="F186" t="str">
        <f>_xlfn.XLOOKUP(A186,Vendor_Master!A186,Vendor_Master!H186,"")</f>
        <v>contact185@vendor.com</v>
      </c>
      <c r="G186">
        <f ca="1">COUNTIFS(Sustainability_Documents!$A:$A,$A186,Sustainability_Documents!$H:$H,"Missing")</f>
        <v>0</v>
      </c>
      <c r="H186">
        <f ca="1">COUNTIFS(Sustainability_Documents!$A:$A,$A186,Sustainability_Documents!$H:$H,"Expired")</f>
        <v>0</v>
      </c>
      <c r="I186">
        <f ca="1">COUNTIFS(Sustainability_Documents!$A:$A,$A186,Sustainability_Documents!$H:$H,"Expiring Soon")</f>
        <v>0</v>
      </c>
      <c r="J186">
        <f>COUNTIFS(Sustainability_Documents!$A:$A,$A186,Sustainability_Documents!$C:$C,"Yes")</f>
        <v>4</v>
      </c>
      <c r="K186">
        <f ca="1">IF($J186=0,"",($J186-$G186-$H186)/$J186)</f>
        <v>1</v>
      </c>
      <c r="L186">
        <f>COUNTIFS(OutReach_Log!$A:$A,$A186,OutReach_Log!$G:$G,"Yes")</f>
        <v>0</v>
      </c>
      <c r="M186">
        <f>COUNTIFS(OutReach_Log!$A:$A,$A186,OutReach_Log!$E:$E,"Pending")
 +COUNTIFS(OutReach_Log!$A:$A,$A186,OutReach_Log!$E:$E,"Escalated")</f>
        <v>0</v>
      </c>
      <c r="N186">
        <f>COUNTIFS(Incident_Log!$A:$A,$A186,Incident_Log!$C:$C,"High",Incident_Log!$E:$E,"No")</f>
        <v>0</v>
      </c>
      <c r="O186" t="str">
        <f t="shared" ca="1" si="2"/>
        <v>Attention Required</v>
      </c>
      <c r="P186">
        <f ca="1">($G186*40)+($H186*30)+($I186*10)+($N186*50)+IF($L186&gt;0,20,0)</f>
        <v>0</v>
      </c>
      <c r="Q186">
        <f ca="1">E186*(P186/100)</f>
        <v>0</v>
      </c>
      <c r="R186">
        <f ca="1">_xlfn.RANK.EQ($Q186,$Q$2:$Q$401,0)</f>
        <v>180</v>
      </c>
    </row>
    <row r="187" spans="1:18">
      <c r="A187" t="str" cm="1">
        <f t="array" ref="A187">_xlfn._xlws.SORT(Vendor_Master!A187)</f>
        <v>VND-186</v>
      </c>
      <c r="B187" t="str">
        <f>_xlfn.XLOOKUP(Compliance_Sheet!A187,Vendor_Master!A187,Vendor_Master!B187,"")</f>
        <v>Vendor_186</v>
      </c>
      <c r="C187" t="str">
        <f>_xlfn.XLOOKUP(A187,Vendor_Master!A187,Vendor_Master!C187,"")</f>
        <v>Marine Services</v>
      </c>
      <c r="D187" t="str">
        <f>_xlfn.XLOOKUP(A187,Vendor_Master!A187,Vendor_Master!D187,"")</f>
        <v>South</v>
      </c>
      <c r="E187">
        <f>_xlfn.XLOOKUP(A187,Vendor_Master!A187,Vendor_Master!E187,0)</f>
        <v>607272</v>
      </c>
      <c r="F187" t="str">
        <f>_xlfn.XLOOKUP(A187,Vendor_Master!A187,Vendor_Master!H187,"")</f>
        <v>contact186@vendor.com</v>
      </c>
      <c r="G187">
        <f ca="1">COUNTIFS(Sustainability_Documents!$A:$A,$A187,Sustainability_Documents!$H:$H,"Missing")</f>
        <v>0</v>
      </c>
      <c r="H187">
        <f ca="1">COUNTIFS(Sustainability_Documents!$A:$A,$A187,Sustainability_Documents!$H:$H,"Expired")</f>
        <v>0</v>
      </c>
      <c r="I187">
        <f ca="1">COUNTIFS(Sustainability_Documents!$A:$A,$A187,Sustainability_Documents!$H:$H,"Expiring Soon")</f>
        <v>0</v>
      </c>
      <c r="J187">
        <f>COUNTIFS(Sustainability_Documents!$A:$A,$A187,Sustainability_Documents!$C:$C,"Yes")</f>
        <v>4</v>
      </c>
      <c r="K187">
        <f ca="1">IF($J187=0,"",($J187-$G187-$H187)/$J187)</f>
        <v>1</v>
      </c>
      <c r="L187">
        <f>COUNTIFS(OutReach_Log!$A:$A,$A187,OutReach_Log!$G:$G,"Yes")</f>
        <v>0</v>
      </c>
      <c r="M187">
        <f>COUNTIFS(OutReach_Log!$A:$A,$A187,OutReach_Log!$E:$E,"Pending")
 +COUNTIFS(OutReach_Log!$A:$A,$A187,OutReach_Log!$E:$E,"Escalated")</f>
        <v>0</v>
      </c>
      <c r="N187">
        <f>COUNTIFS(Incident_Log!$A:$A,$A187,Incident_Log!$C:$C,"High",Incident_Log!$E:$E,"No")</f>
        <v>1</v>
      </c>
      <c r="O187" t="str">
        <f t="shared" ca="1" si="2"/>
        <v>High Attention Required</v>
      </c>
      <c r="P187">
        <f ca="1">($G187*40)+($H187*30)+($I187*10)+($N187*50)+IF($L187&gt;0,20,0)</f>
        <v>50</v>
      </c>
      <c r="Q187">
        <f ca="1">E187*(P187/100)</f>
        <v>303636</v>
      </c>
      <c r="R187">
        <f ca="1">_xlfn.RANK.EQ($Q187,$Q$2:$Q$401,0)</f>
        <v>103</v>
      </c>
    </row>
    <row r="188" spans="1:18">
      <c r="A188" t="str" cm="1">
        <f t="array" ref="A188">_xlfn._xlws.SORT(Vendor_Master!A188)</f>
        <v>VND-187</v>
      </c>
      <c r="B188" t="str">
        <f>_xlfn.XLOOKUP(Compliance_Sheet!A188,Vendor_Master!A188,Vendor_Master!B188,"")</f>
        <v>Vendor_187</v>
      </c>
      <c r="C188" t="str">
        <f>_xlfn.XLOOKUP(A188,Vendor_Master!A188,Vendor_Master!C188,"")</f>
        <v>Marine Services</v>
      </c>
      <c r="D188" t="str">
        <f>_xlfn.XLOOKUP(A188,Vendor_Master!A188,Vendor_Master!D188,"")</f>
        <v>South</v>
      </c>
      <c r="E188">
        <f>_xlfn.XLOOKUP(A188,Vendor_Master!A188,Vendor_Master!E188,0)</f>
        <v>954551</v>
      </c>
      <c r="F188" t="str">
        <f>_xlfn.XLOOKUP(A188,Vendor_Master!A188,Vendor_Master!H188,"")</f>
        <v>contact187@vendor.com</v>
      </c>
      <c r="G188">
        <f ca="1">COUNTIFS(Sustainability_Documents!$A:$A,$A188,Sustainability_Documents!$H:$H,"Missing")</f>
        <v>0</v>
      </c>
      <c r="H188">
        <f ca="1">COUNTIFS(Sustainability_Documents!$A:$A,$A188,Sustainability_Documents!$H:$H,"Expired")</f>
        <v>0</v>
      </c>
      <c r="I188">
        <f ca="1">COUNTIFS(Sustainability_Documents!$A:$A,$A188,Sustainability_Documents!$H:$H,"Expiring Soon")</f>
        <v>0</v>
      </c>
      <c r="J188">
        <f>COUNTIFS(Sustainability_Documents!$A:$A,$A188,Sustainability_Documents!$C:$C,"Yes")</f>
        <v>4</v>
      </c>
      <c r="K188">
        <f ca="1">IF($J188=0,"",($J188-$G188-$H188)/$J188)</f>
        <v>1</v>
      </c>
      <c r="L188">
        <f>COUNTIFS(OutReach_Log!$A:$A,$A188,OutReach_Log!$G:$G,"Yes")</f>
        <v>0</v>
      </c>
      <c r="M188">
        <f>COUNTIFS(OutReach_Log!$A:$A,$A188,OutReach_Log!$E:$E,"Pending")
 +COUNTIFS(OutReach_Log!$A:$A,$A188,OutReach_Log!$E:$E,"Escalated")</f>
        <v>0</v>
      </c>
      <c r="N188">
        <f>COUNTIFS(Incident_Log!$A:$A,$A188,Incident_Log!$C:$C,"High",Incident_Log!$E:$E,"No")</f>
        <v>0</v>
      </c>
      <c r="O188" t="str">
        <f t="shared" ca="1" si="2"/>
        <v>Attention Required</v>
      </c>
      <c r="P188">
        <f ca="1">($G188*40)+($H188*30)+($I188*10)+($N188*50)+IF($L188&gt;0,20,0)</f>
        <v>0</v>
      </c>
      <c r="Q188">
        <f ca="1">E188*(P188/100)</f>
        <v>0</v>
      </c>
      <c r="R188">
        <f ca="1">_xlfn.RANK.EQ($Q188,$Q$2:$Q$401,0)</f>
        <v>180</v>
      </c>
    </row>
    <row r="189" spans="1:18">
      <c r="A189" t="str" cm="1">
        <f t="array" ref="A189">_xlfn._xlws.SORT(Vendor_Master!A189)</f>
        <v>VND-188</v>
      </c>
      <c r="B189" t="str">
        <f>_xlfn.XLOOKUP(Compliance_Sheet!A189,Vendor_Master!A189,Vendor_Master!B189,"")</f>
        <v>Vendor_188</v>
      </c>
      <c r="C189" t="str">
        <f>_xlfn.XLOOKUP(A189,Vendor_Master!A189,Vendor_Master!C189,"")</f>
        <v>Marine Services</v>
      </c>
      <c r="D189" t="str">
        <f>_xlfn.XLOOKUP(A189,Vendor_Master!A189,Vendor_Master!D189,"")</f>
        <v>South</v>
      </c>
      <c r="E189">
        <f>_xlfn.XLOOKUP(A189,Vendor_Master!A189,Vendor_Master!E189,0)</f>
        <v>692683</v>
      </c>
      <c r="F189" t="str">
        <f>_xlfn.XLOOKUP(A189,Vendor_Master!A189,Vendor_Master!H189,"")</f>
        <v>contact188@vendor.com</v>
      </c>
      <c r="G189">
        <f ca="1">COUNTIFS(Sustainability_Documents!$A:$A,$A189,Sustainability_Documents!$H:$H,"Missing")</f>
        <v>0</v>
      </c>
      <c r="H189">
        <f ca="1">COUNTIFS(Sustainability_Documents!$A:$A,$A189,Sustainability_Documents!$H:$H,"Expired")</f>
        <v>0</v>
      </c>
      <c r="I189">
        <f ca="1">COUNTIFS(Sustainability_Documents!$A:$A,$A189,Sustainability_Documents!$H:$H,"Expiring Soon")</f>
        <v>0</v>
      </c>
      <c r="J189">
        <f>COUNTIFS(Sustainability_Documents!$A:$A,$A189,Sustainability_Documents!$C:$C,"Yes")</f>
        <v>4</v>
      </c>
      <c r="K189">
        <f ca="1">IF($J189=0,"",($J189-$G189-$H189)/$J189)</f>
        <v>1</v>
      </c>
      <c r="L189">
        <f>COUNTIFS(OutReach_Log!$A:$A,$A189,OutReach_Log!$G:$G,"Yes")</f>
        <v>0</v>
      </c>
      <c r="M189">
        <f>COUNTIFS(OutReach_Log!$A:$A,$A189,OutReach_Log!$E:$E,"Pending")
 +COUNTIFS(OutReach_Log!$A:$A,$A189,OutReach_Log!$E:$E,"Escalated")</f>
        <v>0</v>
      </c>
      <c r="N189">
        <f>COUNTIFS(Incident_Log!$A:$A,$A189,Incident_Log!$C:$C,"High",Incident_Log!$E:$E,"No")</f>
        <v>0</v>
      </c>
      <c r="O189" t="str">
        <f t="shared" ca="1" si="2"/>
        <v>Attention Required</v>
      </c>
      <c r="P189">
        <f ca="1">($G189*40)+($H189*30)+($I189*10)+($N189*50)+IF($L189&gt;0,20,0)</f>
        <v>0</v>
      </c>
      <c r="Q189">
        <f ca="1">E189*(P189/100)</f>
        <v>0</v>
      </c>
      <c r="R189">
        <f ca="1">_xlfn.RANK.EQ($Q189,$Q$2:$Q$401,0)</f>
        <v>180</v>
      </c>
    </row>
    <row r="190" spans="1:18">
      <c r="A190" t="str" cm="1">
        <f t="array" ref="A190">_xlfn._xlws.SORT(Vendor_Master!A190)</f>
        <v>VND-189</v>
      </c>
      <c r="B190" t="str">
        <f>_xlfn.XLOOKUP(Compliance_Sheet!A190,Vendor_Master!A190,Vendor_Master!B190,"")</f>
        <v>Vendor_189</v>
      </c>
      <c r="C190" t="str">
        <f>_xlfn.XLOOKUP(A190,Vendor_Master!A190,Vendor_Master!C190,"")</f>
        <v>Marine Services</v>
      </c>
      <c r="D190" t="str">
        <f>_xlfn.XLOOKUP(A190,Vendor_Master!A190,Vendor_Master!D190,"")</f>
        <v>South</v>
      </c>
      <c r="E190">
        <f>_xlfn.XLOOKUP(A190,Vendor_Master!A190,Vendor_Master!E190,0)</f>
        <v>285598</v>
      </c>
      <c r="F190" t="str">
        <f>_xlfn.XLOOKUP(A190,Vendor_Master!A190,Vendor_Master!H190,"")</f>
        <v>contact189@vendor.com</v>
      </c>
      <c r="G190">
        <f ca="1">COUNTIFS(Sustainability_Documents!$A:$A,$A190,Sustainability_Documents!$H:$H,"Missing")</f>
        <v>0</v>
      </c>
      <c r="H190">
        <f ca="1">COUNTIFS(Sustainability_Documents!$A:$A,$A190,Sustainability_Documents!$H:$H,"Expired")</f>
        <v>0</v>
      </c>
      <c r="I190">
        <f ca="1">COUNTIFS(Sustainability_Documents!$A:$A,$A190,Sustainability_Documents!$H:$H,"Expiring Soon")</f>
        <v>0</v>
      </c>
      <c r="J190">
        <f>COUNTIFS(Sustainability_Documents!$A:$A,$A190,Sustainability_Documents!$C:$C,"Yes")</f>
        <v>4</v>
      </c>
      <c r="K190">
        <f ca="1">IF($J190=0,"",($J190-$G190-$H190)/$J190)</f>
        <v>1</v>
      </c>
      <c r="L190">
        <f>COUNTIFS(OutReach_Log!$A:$A,$A190,OutReach_Log!$G:$G,"Yes")</f>
        <v>0</v>
      </c>
      <c r="M190">
        <f>COUNTIFS(OutReach_Log!$A:$A,$A190,OutReach_Log!$E:$E,"Pending")
 +COUNTIFS(OutReach_Log!$A:$A,$A190,OutReach_Log!$E:$E,"Escalated")</f>
        <v>0</v>
      </c>
      <c r="N190">
        <f>COUNTIFS(Incident_Log!$A:$A,$A190,Incident_Log!$C:$C,"High",Incident_Log!$E:$E,"No")</f>
        <v>0</v>
      </c>
      <c r="O190" t="str">
        <f t="shared" ca="1" si="2"/>
        <v>Attention Required</v>
      </c>
      <c r="P190">
        <f ca="1">($G190*40)+($H190*30)+($I190*10)+($N190*50)+IF($L190&gt;0,20,0)</f>
        <v>0</v>
      </c>
      <c r="Q190">
        <f ca="1">E190*(P190/100)</f>
        <v>0</v>
      </c>
      <c r="R190">
        <f ca="1">_xlfn.RANK.EQ($Q190,$Q$2:$Q$401,0)</f>
        <v>180</v>
      </c>
    </row>
    <row r="191" spans="1:18">
      <c r="A191" t="str" cm="1">
        <f t="array" ref="A191">_xlfn._xlws.SORT(Vendor_Master!A191)</f>
        <v>VND-190</v>
      </c>
      <c r="B191" t="str">
        <f>_xlfn.XLOOKUP(Compliance_Sheet!A191,Vendor_Master!A191,Vendor_Master!B191,"")</f>
        <v>Vendor_190</v>
      </c>
      <c r="C191" t="str">
        <f>_xlfn.XLOOKUP(A191,Vendor_Master!A191,Vendor_Master!C191,"")</f>
        <v>Marine Services</v>
      </c>
      <c r="D191" t="str">
        <f>_xlfn.XLOOKUP(A191,Vendor_Master!A191,Vendor_Master!D191,"")</f>
        <v>South</v>
      </c>
      <c r="E191">
        <f>_xlfn.XLOOKUP(A191,Vendor_Master!A191,Vendor_Master!E191,0)</f>
        <v>578346</v>
      </c>
      <c r="F191" t="str">
        <f>_xlfn.XLOOKUP(A191,Vendor_Master!A191,Vendor_Master!H191,"")</f>
        <v>contact190@vendor.com</v>
      </c>
      <c r="G191">
        <f ca="1">COUNTIFS(Sustainability_Documents!$A:$A,$A191,Sustainability_Documents!$H:$H,"Missing")</f>
        <v>0</v>
      </c>
      <c r="H191">
        <f ca="1">COUNTIFS(Sustainability_Documents!$A:$A,$A191,Sustainability_Documents!$H:$H,"Expired")</f>
        <v>0</v>
      </c>
      <c r="I191">
        <f ca="1">COUNTIFS(Sustainability_Documents!$A:$A,$A191,Sustainability_Documents!$H:$H,"Expiring Soon")</f>
        <v>0</v>
      </c>
      <c r="J191">
        <f>COUNTIFS(Sustainability_Documents!$A:$A,$A191,Sustainability_Documents!$C:$C,"Yes")</f>
        <v>4</v>
      </c>
      <c r="K191">
        <f ca="1">IF($J191=0,"",($J191-$G191-$H191)/$J191)</f>
        <v>1</v>
      </c>
      <c r="L191">
        <f>COUNTIFS(OutReach_Log!$A:$A,$A191,OutReach_Log!$G:$G,"Yes")</f>
        <v>0</v>
      </c>
      <c r="M191">
        <f>COUNTIFS(OutReach_Log!$A:$A,$A191,OutReach_Log!$E:$E,"Pending")
 +COUNTIFS(OutReach_Log!$A:$A,$A191,OutReach_Log!$E:$E,"Escalated")</f>
        <v>0</v>
      </c>
      <c r="N191">
        <f>COUNTIFS(Incident_Log!$A:$A,$A191,Incident_Log!$C:$C,"High",Incident_Log!$E:$E,"No")</f>
        <v>0</v>
      </c>
      <c r="O191" t="str">
        <f t="shared" ca="1" si="2"/>
        <v>Attention Required</v>
      </c>
      <c r="P191">
        <f ca="1">($G191*40)+($H191*30)+($I191*10)+($N191*50)+IF($L191&gt;0,20,0)</f>
        <v>0</v>
      </c>
      <c r="Q191">
        <f ca="1">E191*(P191/100)</f>
        <v>0</v>
      </c>
      <c r="R191">
        <f ca="1">_xlfn.RANK.EQ($Q191,$Q$2:$Q$401,0)</f>
        <v>180</v>
      </c>
    </row>
    <row r="192" spans="1:18">
      <c r="A192" t="str" cm="1">
        <f t="array" ref="A192">_xlfn._xlws.SORT(Vendor_Master!A192)</f>
        <v>VND-191</v>
      </c>
      <c r="B192" t="str">
        <f>_xlfn.XLOOKUP(Compliance_Sheet!A192,Vendor_Master!A192,Vendor_Master!B192,"")</f>
        <v>Vendor_191</v>
      </c>
      <c r="C192" t="str">
        <f>_xlfn.XLOOKUP(A192,Vendor_Master!A192,Vendor_Master!C192,"")</f>
        <v>Marine Services</v>
      </c>
      <c r="D192" t="str">
        <f>_xlfn.XLOOKUP(A192,Vendor_Master!A192,Vendor_Master!D192,"")</f>
        <v>South</v>
      </c>
      <c r="E192">
        <f>_xlfn.XLOOKUP(A192,Vendor_Master!A192,Vendor_Master!E192,0)</f>
        <v>581021</v>
      </c>
      <c r="F192" t="str">
        <f>_xlfn.XLOOKUP(A192,Vendor_Master!A192,Vendor_Master!H192,"")</f>
        <v>contact191@vendor.com</v>
      </c>
      <c r="G192">
        <f ca="1">COUNTIFS(Sustainability_Documents!$A:$A,$A192,Sustainability_Documents!$H:$H,"Missing")</f>
        <v>0</v>
      </c>
      <c r="H192">
        <f ca="1">COUNTIFS(Sustainability_Documents!$A:$A,$A192,Sustainability_Documents!$H:$H,"Expired")</f>
        <v>0</v>
      </c>
      <c r="I192">
        <f ca="1">COUNTIFS(Sustainability_Documents!$A:$A,$A192,Sustainability_Documents!$H:$H,"Expiring Soon")</f>
        <v>0</v>
      </c>
      <c r="J192">
        <f>COUNTIFS(Sustainability_Documents!$A:$A,$A192,Sustainability_Documents!$C:$C,"Yes")</f>
        <v>4</v>
      </c>
      <c r="K192">
        <f ca="1">IF($J192=0,"",($J192-$G192-$H192)/$J192)</f>
        <v>1</v>
      </c>
      <c r="L192">
        <f>COUNTIFS(OutReach_Log!$A:$A,$A192,OutReach_Log!$G:$G,"Yes")</f>
        <v>0</v>
      </c>
      <c r="M192">
        <f>COUNTIFS(OutReach_Log!$A:$A,$A192,OutReach_Log!$E:$E,"Pending")
 +COUNTIFS(OutReach_Log!$A:$A,$A192,OutReach_Log!$E:$E,"Escalated")</f>
        <v>0</v>
      </c>
      <c r="N192">
        <f>COUNTIFS(Incident_Log!$A:$A,$A192,Incident_Log!$C:$C,"High",Incident_Log!$E:$E,"No")</f>
        <v>0</v>
      </c>
      <c r="O192" t="str">
        <f t="shared" ca="1" si="2"/>
        <v>Attention Required</v>
      </c>
      <c r="P192">
        <f ca="1">($G192*40)+($H192*30)+($I192*10)+($N192*50)+IF($L192&gt;0,20,0)</f>
        <v>0</v>
      </c>
      <c r="Q192">
        <f ca="1">E192*(P192/100)</f>
        <v>0</v>
      </c>
      <c r="R192">
        <f ca="1">_xlfn.RANK.EQ($Q192,$Q$2:$Q$401,0)</f>
        <v>180</v>
      </c>
    </row>
    <row r="193" spans="1:18">
      <c r="A193" t="str" cm="1">
        <f t="array" ref="A193">_xlfn._xlws.SORT(Vendor_Master!A193)</f>
        <v>VND-192</v>
      </c>
      <c r="B193" t="str">
        <f>_xlfn.XLOOKUP(Compliance_Sheet!A193,Vendor_Master!A193,Vendor_Master!B193,"")</f>
        <v>Vendor_192</v>
      </c>
      <c r="C193" t="str">
        <f>_xlfn.XLOOKUP(A193,Vendor_Master!A193,Vendor_Master!C193,"")</f>
        <v>Marine Services</v>
      </c>
      <c r="D193" t="str">
        <f>_xlfn.XLOOKUP(A193,Vendor_Master!A193,Vendor_Master!D193,"")</f>
        <v>South</v>
      </c>
      <c r="E193">
        <f>_xlfn.XLOOKUP(A193,Vendor_Master!A193,Vendor_Master!E193,0)</f>
        <v>552792</v>
      </c>
      <c r="F193" t="str">
        <f>_xlfn.XLOOKUP(A193,Vendor_Master!A193,Vendor_Master!H193,"")</f>
        <v>contact192@vendor.com</v>
      </c>
      <c r="G193">
        <f ca="1">COUNTIFS(Sustainability_Documents!$A:$A,$A193,Sustainability_Documents!$H:$H,"Missing")</f>
        <v>0</v>
      </c>
      <c r="H193">
        <f ca="1">COUNTIFS(Sustainability_Documents!$A:$A,$A193,Sustainability_Documents!$H:$H,"Expired")</f>
        <v>0</v>
      </c>
      <c r="I193">
        <f ca="1">COUNTIFS(Sustainability_Documents!$A:$A,$A193,Sustainability_Documents!$H:$H,"Expiring Soon")</f>
        <v>0</v>
      </c>
      <c r="J193">
        <f>COUNTIFS(Sustainability_Documents!$A:$A,$A193,Sustainability_Documents!$C:$C,"Yes")</f>
        <v>4</v>
      </c>
      <c r="K193">
        <f ca="1">IF($J193=0,"",($J193-$G193-$H193)/$J193)</f>
        <v>1</v>
      </c>
      <c r="L193">
        <f>COUNTIFS(OutReach_Log!$A:$A,$A193,OutReach_Log!$G:$G,"Yes")</f>
        <v>0</v>
      </c>
      <c r="M193">
        <f>COUNTIFS(OutReach_Log!$A:$A,$A193,OutReach_Log!$E:$E,"Pending")
 +COUNTIFS(OutReach_Log!$A:$A,$A193,OutReach_Log!$E:$E,"Escalated")</f>
        <v>0</v>
      </c>
      <c r="N193">
        <f>COUNTIFS(Incident_Log!$A:$A,$A193,Incident_Log!$C:$C,"High",Incident_Log!$E:$E,"No")</f>
        <v>0</v>
      </c>
      <c r="O193" t="str">
        <f t="shared" ca="1" si="2"/>
        <v>Attention Required</v>
      </c>
      <c r="P193">
        <f ca="1">($G193*40)+($H193*30)+($I193*10)+($N193*50)+IF($L193&gt;0,20,0)</f>
        <v>0</v>
      </c>
      <c r="Q193">
        <f ca="1">E193*(P193/100)</f>
        <v>0</v>
      </c>
      <c r="R193">
        <f ca="1">_xlfn.RANK.EQ($Q193,$Q$2:$Q$401,0)</f>
        <v>180</v>
      </c>
    </row>
    <row r="194" spans="1:18">
      <c r="A194" t="str" cm="1">
        <f t="array" ref="A194">_xlfn._xlws.SORT(Vendor_Master!A194)</f>
        <v>VND-193</v>
      </c>
      <c r="B194" t="str">
        <f>_xlfn.XLOOKUP(Compliance_Sheet!A194,Vendor_Master!A194,Vendor_Master!B194,"")</f>
        <v>Vendor_193</v>
      </c>
      <c r="C194" t="str">
        <f>_xlfn.XLOOKUP(A194,Vendor_Master!A194,Vendor_Master!C194,"")</f>
        <v>Marine Services</v>
      </c>
      <c r="D194" t="str">
        <f>_xlfn.XLOOKUP(A194,Vendor_Master!A194,Vendor_Master!D194,"")</f>
        <v>South</v>
      </c>
      <c r="E194">
        <f>_xlfn.XLOOKUP(A194,Vendor_Master!A194,Vendor_Master!E194,0)</f>
        <v>490559</v>
      </c>
      <c r="F194" t="str">
        <f>_xlfn.XLOOKUP(A194,Vendor_Master!A194,Vendor_Master!H194,"")</f>
        <v>contact193@vendor.com</v>
      </c>
      <c r="G194">
        <f ca="1">COUNTIFS(Sustainability_Documents!$A:$A,$A194,Sustainability_Documents!$H:$H,"Missing")</f>
        <v>0</v>
      </c>
      <c r="H194">
        <f ca="1">COUNTIFS(Sustainability_Documents!$A:$A,$A194,Sustainability_Documents!$H:$H,"Expired")</f>
        <v>0</v>
      </c>
      <c r="I194">
        <f ca="1">COUNTIFS(Sustainability_Documents!$A:$A,$A194,Sustainability_Documents!$H:$H,"Expiring Soon")</f>
        <v>0</v>
      </c>
      <c r="J194">
        <f>COUNTIFS(Sustainability_Documents!$A:$A,$A194,Sustainability_Documents!$C:$C,"Yes")</f>
        <v>4</v>
      </c>
      <c r="K194">
        <f ca="1">IF($J194=0,"",($J194-$G194-$H194)/$J194)</f>
        <v>1</v>
      </c>
      <c r="L194">
        <f>COUNTIFS(OutReach_Log!$A:$A,$A194,OutReach_Log!$G:$G,"Yes")</f>
        <v>0</v>
      </c>
      <c r="M194">
        <f>COUNTIFS(OutReach_Log!$A:$A,$A194,OutReach_Log!$E:$E,"Pending")
 +COUNTIFS(OutReach_Log!$A:$A,$A194,OutReach_Log!$E:$E,"Escalated")</f>
        <v>0</v>
      </c>
      <c r="N194">
        <f>COUNTIFS(Incident_Log!$A:$A,$A194,Incident_Log!$C:$C,"High",Incident_Log!$E:$E,"No")</f>
        <v>0</v>
      </c>
      <c r="O194" t="str">
        <f t="shared" ca="1" si="2"/>
        <v>Attention Required</v>
      </c>
      <c r="P194">
        <f ca="1">($G194*40)+($H194*30)+($I194*10)+($N194*50)+IF($L194&gt;0,20,0)</f>
        <v>0</v>
      </c>
      <c r="Q194">
        <f ca="1">E194*(P194/100)</f>
        <v>0</v>
      </c>
      <c r="R194">
        <f ca="1">_xlfn.RANK.EQ($Q194,$Q$2:$Q$401,0)</f>
        <v>180</v>
      </c>
    </row>
    <row r="195" spans="1:18">
      <c r="A195" t="str" cm="1">
        <f t="array" ref="A195">_xlfn._xlws.SORT(Vendor_Master!A195)</f>
        <v>VND-194</v>
      </c>
      <c r="B195" t="str">
        <f>_xlfn.XLOOKUP(Compliance_Sheet!A195,Vendor_Master!A195,Vendor_Master!B195,"")</f>
        <v>Vendor_194</v>
      </c>
      <c r="C195" t="str">
        <f>_xlfn.XLOOKUP(A195,Vendor_Master!A195,Vendor_Master!C195,"")</f>
        <v>Marine Services</v>
      </c>
      <c r="D195" t="str">
        <f>_xlfn.XLOOKUP(A195,Vendor_Master!A195,Vendor_Master!D195,"")</f>
        <v>South</v>
      </c>
      <c r="E195">
        <f>_xlfn.XLOOKUP(A195,Vendor_Master!A195,Vendor_Master!E195,0)</f>
        <v>885185</v>
      </c>
      <c r="F195" t="str">
        <f>_xlfn.XLOOKUP(A195,Vendor_Master!A195,Vendor_Master!H195,"")</f>
        <v>contact194@vendor.com</v>
      </c>
      <c r="G195">
        <f ca="1">COUNTIFS(Sustainability_Documents!$A:$A,$A195,Sustainability_Documents!$H:$H,"Missing")</f>
        <v>0</v>
      </c>
      <c r="H195">
        <f ca="1">COUNTIFS(Sustainability_Documents!$A:$A,$A195,Sustainability_Documents!$H:$H,"Expired")</f>
        <v>0</v>
      </c>
      <c r="I195">
        <f ca="1">COUNTIFS(Sustainability_Documents!$A:$A,$A195,Sustainability_Documents!$H:$H,"Expiring Soon")</f>
        <v>0</v>
      </c>
      <c r="J195">
        <f>COUNTIFS(Sustainability_Documents!$A:$A,$A195,Sustainability_Documents!$C:$C,"Yes")</f>
        <v>4</v>
      </c>
      <c r="K195">
        <f ca="1">IF($J195=0,"",($J195-$G195-$H195)/$J195)</f>
        <v>1</v>
      </c>
      <c r="L195">
        <f>COUNTIFS(OutReach_Log!$A:$A,$A195,OutReach_Log!$G:$G,"Yes")</f>
        <v>0</v>
      </c>
      <c r="M195">
        <f>COUNTIFS(OutReach_Log!$A:$A,$A195,OutReach_Log!$E:$E,"Pending")
 +COUNTIFS(OutReach_Log!$A:$A,$A195,OutReach_Log!$E:$E,"Escalated")</f>
        <v>0</v>
      </c>
      <c r="N195">
        <f>COUNTIFS(Incident_Log!$A:$A,$A195,Incident_Log!$C:$C,"High",Incident_Log!$E:$E,"No")</f>
        <v>0</v>
      </c>
      <c r="O195" t="str">
        <f t="shared" ref="O195:O258" ca="1" si="3">IF(OR(H195&gt;0,I195&gt;0,N195&gt;0),
   "High Attention Required",
   IF(J195&gt;0,
      "Attention Required",
      "Fully Compliant"
   )
)</f>
        <v>Attention Required</v>
      </c>
      <c r="P195">
        <f ca="1">($G195*40)+($H195*30)+($I195*10)+($N195*50)+IF($L195&gt;0,20,0)</f>
        <v>0</v>
      </c>
      <c r="Q195">
        <f ca="1">E195*(P195/100)</f>
        <v>0</v>
      </c>
      <c r="R195">
        <f ca="1">_xlfn.RANK.EQ($Q195,$Q$2:$Q$401,0)</f>
        <v>180</v>
      </c>
    </row>
    <row r="196" spans="1:18">
      <c r="A196" t="str" cm="1">
        <f t="array" ref="A196">_xlfn._xlws.SORT(Vendor_Master!A196)</f>
        <v>VND-195</v>
      </c>
      <c r="B196" t="str">
        <f>_xlfn.XLOOKUP(Compliance_Sheet!A196,Vendor_Master!A196,Vendor_Master!B196,"")</f>
        <v>Vendor_195</v>
      </c>
      <c r="C196" t="str">
        <f>_xlfn.XLOOKUP(A196,Vendor_Master!A196,Vendor_Master!C196,"")</f>
        <v>Marine Services</v>
      </c>
      <c r="D196" t="str">
        <f>_xlfn.XLOOKUP(A196,Vendor_Master!A196,Vendor_Master!D196,"")</f>
        <v>South</v>
      </c>
      <c r="E196">
        <f>_xlfn.XLOOKUP(A196,Vendor_Master!A196,Vendor_Master!E196,0)</f>
        <v>700373</v>
      </c>
      <c r="F196" t="str">
        <f>_xlfn.XLOOKUP(A196,Vendor_Master!A196,Vendor_Master!H196,"")</f>
        <v>contact195@vendor.com</v>
      </c>
      <c r="G196">
        <f ca="1">COUNTIFS(Sustainability_Documents!$A:$A,$A196,Sustainability_Documents!$H:$H,"Missing")</f>
        <v>0</v>
      </c>
      <c r="H196">
        <f ca="1">COUNTIFS(Sustainability_Documents!$A:$A,$A196,Sustainability_Documents!$H:$H,"Expired")</f>
        <v>0</v>
      </c>
      <c r="I196">
        <f ca="1">COUNTIFS(Sustainability_Documents!$A:$A,$A196,Sustainability_Documents!$H:$H,"Expiring Soon")</f>
        <v>0</v>
      </c>
      <c r="J196">
        <f>COUNTIFS(Sustainability_Documents!$A:$A,$A196,Sustainability_Documents!$C:$C,"Yes")</f>
        <v>4</v>
      </c>
      <c r="K196">
        <f ca="1">IF($J196=0,"",($J196-$G196-$H196)/$J196)</f>
        <v>1</v>
      </c>
      <c r="L196">
        <f>COUNTIFS(OutReach_Log!$A:$A,$A196,OutReach_Log!$G:$G,"Yes")</f>
        <v>0</v>
      </c>
      <c r="M196">
        <f>COUNTIFS(OutReach_Log!$A:$A,$A196,OutReach_Log!$E:$E,"Pending")
 +COUNTIFS(OutReach_Log!$A:$A,$A196,OutReach_Log!$E:$E,"Escalated")</f>
        <v>0</v>
      </c>
      <c r="N196">
        <f>COUNTIFS(Incident_Log!$A:$A,$A196,Incident_Log!$C:$C,"High",Incident_Log!$E:$E,"No")</f>
        <v>0</v>
      </c>
      <c r="O196" t="str">
        <f t="shared" ca="1" si="3"/>
        <v>Attention Required</v>
      </c>
      <c r="P196">
        <f ca="1">($G196*40)+($H196*30)+($I196*10)+($N196*50)+IF($L196&gt;0,20,0)</f>
        <v>0</v>
      </c>
      <c r="Q196">
        <f ca="1">E196*(P196/100)</f>
        <v>0</v>
      </c>
      <c r="R196">
        <f ca="1">_xlfn.RANK.EQ($Q196,$Q$2:$Q$401,0)</f>
        <v>180</v>
      </c>
    </row>
    <row r="197" spans="1:18">
      <c r="A197" t="str" cm="1">
        <f t="array" ref="A197">_xlfn._xlws.SORT(Vendor_Master!A197)</f>
        <v>VND-196</v>
      </c>
      <c r="B197" t="str">
        <f>_xlfn.XLOOKUP(Compliance_Sheet!A197,Vendor_Master!A197,Vendor_Master!B197,"")</f>
        <v>Vendor_196</v>
      </c>
      <c r="C197" t="str">
        <f>_xlfn.XLOOKUP(A197,Vendor_Master!A197,Vendor_Master!C197,"")</f>
        <v>Marine Services</v>
      </c>
      <c r="D197" t="str">
        <f>_xlfn.XLOOKUP(A197,Vendor_Master!A197,Vendor_Master!D197,"")</f>
        <v>South</v>
      </c>
      <c r="E197">
        <f>_xlfn.XLOOKUP(A197,Vendor_Master!A197,Vendor_Master!E197,0)</f>
        <v>754882</v>
      </c>
      <c r="F197" t="str">
        <f>_xlfn.XLOOKUP(A197,Vendor_Master!A197,Vendor_Master!H197,"")</f>
        <v>contact196@vendor.com</v>
      </c>
      <c r="G197">
        <f ca="1">COUNTIFS(Sustainability_Documents!$A:$A,$A197,Sustainability_Documents!$H:$H,"Missing")</f>
        <v>0</v>
      </c>
      <c r="H197">
        <f ca="1">COUNTIFS(Sustainability_Documents!$A:$A,$A197,Sustainability_Documents!$H:$H,"Expired")</f>
        <v>0</v>
      </c>
      <c r="I197">
        <f ca="1">COUNTIFS(Sustainability_Documents!$A:$A,$A197,Sustainability_Documents!$H:$H,"Expiring Soon")</f>
        <v>0</v>
      </c>
      <c r="J197">
        <f>COUNTIFS(Sustainability_Documents!$A:$A,$A197,Sustainability_Documents!$C:$C,"Yes")</f>
        <v>4</v>
      </c>
      <c r="K197">
        <f ca="1">IF($J197=0,"",($J197-$G197-$H197)/$J197)</f>
        <v>1</v>
      </c>
      <c r="L197">
        <f>COUNTIFS(OutReach_Log!$A:$A,$A197,OutReach_Log!$G:$G,"Yes")</f>
        <v>0</v>
      </c>
      <c r="M197">
        <f>COUNTIFS(OutReach_Log!$A:$A,$A197,OutReach_Log!$E:$E,"Pending")
 +COUNTIFS(OutReach_Log!$A:$A,$A197,OutReach_Log!$E:$E,"Escalated")</f>
        <v>0</v>
      </c>
      <c r="N197">
        <f>COUNTIFS(Incident_Log!$A:$A,$A197,Incident_Log!$C:$C,"High",Incident_Log!$E:$E,"No")</f>
        <v>1</v>
      </c>
      <c r="O197" t="str">
        <f t="shared" ca="1" si="3"/>
        <v>High Attention Required</v>
      </c>
      <c r="P197">
        <f ca="1">($G197*40)+($H197*30)+($I197*10)+($N197*50)+IF($L197&gt;0,20,0)</f>
        <v>50</v>
      </c>
      <c r="Q197">
        <f ca="1">E197*(P197/100)</f>
        <v>377441</v>
      </c>
      <c r="R197">
        <f ca="1">_xlfn.RANK.EQ($Q197,$Q$2:$Q$401,0)</f>
        <v>91</v>
      </c>
    </row>
    <row r="198" spans="1:18">
      <c r="A198" t="str" cm="1">
        <f t="array" ref="A198">_xlfn._xlws.SORT(Vendor_Master!A198)</f>
        <v>VND-197</v>
      </c>
      <c r="B198" t="str">
        <f>_xlfn.XLOOKUP(Compliance_Sheet!A198,Vendor_Master!A198,Vendor_Master!B198,"")</f>
        <v>Vendor_197</v>
      </c>
      <c r="C198" t="str">
        <f>_xlfn.XLOOKUP(A198,Vendor_Master!A198,Vendor_Master!C198,"")</f>
        <v>Marine Services</v>
      </c>
      <c r="D198" t="str">
        <f>_xlfn.XLOOKUP(A198,Vendor_Master!A198,Vendor_Master!D198,"")</f>
        <v>South</v>
      </c>
      <c r="E198">
        <f>_xlfn.XLOOKUP(A198,Vendor_Master!A198,Vendor_Master!E198,0)</f>
        <v>621856</v>
      </c>
      <c r="F198" t="str">
        <f>_xlfn.XLOOKUP(A198,Vendor_Master!A198,Vendor_Master!H198,"")</f>
        <v>contact197@vendor.com</v>
      </c>
      <c r="G198">
        <f ca="1">COUNTIFS(Sustainability_Documents!$A:$A,$A198,Sustainability_Documents!$H:$H,"Missing")</f>
        <v>0</v>
      </c>
      <c r="H198">
        <f ca="1">COUNTIFS(Sustainability_Documents!$A:$A,$A198,Sustainability_Documents!$H:$H,"Expired")</f>
        <v>0</v>
      </c>
      <c r="I198">
        <f ca="1">COUNTIFS(Sustainability_Documents!$A:$A,$A198,Sustainability_Documents!$H:$H,"Expiring Soon")</f>
        <v>0</v>
      </c>
      <c r="J198">
        <f>COUNTIFS(Sustainability_Documents!$A:$A,$A198,Sustainability_Documents!$C:$C,"Yes")</f>
        <v>4</v>
      </c>
      <c r="K198">
        <f ca="1">IF($J198=0,"",($J198-$G198-$H198)/$J198)</f>
        <v>1</v>
      </c>
      <c r="L198">
        <f>COUNTIFS(OutReach_Log!$A:$A,$A198,OutReach_Log!$G:$G,"Yes")</f>
        <v>0</v>
      </c>
      <c r="M198">
        <f>COUNTIFS(OutReach_Log!$A:$A,$A198,OutReach_Log!$E:$E,"Pending")
 +COUNTIFS(OutReach_Log!$A:$A,$A198,OutReach_Log!$E:$E,"Escalated")</f>
        <v>0</v>
      </c>
      <c r="N198">
        <f>COUNTIFS(Incident_Log!$A:$A,$A198,Incident_Log!$C:$C,"High",Incident_Log!$E:$E,"No")</f>
        <v>0</v>
      </c>
      <c r="O198" t="str">
        <f t="shared" ca="1" si="3"/>
        <v>Attention Required</v>
      </c>
      <c r="P198">
        <f ca="1">($G198*40)+($H198*30)+($I198*10)+($N198*50)+IF($L198&gt;0,20,0)</f>
        <v>0</v>
      </c>
      <c r="Q198">
        <f ca="1">E198*(P198/100)</f>
        <v>0</v>
      </c>
      <c r="R198">
        <f ca="1">_xlfn.RANK.EQ($Q198,$Q$2:$Q$401,0)</f>
        <v>180</v>
      </c>
    </row>
    <row r="199" spans="1:18">
      <c r="A199" t="str" cm="1">
        <f t="array" ref="A199">_xlfn._xlws.SORT(Vendor_Master!A199)</f>
        <v>VND-198</v>
      </c>
      <c r="B199" t="str">
        <f>_xlfn.XLOOKUP(Compliance_Sheet!A199,Vendor_Master!A199,Vendor_Master!B199,"")</f>
        <v>Vendor_198</v>
      </c>
      <c r="C199" t="str">
        <f>_xlfn.XLOOKUP(A199,Vendor_Master!A199,Vendor_Master!C199,"")</f>
        <v>Marine Services</v>
      </c>
      <c r="D199" t="str">
        <f>_xlfn.XLOOKUP(A199,Vendor_Master!A199,Vendor_Master!D199,"")</f>
        <v>South</v>
      </c>
      <c r="E199">
        <f>_xlfn.XLOOKUP(A199,Vendor_Master!A199,Vendor_Master!E199,0)</f>
        <v>797421</v>
      </c>
      <c r="F199" t="str">
        <f>_xlfn.XLOOKUP(A199,Vendor_Master!A199,Vendor_Master!H199,"")</f>
        <v>contact198@vendor.com</v>
      </c>
      <c r="G199">
        <f ca="1">COUNTIFS(Sustainability_Documents!$A:$A,$A199,Sustainability_Documents!$H:$H,"Missing")</f>
        <v>0</v>
      </c>
      <c r="H199">
        <f ca="1">COUNTIFS(Sustainability_Documents!$A:$A,$A199,Sustainability_Documents!$H:$H,"Expired")</f>
        <v>0</v>
      </c>
      <c r="I199">
        <f ca="1">COUNTIFS(Sustainability_Documents!$A:$A,$A199,Sustainability_Documents!$H:$H,"Expiring Soon")</f>
        <v>0</v>
      </c>
      <c r="J199">
        <f>COUNTIFS(Sustainability_Documents!$A:$A,$A199,Sustainability_Documents!$C:$C,"Yes")</f>
        <v>4</v>
      </c>
      <c r="K199">
        <f ca="1">IF($J199=0,"",($J199-$G199-$H199)/$J199)</f>
        <v>1</v>
      </c>
      <c r="L199">
        <f>COUNTIFS(OutReach_Log!$A:$A,$A199,OutReach_Log!$G:$G,"Yes")</f>
        <v>0</v>
      </c>
      <c r="M199">
        <f>COUNTIFS(OutReach_Log!$A:$A,$A199,OutReach_Log!$E:$E,"Pending")
 +COUNTIFS(OutReach_Log!$A:$A,$A199,OutReach_Log!$E:$E,"Escalated")</f>
        <v>0</v>
      </c>
      <c r="N199">
        <f>COUNTIFS(Incident_Log!$A:$A,$A199,Incident_Log!$C:$C,"High",Incident_Log!$E:$E,"No")</f>
        <v>0</v>
      </c>
      <c r="O199" t="str">
        <f t="shared" ca="1" si="3"/>
        <v>Attention Required</v>
      </c>
      <c r="P199">
        <f ca="1">($G199*40)+($H199*30)+($I199*10)+($N199*50)+IF($L199&gt;0,20,0)</f>
        <v>0</v>
      </c>
      <c r="Q199">
        <f ca="1">E199*(P199/100)</f>
        <v>0</v>
      </c>
      <c r="R199">
        <f ca="1">_xlfn.RANK.EQ($Q199,$Q$2:$Q$401,0)</f>
        <v>180</v>
      </c>
    </row>
    <row r="200" spans="1:18">
      <c r="A200" t="str" cm="1">
        <f t="array" ref="A200">_xlfn._xlws.SORT(Vendor_Master!A200)</f>
        <v>VND-199</v>
      </c>
      <c r="B200" t="str">
        <f>_xlfn.XLOOKUP(Compliance_Sheet!A200,Vendor_Master!A200,Vendor_Master!B200,"")</f>
        <v>Vendor_199</v>
      </c>
      <c r="C200" t="str">
        <f>_xlfn.XLOOKUP(A200,Vendor_Master!A200,Vendor_Master!C200,"")</f>
        <v>Marine Services</v>
      </c>
      <c r="D200" t="str">
        <f>_xlfn.XLOOKUP(A200,Vendor_Master!A200,Vendor_Master!D200,"")</f>
        <v>South</v>
      </c>
      <c r="E200">
        <f>_xlfn.XLOOKUP(A200,Vendor_Master!A200,Vendor_Master!E200,0)</f>
        <v>810503</v>
      </c>
      <c r="F200" t="str">
        <f>_xlfn.XLOOKUP(A200,Vendor_Master!A200,Vendor_Master!H200,"")</f>
        <v>contact199@vendor.com</v>
      </c>
      <c r="G200">
        <f ca="1">COUNTIFS(Sustainability_Documents!$A:$A,$A200,Sustainability_Documents!$H:$H,"Missing")</f>
        <v>0</v>
      </c>
      <c r="H200">
        <f ca="1">COUNTIFS(Sustainability_Documents!$A:$A,$A200,Sustainability_Documents!$H:$H,"Expired")</f>
        <v>0</v>
      </c>
      <c r="I200">
        <f ca="1">COUNTIFS(Sustainability_Documents!$A:$A,$A200,Sustainability_Documents!$H:$H,"Expiring Soon")</f>
        <v>0</v>
      </c>
      <c r="J200">
        <f>COUNTIFS(Sustainability_Documents!$A:$A,$A200,Sustainability_Documents!$C:$C,"Yes")</f>
        <v>4</v>
      </c>
      <c r="K200">
        <f ca="1">IF($J200=0,"",($J200-$G200-$H200)/$J200)</f>
        <v>1</v>
      </c>
      <c r="L200">
        <f>COUNTIFS(OutReach_Log!$A:$A,$A200,OutReach_Log!$G:$G,"Yes")</f>
        <v>0</v>
      </c>
      <c r="M200">
        <f>COUNTIFS(OutReach_Log!$A:$A,$A200,OutReach_Log!$E:$E,"Pending")
 +COUNTIFS(OutReach_Log!$A:$A,$A200,OutReach_Log!$E:$E,"Escalated")</f>
        <v>0</v>
      </c>
      <c r="N200">
        <f>COUNTIFS(Incident_Log!$A:$A,$A200,Incident_Log!$C:$C,"High",Incident_Log!$E:$E,"No")</f>
        <v>0</v>
      </c>
      <c r="O200" t="str">
        <f t="shared" ca="1" si="3"/>
        <v>Attention Required</v>
      </c>
      <c r="P200">
        <f ca="1">($G200*40)+($H200*30)+($I200*10)+($N200*50)+IF($L200&gt;0,20,0)</f>
        <v>0</v>
      </c>
      <c r="Q200">
        <f ca="1">E200*(P200/100)</f>
        <v>0</v>
      </c>
      <c r="R200">
        <f ca="1">_xlfn.RANK.EQ($Q200,$Q$2:$Q$401,0)</f>
        <v>180</v>
      </c>
    </row>
    <row r="201" spans="1:18">
      <c r="A201" t="str" cm="1">
        <f t="array" ref="A201">_xlfn._xlws.SORT(Vendor_Master!A201)</f>
        <v>VND-200</v>
      </c>
      <c r="B201" t="str">
        <f>_xlfn.XLOOKUP(Compliance_Sheet!A201,Vendor_Master!A201,Vendor_Master!B201,"")</f>
        <v>Vendor_200</v>
      </c>
      <c r="C201" t="str">
        <f>_xlfn.XLOOKUP(A201,Vendor_Master!A201,Vendor_Master!C201,"")</f>
        <v>Marine Services</v>
      </c>
      <c r="D201" t="str">
        <f>_xlfn.XLOOKUP(A201,Vendor_Master!A201,Vendor_Master!D201,"")</f>
        <v>South</v>
      </c>
      <c r="E201">
        <f>_xlfn.XLOOKUP(A201,Vendor_Master!A201,Vendor_Master!E201,0)</f>
        <v>416724</v>
      </c>
      <c r="F201" t="str">
        <f>_xlfn.XLOOKUP(A201,Vendor_Master!A201,Vendor_Master!H201,"")</f>
        <v>contact200@vendor.com</v>
      </c>
      <c r="G201">
        <f ca="1">COUNTIFS(Sustainability_Documents!$A:$A,$A201,Sustainability_Documents!$H:$H,"Missing")</f>
        <v>0</v>
      </c>
      <c r="H201">
        <f ca="1">COUNTIFS(Sustainability_Documents!$A:$A,$A201,Sustainability_Documents!$H:$H,"Expired")</f>
        <v>0</v>
      </c>
      <c r="I201">
        <f ca="1">COUNTIFS(Sustainability_Documents!$A:$A,$A201,Sustainability_Documents!$H:$H,"Expiring Soon")</f>
        <v>0</v>
      </c>
      <c r="J201">
        <f>COUNTIFS(Sustainability_Documents!$A:$A,$A201,Sustainability_Documents!$C:$C,"Yes")</f>
        <v>4</v>
      </c>
      <c r="K201">
        <f ca="1">IF($J201=0,"",($J201-$G201-$H201)/$J201)</f>
        <v>1</v>
      </c>
      <c r="L201">
        <f>COUNTIFS(OutReach_Log!$A:$A,$A201,OutReach_Log!$G:$G,"Yes")</f>
        <v>0</v>
      </c>
      <c r="M201">
        <f>COUNTIFS(OutReach_Log!$A:$A,$A201,OutReach_Log!$E:$E,"Pending")
 +COUNTIFS(OutReach_Log!$A:$A,$A201,OutReach_Log!$E:$E,"Escalated")</f>
        <v>0</v>
      </c>
      <c r="N201">
        <f>COUNTIFS(Incident_Log!$A:$A,$A201,Incident_Log!$C:$C,"High",Incident_Log!$E:$E,"No")</f>
        <v>0</v>
      </c>
      <c r="O201" t="str">
        <f t="shared" ca="1" si="3"/>
        <v>Attention Required</v>
      </c>
      <c r="P201">
        <f ca="1">($G201*40)+($H201*30)+($I201*10)+($N201*50)+IF($L201&gt;0,20,0)</f>
        <v>0</v>
      </c>
      <c r="Q201">
        <f ca="1">E201*(P201/100)</f>
        <v>0</v>
      </c>
      <c r="R201">
        <f ca="1">_xlfn.RANK.EQ($Q201,$Q$2:$Q$401,0)</f>
        <v>180</v>
      </c>
    </row>
    <row r="202" spans="1:18">
      <c r="A202" t="str" cm="1">
        <f t="array" ref="A202">_xlfn._xlws.SORT(Vendor_Master!A202)</f>
        <v>VND-201</v>
      </c>
      <c r="B202" t="str">
        <f>_xlfn.XLOOKUP(Compliance_Sheet!A202,Vendor_Master!A202,Vendor_Master!B202,"")</f>
        <v>Vendor_201</v>
      </c>
      <c r="C202" t="str">
        <f>_xlfn.XLOOKUP(A202,Vendor_Master!A202,Vendor_Master!C202,"")</f>
        <v>Marine Services</v>
      </c>
      <c r="D202" t="str">
        <f>_xlfn.XLOOKUP(A202,Vendor_Master!A202,Vendor_Master!D202,"")</f>
        <v>West</v>
      </c>
      <c r="E202">
        <f>_xlfn.XLOOKUP(A202,Vendor_Master!A202,Vendor_Master!E202,0)</f>
        <v>651745</v>
      </c>
      <c r="F202" t="str">
        <f>_xlfn.XLOOKUP(A202,Vendor_Master!A202,Vendor_Master!H202,"")</f>
        <v>contact201@vendor.com</v>
      </c>
      <c r="G202">
        <f ca="1">COUNTIFS(Sustainability_Documents!$A:$A,$A202,Sustainability_Documents!$H:$H,"Missing")</f>
        <v>0</v>
      </c>
      <c r="H202">
        <f ca="1">COUNTIFS(Sustainability_Documents!$A:$A,$A202,Sustainability_Documents!$H:$H,"Expired")</f>
        <v>0</v>
      </c>
      <c r="I202">
        <f ca="1">COUNTIFS(Sustainability_Documents!$A:$A,$A202,Sustainability_Documents!$H:$H,"Expiring Soon")</f>
        <v>0</v>
      </c>
      <c r="J202">
        <f>COUNTIFS(Sustainability_Documents!$A:$A,$A202,Sustainability_Documents!$C:$C,"Yes")</f>
        <v>4</v>
      </c>
      <c r="K202">
        <f ca="1">IF($J202=0,"",($J202-$G202-$H202)/$J202)</f>
        <v>1</v>
      </c>
      <c r="L202">
        <f>COUNTIFS(OutReach_Log!$A:$A,$A202,OutReach_Log!$G:$G,"Yes")</f>
        <v>0</v>
      </c>
      <c r="M202">
        <f>COUNTIFS(OutReach_Log!$A:$A,$A202,OutReach_Log!$E:$E,"Pending")
 +COUNTIFS(OutReach_Log!$A:$A,$A202,OutReach_Log!$E:$E,"Escalated")</f>
        <v>0</v>
      </c>
      <c r="N202">
        <f>COUNTIFS(Incident_Log!$A:$A,$A202,Incident_Log!$C:$C,"High",Incident_Log!$E:$E,"No")</f>
        <v>0</v>
      </c>
      <c r="O202" t="str">
        <f t="shared" ca="1" si="3"/>
        <v>Attention Required</v>
      </c>
      <c r="P202">
        <f ca="1">($G202*40)+($H202*30)+($I202*10)+($N202*50)+IF($L202&gt;0,20,0)</f>
        <v>0</v>
      </c>
      <c r="Q202">
        <f ca="1">E202*(P202/100)</f>
        <v>0</v>
      </c>
      <c r="R202">
        <f ca="1">_xlfn.RANK.EQ($Q202,$Q$2:$Q$401,0)</f>
        <v>180</v>
      </c>
    </row>
    <row r="203" spans="1:18">
      <c r="A203" t="str" cm="1">
        <f t="array" ref="A203">_xlfn._xlws.SORT(Vendor_Master!A203)</f>
        <v>VND-202</v>
      </c>
      <c r="B203" t="str">
        <f>_xlfn.XLOOKUP(Compliance_Sheet!A203,Vendor_Master!A203,Vendor_Master!B203,"")</f>
        <v>Vendor_202</v>
      </c>
      <c r="C203" t="str">
        <f>_xlfn.XLOOKUP(A203,Vendor_Master!A203,Vendor_Master!C203,"")</f>
        <v>Marine Services</v>
      </c>
      <c r="D203" t="str">
        <f>_xlfn.XLOOKUP(A203,Vendor_Master!A203,Vendor_Master!D203,"")</f>
        <v>West</v>
      </c>
      <c r="E203">
        <f>_xlfn.XLOOKUP(A203,Vendor_Master!A203,Vendor_Master!E203,0)</f>
        <v>180797</v>
      </c>
      <c r="F203" t="str">
        <f>_xlfn.XLOOKUP(A203,Vendor_Master!A203,Vendor_Master!H203,"")</f>
        <v>contact202@vendor.com</v>
      </c>
      <c r="G203">
        <f ca="1">COUNTIFS(Sustainability_Documents!$A:$A,$A203,Sustainability_Documents!$H:$H,"Missing")</f>
        <v>0</v>
      </c>
      <c r="H203">
        <f ca="1">COUNTIFS(Sustainability_Documents!$A:$A,$A203,Sustainability_Documents!$H:$H,"Expired")</f>
        <v>0</v>
      </c>
      <c r="I203">
        <f ca="1">COUNTIFS(Sustainability_Documents!$A:$A,$A203,Sustainability_Documents!$H:$H,"Expiring Soon")</f>
        <v>0</v>
      </c>
      <c r="J203">
        <f>COUNTIFS(Sustainability_Documents!$A:$A,$A203,Sustainability_Documents!$C:$C,"Yes")</f>
        <v>4</v>
      </c>
      <c r="K203">
        <f ca="1">IF($J203=0,"",($J203-$G203-$H203)/$J203)</f>
        <v>1</v>
      </c>
      <c r="L203">
        <f>COUNTIFS(OutReach_Log!$A:$A,$A203,OutReach_Log!$G:$G,"Yes")</f>
        <v>0</v>
      </c>
      <c r="M203">
        <f>COUNTIFS(OutReach_Log!$A:$A,$A203,OutReach_Log!$E:$E,"Pending")
 +COUNTIFS(OutReach_Log!$A:$A,$A203,OutReach_Log!$E:$E,"Escalated")</f>
        <v>0</v>
      </c>
      <c r="N203">
        <f>COUNTIFS(Incident_Log!$A:$A,$A203,Incident_Log!$C:$C,"High",Incident_Log!$E:$E,"No")</f>
        <v>0</v>
      </c>
      <c r="O203" t="str">
        <f t="shared" ca="1" si="3"/>
        <v>Attention Required</v>
      </c>
      <c r="P203">
        <f ca="1">($G203*40)+($H203*30)+($I203*10)+($N203*50)+IF($L203&gt;0,20,0)</f>
        <v>0</v>
      </c>
      <c r="Q203">
        <f ca="1">E203*(P203/100)</f>
        <v>0</v>
      </c>
      <c r="R203">
        <f ca="1">_xlfn.RANK.EQ($Q203,$Q$2:$Q$401,0)</f>
        <v>180</v>
      </c>
    </row>
    <row r="204" spans="1:18">
      <c r="A204" t="str" cm="1">
        <f t="array" ref="A204">_xlfn._xlws.SORT(Vendor_Master!A204)</f>
        <v>VND-203</v>
      </c>
      <c r="B204" t="str">
        <f>_xlfn.XLOOKUP(Compliance_Sheet!A204,Vendor_Master!A204,Vendor_Master!B204,"")</f>
        <v>Vendor_203</v>
      </c>
      <c r="C204" t="str">
        <f>_xlfn.XLOOKUP(A204,Vendor_Master!A204,Vendor_Master!C204,"")</f>
        <v>Marine Services</v>
      </c>
      <c r="D204" t="str">
        <f>_xlfn.XLOOKUP(A204,Vendor_Master!A204,Vendor_Master!D204,"")</f>
        <v>West</v>
      </c>
      <c r="E204">
        <f>_xlfn.XLOOKUP(A204,Vendor_Master!A204,Vendor_Master!E204,0)</f>
        <v>151264</v>
      </c>
      <c r="F204" t="str">
        <f>_xlfn.XLOOKUP(A204,Vendor_Master!A204,Vendor_Master!H204,"")</f>
        <v>contact203@vendor.com</v>
      </c>
      <c r="G204">
        <f ca="1">COUNTIFS(Sustainability_Documents!$A:$A,$A204,Sustainability_Documents!$H:$H,"Missing")</f>
        <v>0</v>
      </c>
      <c r="H204">
        <f ca="1">COUNTIFS(Sustainability_Documents!$A:$A,$A204,Sustainability_Documents!$H:$H,"Expired")</f>
        <v>0</v>
      </c>
      <c r="I204">
        <f ca="1">COUNTIFS(Sustainability_Documents!$A:$A,$A204,Sustainability_Documents!$H:$H,"Expiring Soon")</f>
        <v>0</v>
      </c>
      <c r="J204">
        <f>COUNTIFS(Sustainability_Documents!$A:$A,$A204,Sustainability_Documents!$C:$C,"Yes")</f>
        <v>4</v>
      </c>
      <c r="K204">
        <f ca="1">IF($J204=0,"",($J204-$G204-$H204)/$J204)</f>
        <v>1</v>
      </c>
      <c r="L204">
        <f>COUNTIFS(OutReach_Log!$A:$A,$A204,OutReach_Log!$G:$G,"Yes")</f>
        <v>0</v>
      </c>
      <c r="M204">
        <f>COUNTIFS(OutReach_Log!$A:$A,$A204,OutReach_Log!$E:$E,"Pending")
 +COUNTIFS(OutReach_Log!$A:$A,$A204,OutReach_Log!$E:$E,"Escalated")</f>
        <v>0</v>
      </c>
      <c r="N204">
        <f>COUNTIFS(Incident_Log!$A:$A,$A204,Incident_Log!$C:$C,"High",Incident_Log!$E:$E,"No")</f>
        <v>0</v>
      </c>
      <c r="O204" t="str">
        <f t="shared" ca="1" si="3"/>
        <v>Attention Required</v>
      </c>
      <c r="P204">
        <f ca="1">($G204*40)+($H204*30)+($I204*10)+($N204*50)+IF($L204&gt;0,20,0)</f>
        <v>0</v>
      </c>
      <c r="Q204">
        <f ca="1">E204*(P204/100)</f>
        <v>0</v>
      </c>
      <c r="R204">
        <f ca="1">_xlfn.RANK.EQ($Q204,$Q$2:$Q$401,0)</f>
        <v>180</v>
      </c>
    </row>
    <row r="205" spans="1:18">
      <c r="A205" t="str" cm="1">
        <f t="array" ref="A205">_xlfn._xlws.SORT(Vendor_Master!A205)</f>
        <v>VND-204</v>
      </c>
      <c r="B205" t="str">
        <f>_xlfn.XLOOKUP(Compliance_Sheet!A205,Vendor_Master!A205,Vendor_Master!B205,"")</f>
        <v>Vendor_204</v>
      </c>
      <c r="C205" t="str">
        <f>_xlfn.XLOOKUP(A205,Vendor_Master!A205,Vendor_Master!C205,"")</f>
        <v>Marine Services</v>
      </c>
      <c r="D205" t="str">
        <f>_xlfn.XLOOKUP(A205,Vendor_Master!A205,Vendor_Master!D205,"")</f>
        <v>West</v>
      </c>
      <c r="E205">
        <f>_xlfn.XLOOKUP(A205,Vendor_Master!A205,Vendor_Master!E205,0)</f>
        <v>78721</v>
      </c>
      <c r="F205" t="str">
        <f>_xlfn.XLOOKUP(A205,Vendor_Master!A205,Vendor_Master!H205,"")</f>
        <v>contact204@vendor.com</v>
      </c>
      <c r="G205">
        <f ca="1">COUNTIFS(Sustainability_Documents!$A:$A,$A205,Sustainability_Documents!$H:$H,"Missing")</f>
        <v>0</v>
      </c>
      <c r="H205">
        <f ca="1">COUNTIFS(Sustainability_Documents!$A:$A,$A205,Sustainability_Documents!$H:$H,"Expired")</f>
        <v>0</v>
      </c>
      <c r="I205">
        <f ca="1">COUNTIFS(Sustainability_Documents!$A:$A,$A205,Sustainability_Documents!$H:$H,"Expiring Soon")</f>
        <v>0</v>
      </c>
      <c r="J205">
        <f>COUNTIFS(Sustainability_Documents!$A:$A,$A205,Sustainability_Documents!$C:$C,"Yes")</f>
        <v>4</v>
      </c>
      <c r="K205">
        <f ca="1">IF($J205=0,"",($J205-$G205-$H205)/$J205)</f>
        <v>1</v>
      </c>
      <c r="L205">
        <f>COUNTIFS(OutReach_Log!$A:$A,$A205,OutReach_Log!$G:$G,"Yes")</f>
        <v>0</v>
      </c>
      <c r="M205">
        <f>COUNTIFS(OutReach_Log!$A:$A,$A205,OutReach_Log!$E:$E,"Pending")
 +COUNTIFS(OutReach_Log!$A:$A,$A205,OutReach_Log!$E:$E,"Escalated")</f>
        <v>0</v>
      </c>
      <c r="N205">
        <f>COUNTIFS(Incident_Log!$A:$A,$A205,Incident_Log!$C:$C,"High",Incident_Log!$E:$E,"No")</f>
        <v>0</v>
      </c>
      <c r="O205" t="str">
        <f t="shared" ca="1" si="3"/>
        <v>Attention Required</v>
      </c>
      <c r="P205">
        <f ca="1">($G205*40)+($H205*30)+($I205*10)+($N205*50)+IF($L205&gt;0,20,0)</f>
        <v>0</v>
      </c>
      <c r="Q205">
        <f ca="1">E205*(P205/100)</f>
        <v>0</v>
      </c>
      <c r="R205">
        <f ca="1">_xlfn.RANK.EQ($Q205,$Q$2:$Q$401,0)</f>
        <v>180</v>
      </c>
    </row>
    <row r="206" spans="1:18">
      <c r="A206" t="str" cm="1">
        <f t="array" ref="A206">_xlfn._xlws.SORT(Vendor_Master!A206)</f>
        <v>VND-205</v>
      </c>
      <c r="B206" t="str">
        <f>_xlfn.XLOOKUP(Compliance_Sheet!A206,Vendor_Master!A206,Vendor_Master!B206,"")</f>
        <v>Vendor_205</v>
      </c>
      <c r="C206" t="str">
        <f>_xlfn.XLOOKUP(A206,Vendor_Master!A206,Vendor_Master!C206,"")</f>
        <v>Marine Services</v>
      </c>
      <c r="D206" t="str">
        <f>_xlfn.XLOOKUP(A206,Vendor_Master!A206,Vendor_Master!D206,"")</f>
        <v>West</v>
      </c>
      <c r="E206">
        <f>_xlfn.XLOOKUP(A206,Vendor_Master!A206,Vendor_Master!E206,0)</f>
        <v>67603</v>
      </c>
      <c r="F206" t="str">
        <f>_xlfn.XLOOKUP(A206,Vendor_Master!A206,Vendor_Master!H206,"")</f>
        <v>contact205@vendor.com</v>
      </c>
      <c r="G206">
        <f ca="1">COUNTIFS(Sustainability_Documents!$A:$A,$A206,Sustainability_Documents!$H:$H,"Missing")</f>
        <v>0</v>
      </c>
      <c r="H206">
        <f ca="1">COUNTIFS(Sustainability_Documents!$A:$A,$A206,Sustainability_Documents!$H:$H,"Expired")</f>
        <v>0</v>
      </c>
      <c r="I206">
        <f ca="1">COUNTIFS(Sustainability_Documents!$A:$A,$A206,Sustainability_Documents!$H:$H,"Expiring Soon")</f>
        <v>0</v>
      </c>
      <c r="J206">
        <f>COUNTIFS(Sustainability_Documents!$A:$A,$A206,Sustainability_Documents!$C:$C,"Yes")</f>
        <v>4</v>
      </c>
      <c r="K206">
        <f ca="1">IF($J206=0,"",($J206-$G206-$H206)/$J206)</f>
        <v>1</v>
      </c>
      <c r="L206">
        <f>COUNTIFS(OutReach_Log!$A:$A,$A206,OutReach_Log!$G:$G,"Yes")</f>
        <v>0</v>
      </c>
      <c r="M206">
        <f>COUNTIFS(OutReach_Log!$A:$A,$A206,OutReach_Log!$E:$E,"Pending")
 +COUNTIFS(OutReach_Log!$A:$A,$A206,OutReach_Log!$E:$E,"Escalated")</f>
        <v>0</v>
      </c>
      <c r="N206">
        <f>COUNTIFS(Incident_Log!$A:$A,$A206,Incident_Log!$C:$C,"High",Incident_Log!$E:$E,"No")</f>
        <v>0</v>
      </c>
      <c r="O206" t="str">
        <f t="shared" ca="1" si="3"/>
        <v>Attention Required</v>
      </c>
      <c r="P206">
        <f ca="1">($G206*40)+($H206*30)+($I206*10)+($N206*50)+IF($L206&gt;0,20,0)</f>
        <v>0</v>
      </c>
      <c r="Q206">
        <f ca="1">E206*(P206/100)</f>
        <v>0</v>
      </c>
      <c r="R206">
        <f ca="1">_xlfn.RANK.EQ($Q206,$Q$2:$Q$401,0)</f>
        <v>180</v>
      </c>
    </row>
    <row r="207" spans="1:18">
      <c r="A207" t="str" cm="1">
        <f t="array" ref="A207">_xlfn._xlws.SORT(Vendor_Master!A207)</f>
        <v>VND-206</v>
      </c>
      <c r="B207" t="str">
        <f>_xlfn.XLOOKUP(Compliance_Sheet!A207,Vendor_Master!A207,Vendor_Master!B207,"")</f>
        <v>Vendor_206</v>
      </c>
      <c r="C207" t="str">
        <f>_xlfn.XLOOKUP(A207,Vendor_Master!A207,Vendor_Master!C207,"")</f>
        <v>Marine Services</v>
      </c>
      <c r="D207" t="str">
        <f>_xlfn.XLOOKUP(A207,Vendor_Master!A207,Vendor_Master!D207,"")</f>
        <v>West</v>
      </c>
      <c r="E207">
        <f>_xlfn.XLOOKUP(A207,Vendor_Master!A207,Vendor_Master!E207,0)</f>
        <v>247913</v>
      </c>
      <c r="F207" t="str">
        <f>_xlfn.XLOOKUP(A207,Vendor_Master!A207,Vendor_Master!H207,"")</f>
        <v>contact206@vendor.com</v>
      </c>
      <c r="G207">
        <f ca="1">COUNTIFS(Sustainability_Documents!$A:$A,$A207,Sustainability_Documents!$H:$H,"Missing")</f>
        <v>0</v>
      </c>
      <c r="H207">
        <f ca="1">COUNTIFS(Sustainability_Documents!$A:$A,$A207,Sustainability_Documents!$H:$H,"Expired")</f>
        <v>0</v>
      </c>
      <c r="I207">
        <f ca="1">COUNTIFS(Sustainability_Documents!$A:$A,$A207,Sustainability_Documents!$H:$H,"Expiring Soon")</f>
        <v>0</v>
      </c>
      <c r="J207">
        <f>COUNTIFS(Sustainability_Documents!$A:$A,$A207,Sustainability_Documents!$C:$C,"Yes")</f>
        <v>4</v>
      </c>
      <c r="K207">
        <f ca="1">IF($J207=0,"",($J207-$G207-$H207)/$J207)</f>
        <v>1</v>
      </c>
      <c r="L207">
        <f>COUNTIFS(OutReach_Log!$A:$A,$A207,OutReach_Log!$G:$G,"Yes")</f>
        <v>0</v>
      </c>
      <c r="M207">
        <f>COUNTIFS(OutReach_Log!$A:$A,$A207,OutReach_Log!$E:$E,"Pending")
 +COUNTIFS(OutReach_Log!$A:$A,$A207,OutReach_Log!$E:$E,"Escalated")</f>
        <v>0</v>
      </c>
      <c r="N207">
        <f>COUNTIFS(Incident_Log!$A:$A,$A207,Incident_Log!$C:$C,"High",Incident_Log!$E:$E,"No")</f>
        <v>0</v>
      </c>
      <c r="O207" t="str">
        <f t="shared" ca="1" si="3"/>
        <v>Attention Required</v>
      </c>
      <c r="P207">
        <f ca="1">($G207*40)+($H207*30)+($I207*10)+($N207*50)+IF($L207&gt;0,20,0)</f>
        <v>0</v>
      </c>
      <c r="Q207">
        <f ca="1">E207*(P207/100)</f>
        <v>0</v>
      </c>
      <c r="R207">
        <f ca="1">_xlfn.RANK.EQ($Q207,$Q$2:$Q$401,0)</f>
        <v>180</v>
      </c>
    </row>
    <row r="208" spans="1:18">
      <c r="A208" t="str" cm="1">
        <f t="array" ref="A208">_xlfn._xlws.SORT(Vendor_Master!A208)</f>
        <v>VND-207</v>
      </c>
      <c r="B208" t="str">
        <f>_xlfn.XLOOKUP(Compliance_Sheet!A208,Vendor_Master!A208,Vendor_Master!B208,"")</f>
        <v>Vendor_207</v>
      </c>
      <c r="C208" t="str">
        <f>_xlfn.XLOOKUP(A208,Vendor_Master!A208,Vendor_Master!C208,"")</f>
        <v>Marine Services</v>
      </c>
      <c r="D208" t="str">
        <f>_xlfn.XLOOKUP(A208,Vendor_Master!A208,Vendor_Master!D208,"")</f>
        <v>West</v>
      </c>
      <c r="E208">
        <f>_xlfn.XLOOKUP(A208,Vendor_Master!A208,Vendor_Master!E208,0)</f>
        <v>201818</v>
      </c>
      <c r="F208" t="str">
        <f>_xlfn.XLOOKUP(A208,Vendor_Master!A208,Vendor_Master!H208,"")</f>
        <v>contact207@vendor.com</v>
      </c>
      <c r="G208">
        <f ca="1">COUNTIFS(Sustainability_Documents!$A:$A,$A208,Sustainability_Documents!$H:$H,"Missing")</f>
        <v>0</v>
      </c>
      <c r="H208">
        <f ca="1">COUNTIFS(Sustainability_Documents!$A:$A,$A208,Sustainability_Documents!$H:$H,"Expired")</f>
        <v>0</v>
      </c>
      <c r="I208">
        <f ca="1">COUNTIFS(Sustainability_Documents!$A:$A,$A208,Sustainability_Documents!$H:$H,"Expiring Soon")</f>
        <v>0</v>
      </c>
      <c r="J208">
        <f>COUNTIFS(Sustainability_Documents!$A:$A,$A208,Sustainability_Documents!$C:$C,"Yes")</f>
        <v>4</v>
      </c>
      <c r="K208">
        <f ca="1">IF($J208=0,"",($J208-$G208-$H208)/$J208)</f>
        <v>1</v>
      </c>
      <c r="L208">
        <f>COUNTIFS(OutReach_Log!$A:$A,$A208,OutReach_Log!$G:$G,"Yes")</f>
        <v>0</v>
      </c>
      <c r="M208">
        <f>COUNTIFS(OutReach_Log!$A:$A,$A208,OutReach_Log!$E:$E,"Pending")
 +COUNTIFS(OutReach_Log!$A:$A,$A208,OutReach_Log!$E:$E,"Escalated")</f>
        <v>0</v>
      </c>
      <c r="N208">
        <f>COUNTIFS(Incident_Log!$A:$A,$A208,Incident_Log!$C:$C,"High",Incident_Log!$E:$E,"No")</f>
        <v>0</v>
      </c>
      <c r="O208" t="str">
        <f t="shared" ca="1" si="3"/>
        <v>Attention Required</v>
      </c>
      <c r="P208">
        <f ca="1">($G208*40)+($H208*30)+($I208*10)+($N208*50)+IF($L208&gt;0,20,0)</f>
        <v>0</v>
      </c>
      <c r="Q208">
        <f ca="1">E208*(P208/100)</f>
        <v>0</v>
      </c>
      <c r="R208">
        <f ca="1">_xlfn.RANK.EQ($Q208,$Q$2:$Q$401,0)</f>
        <v>180</v>
      </c>
    </row>
    <row r="209" spans="1:18">
      <c r="A209" t="str" cm="1">
        <f t="array" ref="A209">_xlfn._xlws.SORT(Vendor_Master!A209)</f>
        <v>VND-208</v>
      </c>
      <c r="B209" t="str">
        <f>_xlfn.XLOOKUP(Compliance_Sheet!A209,Vendor_Master!A209,Vendor_Master!B209,"")</f>
        <v>Vendor_208</v>
      </c>
      <c r="C209" t="str">
        <f>_xlfn.XLOOKUP(A209,Vendor_Master!A209,Vendor_Master!C209,"")</f>
        <v>Marine Services</v>
      </c>
      <c r="D209" t="str">
        <f>_xlfn.XLOOKUP(A209,Vendor_Master!A209,Vendor_Master!D209,"")</f>
        <v>West</v>
      </c>
      <c r="E209">
        <f>_xlfn.XLOOKUP(A209,Vendor_Master!A209,Vendor_Master!E209,0)</f>
        <v>111886</v>
      </c>
      <c r="F209" t="str">
        <f>_xlfn.XLOOKUP(A209,Vendor_Master!A209,Vendor_Master!H209,"")</f>
        <v>contact208@vendor.com</v>
      </c>
      <c r="G209">
        <f ca="1">COUNTIFS(Sustainability_Documents!$A:$A,$A209,Sustainability_Documents!$H:$H,"Missing")</f>
        <v>0</v>
      </c>
      <c r="H209">
        <f ca="1">COUNTIFS(Sustainability_Documents!$A:$A,$A209,Sustainability_Documents!$H:$H,"Expired")</f>
        <v>0</v>
      </c>
      <c r="I209">
        <f ca="1">COUNTIFS(Sustainability_Documents!$A:$A,$A209,Sustainability_Documents!$H:$H,"Expiring Soon")</f>
        <v>0</v>
      </c>
      <c r="J209">
        <f>COUNTIFS(Sustainability_Documents!$A:$A,$A209,Sustainability_Documents!$C:$C,"Yes")</f>
        <v>4</v>
      </c>
      <c r="K209">
        <f ca="1">IF($J209=0,"",($J209-$G209-$H209)/$J209)</f>
        <v>1</v>
      </c>
      <c r="L209">
        <f>COUNTIFS(OutReach_Log!$A:$A,$A209,OutReach_Log!$G:$G,"Yes")</f>
        <v>0</v>
      </c>
      <c r="M209">
        <f>COUNTIFS(OutReach_Log!$A:$A,$A209,OutReach_Log!$E:$E,"Pending")
 +COUNTIFS(OutReach_Log!$A:$A,$A209,OutReach_Log!$E:$E,"Escalated")</f>
        <v>0</v>
      </c>
      <c r="N209">
        <f>COUNTIFS(Incident_Log!$A:$A,$A209,Incident_Log!$C:$C,"High",Incident_Log!$E:$E,"No")</f>
        <v>0</v>
      </c>
      <c r="O209" t="str">
        <f t="shared" ca="1" si="3"/>
        <v>Attention Required</v>
      </c>
      <c r="P209">
        <f ca="1">($G209*40)+($H209*30)+($I209*10)+($N209*50)+IF($L209&gt;0,20,0)</f>
        <v>0</v>
      </c>
      <c r="Q209">
        <f ca="1">E209*(P209/100)</f>
        <v>0</v>
      </c>
      <c r="R209">
        <f ca="1">_xlfn.RANK.EQ($Q209,$Q$2:$Q$401,0)</f>
        <v>180</v>
      </c>
    </row>
    <row r="210" spans="1:18">
      <c r="A210" t="str" cm="1">
        <f t="array" ref="A210">_xlfn._xlws.SORT(Vendor_Master!A210)</f>
        <v>VND-209</v>
      </c>
      <c r="B210" t="str">
        <f>_xlfn.XLOOKUP(Compliance_Sheet!A210,Vendor_Master!A210,Vendor_Master!B210,"")</f>
        <v>Vendor_209</v>
      </c>
      <c r="C210" t="str">
        <f>_xlfn.XLOOKUP(A210,Vendor_Master!A210,Vendor_Master!C210,"")</f>
        <v>Marine Services</v>
      </c>
      <c r="D210" t="str">
        <f>_xlfn.XLOOKUP(A210,Vendor_Master!A210,Vendor_Master!D210,"")</f>
        <v>West</v>
      </c>
      <c r="E210">
        <f>_xlfn.XLOOKUP(A210,Vendor_Master!A210,Vendor_Master!E210,0)</f>
        <v>71873</v>
      </c>
      <c r="F210" t="str">
        <f>_xlfn.XLOOKUP(A210,Vendor_Master!A210,Vendor_Master!H210,"")</f>
        <v>contact209@vendor.com</v>
      </c>
      <c r="G210">
        <f ca="1">COUNTIFS(Sustainability_Documents!$A:$A,$A210,Sustainability_Documents!$H:$H,"Missing")</f>
        <v>0</v>
      </c>
      <c r="H210">
        <f ca="1">COUNTIFS(Sustainability_Documents!$A:$A,$A210,Sustainability_Documents!$H:$H,"Expired")</f>
        <v>0</v>
      </c>
      <c r="I210">
        <f ca="1">COUNTIFS(Sustainability_Documents!$A:$A,$A210,Sustainability_Documents!$H:$H,"Expiring Soon")</f>
        <v>0</v>
      </c>
      <c r="J210">
        <f>COUNTIFS(Sustainability_Documents!$A:$A,$A210,Sustainability_Documents!$C:$C,"Yes")</f>
        <v>4</v>
      </c>
      <c r="K210">
        <f ca="1">IF($J210=0,"",($J210-$G210-$H210)/$J210)</f>
        <v>1</v>
      </c>
      <c r="L210">
        <f>COUNTIFS(OutReach_Log!$A:$A,$A210,OutReach_Log!$G:$G,"Yes")</f>
        <v>0</v>
      </c>
      <c r="M210">
        <f>COUNTIFS(OutReach_Log!$A:$A,$A210,OutReach_Log!$E:$E,"Pending")
 +COUNTIFS(OutReach_Log!$A:$A,$A210,OutReach_Log!$E:$E,"Escalated")</f>
        <v>0</v>
      </c>
      <c r="N210">
        <f>COUNTIFS(Incident_Log!$A:$A,$A210,Incident_Log!$C:$C,"High",Incident_Log!$E:$E,"No")</f>
        <v>0</v>
      </c>
      <c r="O210" t="str">
        <f t="shared" ca="1" si="3"/>
        <v>Attention Required</v>
      </c>
      <c r="P210">
        <f ca="1">($G210*40)+($H210*30)+($I210*10)+($N210*50)+IF($L210&gt;0,20,0)</f>
        <v>0</v>
      </c>
      <c r="Q210">
        <f ca="1">E210*(P210/100)</f>
        <v>0</v>
      </c>
      <c r="R210">
        <f ca="1">_xlfn.RANK.EQ($Q210,$Q$2:$Q$401,0)</f>
        <v>180</v>
      </c>
    </row>
    <row r="211" spans="1:18">
      <c r="A211" t="str" cm="1">
        <f t="array" ref="A211">_xlfn._xlws.SORT(Vendor_Master!A211)</f>
        <v>VND-210</v>
      </c>
      <c r="B211" t="str">
        <f>_xlfn.XLOOKUP(Compliance_Sheet!A211,Vendor_Master!A211,Vendor_Master!B211,"")</f>
        <v>Vendor_210</v>
      </c>
      <c r="C211" t="str">
        <f>_xlfn.XLOOKUP(A211,Vendor_Master!A211,Vendor_Master!C211,"")</f>
        <v>Marine Services</v>
      </c>
      <c r="D211" t="str">
        <f>_xlfn.XLOOKUP(A211,Vendor_Master!A211,Vendor_Master!D211,"")</f>
        <v>West</v>
      </c>
      <c r="E211">
        <f>_xlfn.XLOOKUP(A211,Vendor_Master!A211,Vendor_Master!E211,0)</f>
        <v>190464</v>
      </c>
      <c r="F211" t="str">
        <f>_xlfn.XLOOKUP(A211,Vendor_Master!A211,Vendor_Master!H211,"")</f>
        <v>contact210@vendor.com</v>
      </c>
      <c r="G211">
        <f ca="1">COUNTIFS(Sustainability_Documents!$A:$A,$A211,Sustainability_Documents!$H:$H,"Missing")</f>
        <v>0</v>
      </c>
      <c r="H211">
        <f ca="1">COUNTIFS(Sustainability_Documents!$A:$A,$A211,Sustainability_Documents!$H:$H,"Expired")</f>
        <v>0</v>
      </c>
      <c r="I211">
        <f ca="1">COUNTIFS(Sustainability_Documents!$A:$A,$A211,Sustainability_Documents!$H:$H,"Expiring Soon")</f>
        <v>0</v>
      </c>
      <c r="J211">
        <f>COUNTIFS(Sustainability_Documents!$A:$A,$A211,Sustainability_Documents!$C:$C,"Yes")</f>
        <v>4</v>
      </c>
      <c r="K211">
        <f ca="1">IF($J211=0,"",($J211-$G211-$H211)/$J211)</f>
        <v>1</v>
      </c>
      <c r="L211">
        <f>COUNTIFS(OutReach_Log!$A:$A,$A211,OutReach_Log!$G:$G,"Yes")</f>
        <v>0</v>
      </c>
      <c r="M211">
        <f>COUNTIFS(OutReach_Log!$A:$A,$A211,OutReach_Log!$E:$E,"Pending")
 +COUNTIFS(OutReach_Log!$A:$A,$A211,OutReach_Log!$E:$E,"Escalated")</f>
        <v>0</v>
      </c>
      <c r="N211">
        <f>COUNTIFS(Incident_Log!$A:$A,$A211,Incident_Log!$C:$C,"High",Incident_Log!$E:$E,"No")</f>
        <v>0</v>
      </c>
      <c r="O211" t="str">
        <f t="shared" ca="1" si="3"/>
        <v>Attention Required</v>
      </c>
      <c r="P211">
        <f ca="1">($G211*40)+($H211*30)+($I211*10)+($N211*50)+IF($L211&gt;0,20,0)</f>
        <v>0</v>
      </c>
      <c r="Q211">
        <f ca="1">E211*(P211/100)</f>
        <v>0</v>
      </c>
      <c r="R211">
        <f ca="1">_xlfn.RANK.EQ($Q211,$Q$2:$Q$401,0)</f>
        <v>180</v>
      </c>
    </row>
    <row r="212" spans="1:18">
      <c r="A212" t="str" cm="1">
        <f t="array" ref="A212">_xlfn._xlws.SORT(Vendor_Master!A212)</f>
        <v>VND-211</v>
      </c>
      <c r="B212" t="str">
        <f>_xlfn.XLOOKUP(Compliance_Sheet!A212,Vendor_Master!A212,Vendor_Master!B212,"")</f>
        <v>Vendor_211</v>
      </c>
      <c r="C212" t="str">
        <f>_xlfn.XLOOKUP(A212,Vendor_Master!A212,Vendor_Master!C212,"")</f>
        <v>Marine Services</v>
      </c>
      <c r="D212" t="str">
        <f>_xlfn.XLOOKUP(A212,Vendor_Master!A212,Vendor_Master!D212,"")</f>
        <v>West</v>
      </c>
      <c r="E212">
        <f>_xlfn.XLOOKUP(A212,Vendor_Master!A212,Vendor_Master!E212,0)</f>
        <v>189618</v>
      </c>
      <c r="F212" t="str">
        <f>_xlfn.XLOOKUP(A212,Vendor_Master!A212,Vendor_Master!H212,"")</f>
        <v>contact211@vendor.com</v>
      </c>
      <c r="G212">
        <f ca="1">COUNTIFS(Sustainability_Documents!$A:$A,$A212,Sustainability_Documents!$H:$H,"Missing")</f>
        <v>0</v>
      </c>
      <c r="H212">
        <f ca="1">COUNTIFS(Sustainability_Documents!$A:$A,$A212,Sustainability_Documents!$H:$H,"Expired")</f>
        <v>0</v>
      </c>
      <c r="I212">
        <f ca="1">COUNTIFS(Sustainability_Documents!$A:$A,$A212,Sustainability_Documents!$H:$H,"Expiring Soon")</f>
        <v>0</v>
      </c>
      <c r="J212">
        <f>COUNTIFS(Sustainability_Documents!$A:$A,$A212,Sustainability_Documents!$C:$C,"Yes")</f>
        <v>4</v>
      </c>
      <c r="K212">
        <f ca="1">IF($J212=0,"",($J212-$G212-$H212)/$J212)</f>
        <v>1</v>
      </c>
      <c r="L212">
        <f>COUNTIFS(OutReach_Log!$A:$A,$A212,OutReach_Log!$G:$G,"Yes")</f>
        <v>0</v>
      </c>
      <c r="M212">
        <f>COUNTIFS(OutReach_Log!$A:$A,$A212,OutReach_Log!$E:$E,"Pending")
 +COUNTIFS(OutReach_Log!$A:$A,$A212,OutReach_Log!$E:$E,"Escalated")</f>
        <v>0</v>
      </c>
      <c r="N212">
        <f>COUNTIFS(Incident_Log!$A:$A,$A212,Incident_Log!$C:$C,"High",Incident_Log!$E:$E,"No")</f>
        <v>0</v>
      </c>
      <c r="O212" t="str">
        <f t="shared" ca="1" si="3"/>
        <v>Attention Required</v>
      </c>
      <c r="P212">
        <f ca="1">($G212*40)+($H212*30)+($I212*10)+($N212*50)+IF($L212&gt;0,20,0)</f>
        <v>0</v>
      </c>
      <c r="Q212">
        <f ca="1">E212*(P212/100)</f>
        <v>0</v>
      </c>
      <c r="R212">
        <f ca="1">_xlfn.RANK.EQ($Q212,$Q$2:$Q$401,0)</f>
        <v>180</v>
      </c>
    </row>
    <row r="213" spans="1:18">
      <c r="A213" t="str" cm="1">
        <f t="array" ref="A213">_xlfn._xlws.SORT(Vendor_Master!A213)</f>
        <v>VND-212</v>
      </c>
      <c r="B213" t="str">
        <f>_xlfn.XLOOKUP(Compliance_Sheet!A213,Vendor_Master!A213,Vendor_Master!B213,"")</f>
        <v>Vendor_212</v>
      </c>
      <c r="C213" t="str">
        <f>_xlfn.XLOOKUP(A213,Vendor_Master!A213,Vendor_Master!C213,"")</f>
        <v>Marine Services</v>
      </c>
      <c r="D213" t="str">
        <f>_xlfn.XLOOKUP(A213,Vendor_Master!A213,Vendor_Master!D213,"")</f>
        <v>West</v>
      </c>
      <c r="E213">
        <f>_xlfn.XLOOKUP(A213,Vendor_Master!A213,Vendor_Master!E213,0)</f>
        <v>212788</v>
      </c>
      <c r="F213" t="str">
        <f>_xlfn.XLOOKUP(A213,Vendor_Master!A213,Vendor_Master!H213,"")</f>
        <v>contact212@vendor.com</v>
      </c>
      <c r="G213">
        <f ca="1">COUNTIFS(Sustainability_Documents!$A:$A,$A213,Sustainability_Documents!$H:$H,"Missing")</f>
        <v>0</v>
      </c>
      <c r="H213">
        <f ca="1">COUNTIFS(Sustainability_Documents!$A:$A,$A213,Sustainability_Documents!$H:$H,"Expired")</f>
        <v>0</v>
      </c>
      <c r="I213">
        <f ca="1">COUNTIFS(Sustainability_Documents!$A:$A,$A213,Sustainability_Documents!$H:$H,"Expiring Soon")</f>
        <v>0</v>
      </c>
      <c r="J213">
        <f>COUNTIFS(Sustainability_Documents!$A:$A,$A213,Sustainability_Documents!$C:$C,"Yes")</f>
        <v>4</v>
      </c>
      <c r="K213">
        <f ca="1">IF($J213=0,"",($J213-$G213-$H213)/$J213)</f>
        <v>1</v>
      </c>
      <c r="L213">
        <f>COUNTIFS(OutReach_Log!$A:$A,$A213,OutReach_Log!$G:$G,"Yes")</f>
        <v>0</v>
      </c>
      <c r="M213">
        <f>COUNTIFS(OutReach_Log!$A:$A,$A213,OutReach_Log!$E:$E,"Pending")
 +COUNTIFS(OutReach_Log!$A:$A,$A213,OutReach_Log!$E:$E,"Escalated")</f>
        <v>0</v>
      </c>
      <c r="N213">
        <f>COUNTIFS(Incident_Log!$A:$A,$A213,Incident_Log!$C:$C,"High",Incident_Log!$E:$E,"No")</f>
        <v>0</v>
      </c>
      <c r="O213" t="str">
        <f t="shared" ca="1" si="3"/>
        <v>Attention Required</v>
      </c>
      <c r="P213">
        <f ca="1">($G213*40)+($H213*30)+($I213*10)+($N213*50)+IF($L213&gt;0,20,0)</f>
        <v>0</v>
      </c>
      <c r="Q213">
        <f ca="1">E213*(P213/100)</f>
        <v>0</v>
      </c>
      <c r="R213">
        <f ca="1">_xlfn.RANK.EQ($Q213,$Q$2:$Q$401,0)</f>
        <v>180</v>
      </c>
    </row>
    <row r="214" spans="1:18">
      <c r="A214" t="str" cm="1">
        <f t="array" ref="A214">_xlfn._xlws.SORT(Vendor_Master!A214)</f>
        <v>VND-213</v>
      </c>
      <c r="B214" t="str">
        <f>_xlfn.XLOOKUP(Compliance_Sheet!A214,Vendor_Master!A214,Vendor_Master!B214,"")</f>
        <v>Vendor_213</v>
      </c>
      <c r="C214" t="str">
        <f>_xlfn.XLOOKUP(A214,Vendor_Master!A214,Vendor_Master!C214,"")</f>
        <v>Marine Services</v>
      </c>
      <c r="D214" t="str">
        <f>_xlfn.XLOOKUP(A214,Vendor_Master!A214,Vendor_Master!D214,"")</f>
        <v>West</v>
      </c>
      <c r="E214">
        <f>_xlfn.XLOOKUP(A214,Vendor_Master!A214,Vendor_Master!E214,0)</f>
        <v>76523</v>
      </c>
      <c r="F214" t="str">
        <f>_xlfn.XLOOKUP(A214,Vendor_Master!A214,Vendor_Master!H214,"")</f>
        <v>contact213@vendor.com</v>
      </c>
      <c r="G214">
        <f ca="1">COUNTIFS(Sustainability_Documents!$A:$A,$A214,Sustainability_Documents!$H:$H,"Missing")</f>
        <v>0</v>
      </c>
      <c r="H214">
        <f ca="1">COUNTIFS(Sustainability_Documents!$A:$A,$A214,Sustainability_Documents!$H:$H,"Expired")</f>
        <v>0</v>
      </c>
      <c r="I214">
        <f ca="1">COUNTIFS(Sustainability_Documents!$A:$A,$A214,Sustainability_Documents!$H:$H,"Expiring Soon")</f>
        <v>0</v>
      </c>
      <c r="J214">
        <f>COUNTIFS(Sustainability_Documents!$A:$A,$A214,Sustainability_Documents!$C:$C,"Yes")</f>
        <v>4</v>
      </c>
      <c r="K214">
        <f ca="1">IF($J214=0,"",($J214-$G214-$H214)/$J214)</f>
        <v>1</v>
      </c>
      <c r="L214">
        <f>COUNTIFS(OutReach_Log!$A:$A,$A214,OutReach_Log!$G:$G,"Yes")</f>
        <v>0</v>
      </c>
      <c r="M214">
        <f>COUNTIFS(OutReach_Log!$A:$A,$A214,OutReach_Log!$E:$E,"Pending")
 +COUNTIFS(OutReach_Log!$A:$A,$A214,OutReach_Log!$E:$E,"Escalated")</f>
        <v>0</v>
      </c>
      <c r="N214">
        <f>COUNTIFS(Incident_Log!$A:$A,$A214,Incident_Log!$C:$C,"High",Incident_Log!$E:$E,"No")</f>
        <v>0</v>
      </c>
      <c r="O214" t="str">
        <f t="shared" ca="1" si="3"/>
        <v>Attention Required</v>
      </c>
      <c r="P214">
        <f ca="1">($G214*40)+($H214*30)+($I214*10)+($N214*50)+IF($L214&gt;0,20,0)</f>
        <v>0</v>
      </c>
      <c r="Q214">
        <f ca="1">E214*(P214/100)</f>
        <v>0</v>
      </c>
      <c r="R214">
        <f ca="1">_xlfn.RANK.EQ($Q214,$Q$2:$Q$401,0)</f>
        <v>180</v>
      </c>
    </row>
    <row r="215" spans="1:18">
      <c r="A215" t="str" cm="1">
        <f t="array" ref="A215">_xlfn._xlws.SORT(Vendor_Master!A215)</f>
        <v>VND-214</v>
      </c>
      <c r="B215" t="str">
        <f>_xlfn.XLOOKUP(Compliance_Sheet!A215,Vendor_Master!A215,Vendor_Master!B215,"")</f>
        <v>Vendor_214</v>
      </c>
      <c r="C215" t="str">
        <f>_xlfn.XLOOKUP(A215,Vendor_Master!A215,Vendor_Master!C215,"")</f>
        <v>Marine Services</v>
      </c>
      <c r="D215" t="str">
        <f>_xlfn.XLOOKUP(A215,Vendor_Master!A215,Vendor_Master!D215,"")</f>
        <v>West</v>
      </c>
      <c r="E215">
        <f>_xlfn.XLOOKUP(A215,Vendor_Master!A215,Vendor_Master!E215,0)</f>
        <v>63584</v>
      </c>
      <c r="F215" t="str">
        <f>_xlfn.XLOOKUP(A215,Vendor_Master!A215,Vendor_Master!H215,"")</f>
        <v>contact214@vendor.com</v>
      </c>
      <c r="G215">
        <f ca="1">COUNTIFS(Sustainability_Documents!$A:$A,$A215,Sustainability_Documents!$H:$H,"Missing")</f>
        <v>0</v>
      </c>
      <c r="H215">
        <f ca="1">COUNTIFS(Sustainability_Documents!$A:$A,$A215,Sustainability_Documents!$H:$H,"Expired")</f>
        <v>0</v>
      </c>
      <c r="I215">
        <f ca="1">COUNTIFS(Sustainability_Documents!$A:$A,$A215,Sustainability_Documents!$H:$H,"Expiring Soon")</f>
        <v>0</v>
      </c>
      <c r="J215">
        <f>COUNTIFS(Sustainability_Documents!$A:$A,$A215,Sustainability_Documents!$C:$C,"Yes")</f>
        <v>4</v>
      </c>
      <c r="K215">
        <f ca="1">IF($J215=0,"",($J215-$G215-$H215)/$J215)</f>
        <v>1</v>
      </c>
      <c r="L215">
        <f>COUNTIFS(OutReach_Log!$A:$A,$A215,OutReach_Log!$G:$G,"Yes")</f>
        <v>0</v>
      </c>
      <c r="M215">
        <f>COUNTIFS(OutReach_Log!$A:$A,$A215,OutReach_Log!$E:$E,"Pending")
 +COUNTIFS(OutReach_Log!$A:$A,$A215,OutReach_Log!$E:$E,"Escalated")</f>
        <v>0</v>
      </c>
      <c r="N215">
        <f>COUNTIFS(Incident_Log!$A:$A,$A215,Incident_Log!$C:$C,"High",Incident_Log!$E:$E,"No")</f>
        <v>0</v>
      </c>
      <c r="O215" t="str">
        <f t="shared" ca="1" si="3"/>
        <v>Attention Required</v>
      </c>
      <c r="P215">
        <f ca="1">($G215*40)+($H215*30)+($I215*10)+($N215*50)+IF($L215&gt;0,20,0)</f>
        <v>0</v>
      </c>
      <c r="Q215">
        <f ca="1">E215*(P215/100)</f>
        <v>0</v>
      </c>
      <c r="R215">
        <f ca="1">_xlfn.RANK.EQ($Q215,$Q$2:$Q$401,0)</f>
        <v>180</v>
      </c>
    </row>
    <row r="216" spans="1:18">
      <c r="A216" t="str" cm="1">
        <f t="array" ref="A216">_xlfn._xlws.SORT(Vendor_Master!A216)</f>
        <v>VND-215</v>
      </c>
      <c r="B216" t="str">
        <f>_xlfn.XLOOKUP(Compliance_Sheet!A216,Vendor_Master!A216,Vendor_Master!B216,"")</f>
        <v>Vendor_215</v>
      </c>
      <c r="C216" t="str">
        <f>_xlfn.XLOOKUP(A216,Vendor_Master!A216,Vendor_Master!C216,"")</f>
        <v>Marine Services</v>
      </c>
      <c r="D216" t="str">
        <f>_xlfn.XLOOKUP(A216,Vendor_Master!A216,Vendor_Master!D216,"")</f>
        <v>West</v>
      </c>
      <c r="E216">
        <f>_xlfn.XLOOKUP(A216,Vendor_Master!A216,Vendor_Master!E216,0)</f>
        <v>87098</v>
      </c>
      <c r="F216" t="str">
        <f>_xlfn.XLOOKUP(A216,Vendor_Master!A216,Vendor_Master!H216,"")</f>
        <v>contact215@vendor.com</v>
      </c>
      <c r="G216">
        <f ca="1">COUNTIFS(Sustainability_Documents!$A:$A,$A216,Sustainability_Documents!$H:$H,"Missing")</f>
        <v>0</v>
      </c>
      <c r="H216">
        <f ca="1">COUNTIFS(Sustainability_Documents!$A:$A,$A216,Sustainability_Documents!$H:$H,"Expired")</f>
        <v>0</v>
      </c>
      <c r="I216">
        <f ca="1">COUNTIFS(Sustainability_Documents!$A:$A,$A216,Sustainability_Documents!$H:$H,"Expiring Soon")</f>
        <v>0</v>
      </c>
      <c r="J216">
        <f>COUNTIFS(Sustainability_Documents!$A:$A,$A216,Sustainability_Documents!$C:$C,"Yes")</f>
        <v>4</v>
      </c>
      <c r="K216">
        <f ca="1">IF($J216=0,"",($J216-$G216-$H216)/$J216)</f>
        <v>1</v>
      </c>
      <c r="L216">
        <f>COUNTIFS(OutReach_Log!$A:$A,$A216,OutReach_Log!$G:$G,"Yes")</f>
        <v>0</v>
      </c>
      <c r="M216">
        <f>COUNTIFS(OutReach_Log!$A:$A,$A216,OutReach_Log!$E:$E,"Pending")
 +COUNTIFS(OutReach_Log!$A:$A,$A216,OutReach_Log!$E:$E,"Escalated")</f>
        <v>0</v>
      </c>
      <c r="N216">
        <f>COUNTIFS(Incident_Log!$A:$A,$A216,Incident_Log!$C:$C,"High",Incident_Log!$E:$E,"No")</f>
        <v>0</v>
      </c>
      <c r="O216" t="str">
        <f t="shared" ca="1" si="3"/>
        <v>Attention Required</v>
      </c>
      <c r="P216">
        <f ca="1">($G216*40)+($H216*30)+($I216*10)+($N216*50)+IF($L216&gt;0,20,0)</f>
        <v>0</v>
      </c>
      <c r="Q216">
        <f ca="1">E216*(P216/100)</f>
        <v>0</v>
      </c>
      <c r="R216">
        <f ca="1">_xlfn.RANK.EQ($Q216,$Q$2:$Q$401,0)</f>
        <v>180</v>
      </c>
    </row>
    <row r="217" spans="1:18">
      <c r="A217" t="str" cm="1">
        <f t="array" ref="A217">_xlfn._xlws.SORT(Vendor_Master!A217)</f>
        <v>VND-216</v>
      </c>
      <c r="B217" t="str">
        <f>_xlfn.XLOOKUP(Compliance_Sheet!A217,Vendor_Master!A217,Vendor_Master!B217,"")</f>
        <v>Vendor_216</v>
      </c>
      <c r="C217" t="str">
        <f>_xlfn.XLOOKUP(A217,Vendor_Master!A217,Vendor_Master!C217,"")</f>
        <v>Marine Services</v>
      </c>
      <c r="D217" t="str">
        <f>_xlfn.XLOOKUP(A217,Vendor_Master!A217,Vendor_Master!D217,"")</f>
        <v>West</v>
      </c>
      <c r="E217">
        <f>_xlfn.XLOOKUP(A217,Vendor_Master!A217,Vendor_Master!E217,0)</f>
        <v>231737</v>
      </c>
      <c r="F217" t="str">
        <f>_xlfn.XLOOKUP(A217,Vendor_Master!A217,Vendor_Master!H217,"")</f>
        <v>contact216@vendor.com</v>
      </c>
      <c r="G217">
        <f ca="1">COUNTIFS(Sustainability_Documents!$A:$A,$A217,Sustainability_Documents!$H:$H,"Missing")</f>
        <v>0</v>
      </c>
      <c r="H217">
        <f ca="1">COUNTIFS(Sustainability_Documents!$A:$A,$A217,Sustainability_Documents!$H:$H,"Expired")</f>
        <v>0</v>
      </c>
      <c r="I217">
        <f ca="1">COUNTIFS(Sustainability_Documents!$A:$A,$A217,Sustainability_Documents!$H:$H,"Expiring Soon")</f>
        <v>0</v>
      </c>
      <c r="J217">
        <f>COUNTIFS(Sustainability_Documents!$A:$A,$A217,Sustainability_Documents!$C:$C,"Yes")</f>
        <v>4</v>
      </c>
      <c r="K217">
        <f ca="1">IF($J217=0,"",($J217-$G217-$H217)/$J217)</f>
        <v>1</v>
      </c>
      <c r="L217">
        <f>COUNTIFS(OutReach_Log!$A:$A,$A217,OutReach_Log!$G:$G,"Yes")</f>
        <v>0</v>
      </c>
      <c r="M217">
        <f>COUNTIFS(OutReach_Log!$A:$A,$A217,OutReach_Log!$E:$E,"Pending")
 +COUNTIFS(OutReach_Log!$A:$A,$A217,OutReach_Log!$E:$E,"Escalated")</f>
        <v>0</v>
      </c>
      <c r="N217">
        <f>COUNTIFS(Incident_Log!$A:$A,$A217,Incident_Log!$C:$C,"High",Incident_Log!$E:$E,"No")</f>
        <v>0</v>
      </c>
      <c r="O217" t="str">
        <f t="shared" ca="1" si="3"/>
        <v>Attention Required</v>
      </c>
      <c r="P217">
        <f ca="1">($G217*40)+($H217*30)+($I217*10)+($N217*50)+IF($L217&gt;0,20,0)</f>
        <v>0</v>
      </c>
      <c r="Q217">
        <f ca="1">E217*(P217/100)</f>
        <v>0</v>
      </c>
      <c r="R217">
        <f ca="1">_xlfn.RANK.EQ($Q217,$Q$2:$Q$401,0)</f>
        <v>180</v>
      </c>
    </row>
    <row r="218" spans="1:18">
      <c r="A218" t="str" cm="1">
        <f t="array" ref="A218">_xlfn._xlws.SORT(Vendor_Master!A218)</f>
        <v>VND-217</v>
      </c>
      <c r="B218" t="str">
        <f>_xlfn.XLOOKUP(Compliance_Sheet!A218,Vendor_Master!A218,Vendor_Master!B218,"")</f>
        <v>Vendor_217</v>
      </c>
      <c r="C218" t="str">
        <f>_xlfn.XLOOKUP(A218,Vendor_Master!A218,Vendor_Master!C218,"")</f>
        <v>Marine Services</v>
      </c>
      <c r="D218" t="str">
        <f>_xlfn.XLOOKUP(A218,Vendor_Master!A218,Vendor_Master!D218,"")</f>
        <v>West</v>
      </c>
      <c r="E218">
        <f>_xlfn.XLOOKUP(A218,Vendor_Master!A218,Vendor_Master!E218,0)</f>
        <v>180011</v>
      </c>
      <c r="F218" t="str">
        <f>_xlfn.XLOOKUP(A218,Vendor_Master!A218,Vendor_Master!H218,"")</f>
        <v>contact217@vendor.com</v>
      </c>
      <c r="G218">
        <f ca="1">COUNTIFS(Sustainability_Documents!$A:$A,$A218,Sustainability_Documents!$H:$H,"Missing")</f>
        <v>0</v>
      </c>
      <c r="H218">
        <f ca="1">COUNTIFS(Sustainability_Documents!$A:$A,$A218,Sustainability_Documents!$H:$H,"Expired")</f>
        <v>0</v>
      </c>
      <c r="I218">
        <f ca="1">COUNTIFS(Sustainability_Documents!$A:$A,$A218,Sustainability_Documents!$H:$H,"Expiring Soon")</f>
        <v>0</v>
      </c>
      <c r="J218">
        <f>COUNTIFS(Sustainability_Documents!$A:$A,$A218,Sustainability_Documents!$C:$C,"Yes")</f>
        <v>4</v>
      </c>
      <c r="K218">
        <f ca="1">IF($J218=0,"",($J218-$G218-$H218)/$J218)</f>
        <v>1</v>
      </c>
      <c r="L218">
        <f>COUNTIFS(OutReach_Log!$A:$A,$A218,OutReach_Log!$G:$G,"Yes")</f>
        <v>0</v>
      </c>
      <c r="M218">
        <f>COUNTIFS(OutReach_Log!$A:$A,$A218,OutReach_Log!$E:$E,"Pending")
 +COUNTIFS(OutReach_Log!$A:$A,$A218,OutReach_Log!$E:$E,"Escalated")</f>
        <v>0</v>
      </c>
      <c r="N218">
        <f>COUNTIFS(Incident_Log!$A:$A,$A218,Incident_Log!$C:$C,"High",Incident_Log!$E:$E,"No")</f>
        <v>0</v>
      </c>
      <c r="O218" t="str">
        <f t="shared" ca="1" si="3"/>
        <v>Attention Required</v>
      </c>
      <c r="P218">
        <f ca="1">($G218*40)+($H218*30)+($I218*10)+($N218*50)+IF($L218&gt;0,20,0)</f>
        <v>0</v>
      </c>
      <c r="Q218">
        <f ca="1">E218*(P218/100)</f>
        <v>0</v>
      </c>
      <c r="R218">
        <f ca="1">_xlfn.RANK.EQ($Q218,$Q$2:$Q$401,0)</f>
        <v>180</v>
      </c>
    </row>
    <row r="219" spans="1:18">
      <c r="A219" t="str" cm="1">
        <f t="array" ref="A219">_xlfn._xlws.SORT(Vendor_Master!A219)</f>
        <v>VND-218</v>
      </c>
      <c r="B219" t="str">
        <f>_xlfn.XLOOKUP(Compliance_Sheet!A219,Vendor_Master!A219,Vendor_Master!B219,"")</f>
        <v>Vendor_218</v>
      </c>
      <c r="C219" t="str">
        <f>_xlfn.XLOOKUP(A219,Vendor_Master!A219,Vendor_Master!C219,"")</f>
        <v>Marine Services</v>
      </c>
      <c r="D219" t="str">
        <f>_xlfn.XLOOKUP(A219,Vendor_Master!A219,Vendor_Master!D219,"")</f>
        <v>West</v>
      </c>
      <c r="E219">
        <f>_xlfn.XLOOKUP(A219,Vendor_Master!A219,Vendor_Master!E219,0)</f>
        <v>148986</v>
      </c>
      <c r="F219" t="str">
        <f>_xlfn.XLOOKUP(A219,Vendor_Master!A219,Vendor_Master!H219,"")</f>
        <v>contact218@vendor.com</v>
      </c>
      <c r="G219">
        <f ca="1">COUNTIFS(Sustainability_Documents!$A:$A,$A219,Sustainability_Documents!$H:$H,"Missing")</f>
        <v>0</v>
      </c>
      <c r="H219">
        <f ca="1">COUNTIFS(Sustainability_Documents!$A:$A,$A219,Sustainability_Documents!$H:$H,"Expired")</f>
        <v>0</v>
      </c>
      <c r="I219">
        <f ca="1">COUNTIFS(Sustainability_Documents!$A:$A,$A219,Sustainability_Documents!$H:$H,"Expiring Soon")</f>
        <v>0</v>
      </c>
      <c r="J219">
        <f>COUNTIFS(Sustainability_Documents!$A:$A,$A219,Sustainability_Documents!$C:$C,"Yes")</f>
        <v>4</v>
      </c>
      <c r="K219">
        <f ca="1">IF($J219=0,"",($J219-$G219-$H219)/$J219)</f>
        <v>1</v>
      </c>
      <c r="L219">
        <f>COUNTIFS(OutReach_Log!$A:$A,$A219,OutReach_Log!$G:$G,"Yes")</f>
        <v>0</v>
      </c>
      <c r="M219">
        <f>COUNTIFS(OutReach_Log!$A:$A,$A219,OutReach_Log!$E:$E,"Pending")
 +COUNTIFS(OutReach_Log!$A:$A,$A219,OutReach_Log!$E:$E,"Escalated")</f>
        <v>0</v>
      </c>
      <c r="N219">
        <f>COUNTIFS(Incident_Log!$A:$A,$A219,Incident_Log!$C:$C,"High",Incident_Log!$E:$E,"No")</f>
        <v>0</v>
      </c>
      <c r="O219" t="str">
        <f t="shared" ca="1" si="3"/>
        <v>Attention Required</v>
      </c>
      <c r="P219">
        <f ca="1">($G219*40)+($H219*30)+($I219*10)+($N219*50)+IF($L219&gt;0,20,0)</f>
        <v>0</v>
      </c>
      <c r="Q219">
        <f ca="1">E219*(P219/100)</f>
        <v>0</v>
      </c>
      <c r="R219">
        <f ca="1">_xlfn.RANK.EQ($Q219,$Q$2:$Q$401,0)</f>
        <v>180</v>
      </c>
    </row>
    <row r="220" spans="1:18">
      <c r="A220" t="str" cm="1">
        <f t="array" ref="A220">_xlfn._xlws.SORT(Vendor_Master!A220)</f>
        <v>VND-219</v>
      </c>
      <c r="B220" t="str">
        <f>_xlfn.XLOOKUP(Compliance_Sheet!A220,Vendor_Master!A220,Vendor_Master!B220,"")</f>
        <v>Vendor_219</v>
      </c>
      <c r="C220" t="str">
        <f>_xlfn.XLOOKUP(A220,Vendor_Master!A220,Vendor_Master!C220,"")</f>
        <v>Marine Services</v>
      </c>
      <c r="D220" t="str">
        <f>_xlfn.XLOOKUP(A220,Vendor_Master!A220,Vendor_Master!D220,"")</f>
        <v>West</v>
      </c>
      <c r="E220">
        <f>_xlfn.XLOOKUP(A220,Vendor_Master!A220,Vendor_Master!E220,0)</f>
        <v>189444</v>
      </c>
      <c r="F220" t="str">
        <f>_xlfn.XLOOKUP(A220,Vendor_Master!A220,Vendor_Master!H220,"")</f>
        <v>contact219@vendor.com</v>
      </c>
      <c r="G220">
        <f ca="1">COUNTIFS(Sustainability_Documents!$A:$A,$A220,Sustainability_Documents!$H:$H,"Missing")</f>
        <v>0</v>
      </c>
      <c r="H220">
        <f ca="1">COUNTIFS(Sustainability_Documents!$A:$A,$A220,Sustainability_Documents!$H:$H,"Expired")</f>
        <v>0</v>
      </c>
      <c r="I220">
        <f ca="1">COUNTIFS(Sustainability_Documents!$A:$A,$A220,Sustainability_Documents!$H:$H,"Expiring Soon")</f>
        <v>0</v>
      </c>
      <c r="J220">
        <f>COUNTIFS(Sustainability_Documents!$A:$A,$A220,Sustainability_Documents!$C:$C,"Yes")</f>
        <v>4</v>
      </c>
      <c r="K220">
        <f ca="1">IF($J220=0,"",($J220-$G220-$H220)/$J220)</f>
        <v>1</v>
      </c>
      <c r="L220">
        <f>COUNTIFS(OutReach_Log!$A:$A,$A220,OutReach_Log!$G:$G,"Yes")</f>
        <v>0</v>
      </c>
      <c r="M220">
        <f>COUNTIFS(OutReach_Log!$A:$A,$A220,OutReach_Log!$E:$E,"Pending")
 +COUNTIFS(OutReach_Log!$A:$A,$A220,OutReach_Log!$E:$E,"Escalated")</f>
        <v>0</v>
      </c>
      <c r="N220">
        <f>COUNTIFS(Incident_Log!$A:$A,$A220,Incident_Log!$C:$C,"High",Incident_Log!$E:$E,"No")</f>
        <v>0</v>
      </c>
      <c r="O220" t="str">
        <f t="shared" ca="1" si="3"/>
        <v>Attention Required</v>
      </c>
      <c r="P220">
        <f ca="1">($G220*40)+($H220*30)+($I220*10)+($N220*50)+IF($L220&gt;0,20,0)</f>
        <v>0</v>
      </c>
      <c r="Q220">
        <f ca="1">E220*(P220/100)</f>
        <v>0</v>
      </c>
      <c r="R220">
        <f ca="1">_xlfn.RANK.EQ($Q220,$Q$2:$Q$401,0)</f>
        <v>180</v>
      </c>
    </row>
    <row r="221" spans="1:18">
      <c r="A221" t="str" cm="1">
        <f t="array" ref="A221">_xlfn._xlws.SORT(Vendor_Master!A221)</f>
        <v>VND-220</v>
      </c>
      <c r="B221" t="str">
        <f>_xlfn.XLOOKUP(Compliance_Sheet!A221,Vendor_Master!A221,Vendor_Master!B221,"")</f>
        <v>Vendor_220</v>
      </c>
      <c r="C221" t="str">
        <f>_xlfn.XLOOKUP(A221,Vendor_Master!A221,Vendor_Master!C221,"")</f>
        <v>Marine Services</v>
      </c>
      <c r="D221" t="str">
        <f>_xlfn.XLOOKUP(A221,Vendor_Master!A221,Vendor_Master!D221,"")</f>
        <v>West</v>
      </c>
      <c r="E221">
        <f>_xlfn.XLOOKUP(A221,Vendor_Master!A221,Vendor_Master!E221,0)</f>
        <v>244064</v>
      </c>
      <c r="F221" t="str">
        <f>_xlfn.XLOOKUP(A221,Vendor_Master!A221,Vendor_Master!H221,"")</f>
        <v>contact220@vendor.com</v>
      </c>
      <c r="G221">
        <f ca="1">COUNTIFS(Sustainability_Documents!$A:$A,$A221,Sustainability_Documents!$H:$H,"Missing")</f>
        <v>0</v>
      </c>
      <c r="H221">
        <f ca="1">COUNTIFS(Sustainability_Documents!$A:$A,$A221,Sustainability_Documents!$H:$H,"Expired")</f>
        <v>0</v>
      </c>
      <c r="I221">
        <f ca="1">COUNTIFS(Sustainability_Documents!$A:$A,$A221,Sustainability_Documents!$H:$H,"Expiring Soon")</f>
        <v>0</v>
      </c>
      <c r="J221">
        <f>COUNTIFS(Sustainability_Documents!$A:$A,$A221,Sustainability_Documents!$C:$C,"Yes")</f>
        <v>4</v>
      </c>
      <c r="K221">
        <f ca="1">IF($J221=0,"",($J221-$G221-$H221)/$J221)</f>
        <v>1</v>
      </c>
      <c r="L221">
        <f>COUNTIFS(OutReach_Log!$A:$A,$A221,OutReach_Log!$G:$G,"Yes")</f>
        <v>0</v>
      </c>
      <c r="M221">
        <f>COUNTIFS(OutReach_Log!$A:$A,$A221,OutReach_Log!$E:$E,"Pending")
 +COUNTIFS(OutReach_Log!$A:$A,$A221,OutReach_Log!$E:$E,"Escalated")</f>
        <v>0</v>
      </c>
      <c r="N221">
        <f>COUNTIFS(Incident_Log!$A:$A,$A221,Incident_Log!$C:$C,"High",Incident_Log!$E:$E,"No")</f>
        <v>0</v>
      </c>
      <c r="O221" t="str">
        <f t="shared" ca="1" si="3"/>
        <v>Attention Required</v>
      </c>
      <c r="P221">
        <f ca="1">($G221*40)+($H221*30)+($I221*10)+($N221*50)+IF($L221&gt;0,20,0)</f>
        <v>0</v>
      </c>
      <c r="Q221">
        <f ca="1">E221*(P221/100)</f>
        <v>0</v>
      </c>
      <c r="R221">
        <f ca="1">_xlfn.RANK.EQ($Q221,$Q$2:$Q$401,0)</f>
        <v>180</v>
      </c>
    </row>
    <row r="222" spans="1:18">
      <c r="A222" t="str" cm="1">
        <f t="array" ref="A222">_xlfn._xlws.SORT(Vendor_Master!A222)</f>
        <v>VND-221</v>
      </c>
      <c r="B222" t="str">
        <f>_xlfn.XLOOKUP(Compliance_Sheet!A222,Vendor_Master!A222,Vendor_Master!B222,"")</f>
        <v>Vendor_221</v>
      </c>
      <c r="C222" t="str">
        <f>_xlfn.XLOOKUP(A222,Vendor_Master!A222,Vendor_Master!C222,"")</f>
        <v>Marine Services</v>
      </c>
      <c r="D222" t="str">
        <f>_xlfn.XLOOKUP(A222,Vendor_Master!A222,Vendor_Master!D222,"")</f>
        <v>West</v>
      </c>
      <c r="E222">
        <f>_xlfn.XLOOKUP(A222,Vendor_Master!A222,Vendor_Master!E222,0)</f>
        <v>183677</v>
      </c>
      <c r="F222" t="str">
        <f>_xlfn.XLOOKUP(A222,Vendor_Master!A222,Vendor_Master!H222,"")</f>
        <v>contact221@vendor.com</v>
      </c>
      <c r="G222">
        <f ca="1">COUNTIFS(Sustainability_Documents!$A:$A,$A222,Sustainability_Documents!$H:$H,"Missing")</f>
        <v>0</v>
      </c>
      <c r="H222">
        <f ca="1">COUNTIFS(Sustainability_Documents!$A:$A,$A222,Sustainability_Documents!$H:$H,"Expired")</f>
        <v>0</v>
      </c>
      <c r="I222">
        <f ca="1">COUNTIFS(Sustainability_Documents!$A:$A,$A222,Sustainability_Documents!$H:$H,"Expiring Soon")</f>
        <v>0</v>
      </c>
      <c r="J222">
        <f>COUNTIFS(Sustainability_Documents!$A:$A,$A222,Sustainability_Documents!$C:$C,"Yes")</f>
        <v>4</v>
      </c>
      <c r="K222">
        <f ca="1">IF($J222=0,"",($J222-$G222-$H222)/$J222)</f>
        <v>1</v>
      </c>
      <c r="L222">
        <f>COUNTIFS(OutReach_Log!$A:$A,$A222,OutReach_Log!$G:$G,"Yes")</f>
        <v>0</v>
      </c>
      <c r="M222">
        <f>COUNTIFS(OutReach_Log!$A:$A,$A222,OutReach_Log!$E:$E,"Pending")
 +COUNTIFS(OutReach_Log!$A:$A,$A222,OutReach_Log!$E:$E,"Escalated")</f>
        <v>0</v>
      </c>
      <c r="N222">
        <f>COUNTIFS(Incident_Log!$A:$A,$A222,Incident_Log!$C:$C,"High",Incident_Log!$E:$E,"No")</f>
        <v>0</v>
      </c>
      <c r="O222" t="str">
        <f t="shared" ca="1" si="3"/>
        <v>Attention Required</v>
      </c>
      <c r="P222">
        <f ca="1">($G222*40)+($H222*30)+($I222*10)+($N222*50)+IF($L222&gt;0,20,0)</f>
        <v>0</v>
      </c>
      <c r="Q222">
        <f ca="1">E222*(P222/100)</f>
        <v>0</v>
      </c>
      <c r="R222">
        <f ca="1">_xlfn.RANK.EQ($Q222,$Q$2:$Q$401,0)</f>
        <v>180</v>
      </c>
    </row>
    <row r="223" spans="1:18">
      <c r="A223" t="str" cm="1">
        <f t="array" ref="A223">_xlfn._xlws.SORT(Vendor_Master!A223)</f>
        <v>VND-222</v>
      </c>
      <c r="B223" t="str">
        <f>_xlfn.XLOOKUP(Compliance_Sheet!A223,Vendor_Master!A223,Vendor_Master!B223,"")</f>
        <v>Vendor_222</v>
      </c>
      <c r="C223" t="str">
        <f>_xlfn.XLOOKUP(A223,Vendor_Master!A223,Vendor_Master!C223,"")</f>
        <v>Marine Services</v>
      </c>
      <c r="D223" t="str">
        <f>_xlfn.XLOOKUP(A223,Vendor_Master!A223,Vendor_Master!D223,"")</f>
        <v>West</v>
      </c>
      <c r="E223">
        <f>_xlfn.XLOOKUP(A223,Vendor_Master!A223,Vendor_Master!E223,0)</f>
        <v>242677</v>
      </c>
      <c r="F223" t="str">
        <f>_xlfn.XLOOKUP(A223,Vendor_Master!A223,Vendor_Master!H223,"")</f>
        <v>contact222@vendor.com</v>
      </c>
      <c r="G223">
        <f ca="1">COUNTIFS(Sustainability_Documents!$A:$A,$A223,Sustainability_Documents!$H:$H,"Missing")</f>
        <v>0</v>
      </c>
      <c r="H223">
        <f ca="1">COUNTIFS(Sustainability_Documents!$A:$A,$A223,Sustainability_Documents!$H:$H,"Expired")</f>
        <v>0</v>
      </c>
      <c r="I223">
        <f ca="1">COUNTIFS(Sustainability_Documents!$A:$A,$A223,Sustainability_Documents!$H:$H,"Expiring Soon")</f>
        <v>0</v>
      </c>
      <c r="J223">
        <f>COUNTIFS(Sustainability_Documents!$A:$A,$A223,Sustainability_Documents!$C:$C,"Yes")</f>
        <v>4</v>
      </c>
      <c r="K223">
        <f ca="1">IF($J223=0,"",($J223-$G223-$H223)/$J223)</f>
        <v>1</v>
      </c>
      <c r="L223">
        <f>COUNTIFS(OutReach_Log!$A:$A,$A223,OutReach_Log!$G:$G,"Yes")</f>
        <v>0</v>
      </c>
      <c r="M223">
        <f>COUNTIFS(OutReach_Log!$A:$A,$A223,OutReach_Log!$E:$E,"Pending")
 +COUNTIFS(OutReach_Log!$A:$A,$A223,OutReach_Log!$E:$E,"Escalated")</f>
        <v>0</v>
      </c>
      <c r="N223">
        <f>COUNTIFS(Incident_Log!$A:$A,$A223,Incident_Log!$C:$C,"High",Incident_Log!$E:$E,"No")</f>
        <v>0</v>
      </c>
      <c r="O223" t="str">
        <f t="shared" ca="1" si="3"/>
        <v>Attention Required</v>
      </c>
      <c r="P223">
        <f ca="1">($G223*40)+($H223*30)+($I223*10)+($N223*50)+IF($L223&gt;0,20,0)</f>
        <v>0</v>
      </c>
      <c r="Q223">
        <f ca="1">E223*(P223/100)</f>
        <v>0</v>
      </c>
      <c r="R223">
        <f ca="1">_xlfn.RANK.EQ($Q223,$Q$2:$Q$401,0)</f>
        <v>180</v>
      </c>
    </row>
    <row r="224" spans="1:18">
      <c r="A224" t="str" cm="1">
        <f t="array" ref="A224">_xlfn._xlws.SORT(Vendor_Master!A224)</f>
        <v>VND-223</v>
      </c>
      <c r="B224" t="str">
        <f>_xlfn.XLOOKUP(Compliance_Sheet!A224,Vendor_Master!A224,Vendor_Master!B224,"")</f>
        <v>Vendor_223</v>
      </c>
      <c r="C224" t="str">
        <f>_xlfn.XLOOKUP(A224,Vendor_Master!A224,Vendor_Master!C224,"")</f>
        <v>Marine Services</v>
      </c>
      <c r="D224" t="str">
        <f>_xlfn.XLOOKUP(A224,Vendor_Master!A224,Vendor_Master!D224,"")</f>
        <v>West</v>
      </c>
      <c r="E224">
        <f>_xlfn.XLOOKUP(A224,Vendor_Master!A224,Vendor_Master!E224,0)</f>
        <v>153489</v>
      </c>
      <c r="F224" t="str">
        <f>_xlfn.XLOOKUP(A224,Vendor_Master!A224,Vendor_Master!H224,"")</f>
        <v>contact223@vendor.com</v>
      </c>
      <c r="G224">
        <f ca="1">COUNTIFS(Sustainability_Documents!$A:$A,$A224,Sustainability_Documents!$H:$H,"Missing")</f>
        <v>0</v>
      </c>
      <c r="H224">
        <f ca="1">COUNTIFS(Sustainability_Documents!$A:$A,$A224,Sustainability_Documents!$H:$H,"Expired")</f>
        <v>0</v>
      </c>
      <c r="I224">
        <f ca="1">COUNTIFS(Sustainability_Documents!$A:$A,$A224,Sustainability_Documents!$H:$H,"Expiring Soon")</f>
        <v>0</v>
      </c>
      <c r="J224">
        <f>COUNTIFS(Sustainability_Documents!$A:$A,$A224,Sustainability_Documents!$C:$C,"Yes")</f>
        <v>4</v>
      </c>
      <c r="K224">
        <f ca="1">IF($J224=0,"",($J224-$G224-$H224)/$J224)</f>
        <v>1</v>
      </c>
      <c r="L224">
        <f>COUNTIFS(OutReach_Log!$A:$A,$A224,OutReach_Log!$G:$G,"Yes")</f>
        <v>0</v>
      </c>
      <c r="M224">
        <f>COUNTIFS(OutReach_Log!$A:$A,$A224,OutReach_Log!$E:$E,"Pending")
 +COUNTIFS(OutReach_Log!$A:$A,$A224,OutReach_Log!$E:$E,"Escalated")</f>
        <v>0</v>
      </c>
      <c r="N224">
        <f>COUNTIFS(Incident_Log!$A:$A,$A224,Incident_Log!$C:$C,"High",Incident_Log!$E:$E,"No")</f>
        <v>0</v>
      </c>
      <c r="O224" t="str">
        <f t="shared" ca="1" si="3"/>
        <v>Attention Required</v>
      </c>
      <c r="P224">
        <f ca="1">($G224*40)+($H224*30)+($I224*10)+($N224*50)+IF($L224&gt;0,20,0)</f>
        <v>0</v>
      </c>
      <c r="Q224">
        <f ca="1">E224*(P224/100)</f>
        <v>0</v>
      </c>
      <c r="R224">
        <f ca="1">_xlfn.RANK.EQ($Q224,$Q$2:$Q$401,0)</f>
        <v>180</v>
      </c>
    </row>
    <row r="225" spans="1:18">
      <c r="A225" t="str" cm="1">
        <f t="array" ref="A225">_xlfn._xlws.SORT(Vendor_Master!A225)</f>
        <v>VND-224</v>
      </c>
      <c r="B225" t="str">
        <f>_xlfn.XLOOKUP(Compliance_Sheet!A225,Vendor_Master!A225,Vendor_Master!B225,"")</f>
        <v>Vendor_224</v>
      </c>
      <c r="C225" t="str">
        <f>_xlfn.XLOOKUP(A225,Vendor_Master!A225,Vendor_Master!C225,"")</f>
        <v>Marine Services</v>
      </c>
      <c r="D225" t="str">
        <f>_xlfn.XLOOKUP(A225,Vendor_Master!A225,Vendor_Master!D225,"")</f>
        <v>West</v>
      </c>
      <c r="E225">
        <f>_xlfn.XLOOKUP(A225,Vendor_Master!A225,Vendor_Master!E225,0)</f>
        <v>223906</v>
      </c>
      <c r="F225" t="str">
        <f>_xlfn.XLOOKUP(A225,Vendor_Master!A225,Vendor_Master!H225,"")</f>
        <v>contact224@vendor.com</v>
      </c>
      <c r="G225">
        <f ca="1">COUNTIFS(Sustainability_Documents!$A:$A,$A225,Sustainability_Documents!$H:$H,"Missing")</f>
        <v>0</v>
      </c>
      <c r="H225">
        <f ca="1">COUNTIFS(Sustainability_Documents!$A:$A,$A225,Sustainability_Documents!$H:$H,"Expired")</f>
        <v>0</v>
      </c>
      <c r="I225">
        <f ca="1">COUNTIFS(Sustainability_Documents!$A:$A,$A225,Sustainability_Documents!$H:$H,"Expiring Soon")</f>
        <v>0</v>
      </c>
      <c r="J225">
        <f>COUNTIFS(Sustainability_Documents!$A:$A,$A225,Sustainability_Documents!$C:$C,"Yes")</f>
        <v>4</v>
      </c>
      <c r="K225">
        <f ca="1">IF($J225=0,"",($J225-$G225-$H225)/$J225)</f>
        <v>1</v>
      </c>
      <c r="L225">
        <f>COUNTIFS(OutReach_Log!$A:$A,$A225,OutReach_Log!$G:$G,"Yes")</f>
        <v>0</v>
      </c>
      <c r="M225">
        <f>COUNTIFS(OutReach_Log!$A:$A,$A225,OutReach_Log!$E:$E,"Pending")
 +COUNTIFS(OutReach_Log!$A:$A,$A225,OutReach_Log!$E:$E,"Escalated")</f>
        <v>0</v>
      </c>
      <c r="N225">
        <f>COUNTIFS(Incident_Log!$A:$A,$A225,Incident_Log!$C:$C,"High",Incident_Log!$E:$E,"No")</f>
        <v>0</v>
      </c>
      <c r="O225" t="str">
        <f t="shared" ca="1" si="3"/>
        <v>Attention Required</v>
      </c>
      <c r="P225">
        <f ca="1">($G225*40)+($H225*30)+($I225*10)+($N225*50)+IF($L225&gt;0,20,0)</f>
        <v>0</v>
      </c>
      <c r="Q225">
        <f ca="1">E225*(P225/100)</f>
        <v>0</v>
      </c>
      <c r="R225">
        <f ca="1">_xlfn.RANK.EQ($Q225,$Q$2:$Q$401,0)</f>
        <v>180</v>
      </c>
    </row>
    <row r="226" spans="1:18">
      <c r="A226" t="str" cm="1">
        <f t="array" ref="A226">_xlfn._xlws.SORT(Vendor_Master!A226)</f>
        <v>VND-225</v>
      </c>
      <c r="B226" t="str">
        <f>_xlfn.XLOOKUP(Compliance_Sheet!A226,Vendor_Master!A226,Vendor_Master!B226,"")</f>
        <v>Vendor_225</v>
      </c>
      <c r="C226" t="str">
        <f>_xlfn.XLOOKUP(A226,Vendor_Master!A226,Vendor_Master!C226,"")</f>
        <v>Marine Services</v>
      </c>
      <c r="D226" t="str">
        <f>_xlfn.XLOOKUP(A226,Vendor_Master!A226,Vendor_Master!D226,"")</f>
        <v>West</v>
      </c>
      <c r="E226">
        <f>_xlfn.XLOOKUP(A226,Vendor_Master!A226,Vendor_Master!E226,0)</f>
        <v>51496</v>
      </c>
      <c r="F226" t="str">
        <f>_xlfn.XLOOKUP(A226,Vendor_Master!A226,Vendor_Master!H226,"")</f>
        <v>contact225@vendor.com</v>
      </c>
      <c r="G226">
        <f ca="1">COUNTIFS(Sustainability_Documents!$A:$A,$A226,Sustainability_Documents!$H:$H,"Missing")</f>
        <v>0</v>
      </c>
      <c r="H226">
        <f ca="1">COUNTIFS(Sustainability_Documents!$A:$A,$A226,Sustainability_Documents!$H:$H,"Expired")</f>
        <v>0</v>
      </c>
      <c r="I226">
        <f ca="1">COUNTIFS(Sustainability_Documents!$A:$A,$A226,Sustainability_Documents!$H:$H,"Expiring Soon")</f>
        <v>4</v>
      </c>
      <c r="J226">
        <f>COUNTIFS(Sustainability_Documents!$A:$A,$A226,Sustainability_Documents!$C:$C,"Yes")</f>
        <v>4</v>
      </c>
      <c r="K226">
        <f ca="1">IF($J226=0,"",($J226-$G226-$H226)/$J226)</f>
        <v>1</v>
      </c>
      <c r="L226">
        <f ca="1">COUNTIFS(OutReach_Log!$A:$A,$A226,OutReach_Log!$G:$G,"Yes")</f>
        <v>0</v>
      </c>
      <c r="M226">
        <f>COUNTIFS(OutReach_Log!$A:$A,$A226,OutReach_Log!$E:$E,"Pending")
 +COUNTIFS(OutReach_Log!$A:$A,$A226,OutReach_Log!$E:$E,"Escalated")</f>
        <v>1</v>
      </c>
      <c r="N226">
        <f>COUNTIFS(Incident_Log!$A:$A,$A226,Incident_Log!$C:$C,"High",Incident_Log!$E:$E,"No")</f>
        <v>0</v>
      </c>
      <c r="O226" t="str">
        <f t="shared" ca="1" si="3"/>
        <v>High Attention Required</v>
      </c>
      <c r="P226">
        <f ca="1">($G226*40)+($H226*30)+($I226*10)+($N226*50)+IF($L226&gt;0,20,0)</f>
        <v>40</v>
      </c>
      <c r="Q226">
        <f ca="1">E226*(P226/100)</f>
        <v>20598.400000000001</v>
      </c>
      <c r="R226">
        <f ca="1">_xlfn.RANK.EQ($Q226,$Q$2:$Q$401,0)</f>
        <v>179</v>
      </c>
    </row>
    <row r="227" spans="1:18">
      <c r="A227" t="str" cm="1">
        <f t="array" ref="A227">_xlfn._xlws.SORT(Vendor_Master!A227)</f>
        <v>VND-226</v>
      </c>
      <c r="B227" t="str">
        <f>_xlfn.XLOOKUP(Compliance_Sheet!A227,Vendor_Master!A227,Vendor_Master!B227,"")</f>
        <v>Vendor_226</v>
      </c>
      <c r="C227" t="str">
        <f>_xlfn.XLOOKUP(A227,Vendor_Master!A227,Vendor_Master!C227,"")</f>
        <v>Marine Services</v>
      </c>
      <c r="D227" t="str">
        <f>_xlfn.XLOOKUP(A227,Vendor_Master!A227,Vendor_Master!D227,"")</f>
        <v>West</v>
      </c>
      <c r="E227">
        <f>_xlfn.XLOOKUP(A227,Vendor_Master!A227,Vendor_Master!E227,0)</f>
        <v>231778</v>
      </c>
      <c r="F227" t="str">
        <f>_xlfn.XLOOKUP(A227,Vendor_Master!A227,Vendor_Master!H227,"")</f>
        <v>contact226@vendor.com</v>
      </c>
      <c r="G227">
        <f ca="1">COUNTIFS(Sustainability_Documents!$A:$A,$A227,Sustainability_Documents!$H:$H,"Missing")</f>
        <v>0</v>
      </c>
      <c r="H227">
        <f ca="1">COUNTIFS(Sustainability_Documents!$A:$A,$A227,Sustainability_Documents!$H:$H,"Expired")</f>
        <v>0</v>
      </c>
      <c r="I227">
        <f ca="1">COUNTIFS(Sustainability_Documents!$A:$A,$A227,Sustainability_Documents!$H:$H,"Expiring Soon")</f>
        <v>4</v>
      </c>
      <c r="J227">
        <f>COUNTIFS(Sustainability_Documents!$A:$A,$A227,Sustainability_Documents!$C:$C,"Yes")</f>
        <v>4</v>
      </c>
      <c r="K227">
        <f ca="1">IF($J227=0,"",($J227-$G227-$H227)/$J227)</f>
        <v>1</v>
      </c>
      <c r="L227">
        <f ca="1">COUNTIFS(OutReach_Log!$A:$A,$A227,OutReach_Log!$G:$G,"Yes")</f>
        <v>0</v>
      </c>
      <c r="M227">
        <f>COUNTIFS(OutReach_Log!$A:$A,$A227,OutReach_Log!$E:$E,"Pending")
 +COUNTIFS(OutReach_Log!$A:$A,$A227,OutReach_Log!$E:$E,"Escalated")</f>
        <v>0</v>
      </c>
      <c r="N227">
        <f>COUNTIFS(Incident_Log!$A:$A,$A227,Incident_Log!$C:$C,"High",Incident_Log!$E:$E,"No")</f>
        <v>0</v>
      </c>
      <c r="O227" t="str">
        <f t="shared" ca="1" si="3"/>
        <v>High Attention Required</v>
      </c>
      <c r="P227">
        <f ca="1">($G227*40)+($H227*30)+($I227*10)+($N227*50)+IF($L227&gt;0,20,0)</f>
        <v>40</v>
      </c>
      <c r="Q227">
        <f ca="1">E227*(P227/100)</f>
        <v>92711.200000000012</v>
      </c>
      <c r="R227">
        <f ca="1">_xlfn.RANK.EQ($Q227,$Q$2:$Q$401,0)</f>
        <v>153</v>
      </c>
    </row>
    <row r="228" spans="1:18">
      <c r="A228" t="str" cm="1">
        <f t="array" ref="A228">_xlfn._xlws.SORT(Vendor_Master!A228)</f>
        <v>VND-227</v>
      </c>
      <c r="B228" t="str">
        <f>_xlfn.XLOOKUP(Compliance_Sheet!A228,Vendor_Master!A228,Vendor_Master!B228,"")</f>
        <v>Vendor_227</v>
      </c>
      <c r="C228" t="str">
        <f>_xlfn.XLOOKUP(A228,Vendor_Master!A228,Vendor_Master!C228,"")</f>
        <v>Marine Services</v>
      </c>
      <c r="D228" t="str">
        <f>_xlfn.XLOOKUP(A228,Vendor_Master!A228,Vendor_Master!D228,"")</f>
        <v>West</v>
      </c>
      <c r="E228">
        <f>_xlfn.XLOOKUP(A228,Vendor_Master!A228,Vendor_Master!E228,0)</f>
        <v>144911</v>
      </c>
      <c r="F228" t="str">
        <f>_xlfn.XLOOKUP(A228,Vendor_Master!A228,Vendor_Master!H228,"")</f>
        <v>contact227@vendor.com</v>
      </c>
      <c r="G228">
        <f ca="1">COUNTIFS(Sustainability_Documents!$A:$A,$A228,Sustainability_Documents!$H:$H,"Missing")</f>
        <v>0</v>
      </c>
      <c r="H228">
        <f ca="1">COUNTIFS(Sustainability_Documents!$A:$A,$A228,Sustainability_Documents!$H:$H,"Expired")</f>
        <v>0</v>
      </c>
      <c r="I228">
        <f ca="1">COUNTIFS(Sustainability_Documents!$A:$A,$A228,Sustainability_Documents!$H:$H,"Expiring Soon")</f>
        <v>4</v>
      </c>
      <c r="J228">
        <f>COUNTIFS(Sustainability_Documents!$A:$A,$A228,Sustainability_Documents!$C:$C,"Yes")</f>
        <v>4</v>
      </c>
      <c r="K228">
        <f ca="1">IF($J228=0,"",($J228-$G228-$H228)/$J228)</f>
        <v>1</v>
      </c>
      <c r="L228">
        <f ca="1">COUNTIFS(OutReach_Log!$A:$A,$A228,OutReach_Log!$G:$G,"Yes")</f>
        <v>0</v>
      </c>
      <c r="M228">
        <f>COUNTIFS(OutReach_Log!$A:$A,$A228,OutReach_Log!$E:$E,"Pending")
 +COUNTIFS(OutReach_Log!$A:$A,$A228,OutReach_Log!$E:$E,"Escalated")</f>
        <v>1</v>
      </c>
      <c r="N228">
        <f>COUNTIFS(Incident_Log!$A:$A,$A228,Incident_Log!$C:$C,"High",Incident_Log!$E:$E,"No")</f>
        <v>1</v>
      </c>
      <c r="O228" t="str">
        <f t="shared" ca="1" si="3"/>
        <v>High Attention Required</v>
      </c>
      <c r="P228">
        <f ca="1">($G228*40)+($H228*30)+($I228*10)+($N228*50)+IF($L228&gt;0,20,0)</f>
        <v>90</v>
      </c>
      <c r="Q228">
        <f ca="1">E228*(P228/100)</f>
        <v>130419.90000000001</v>
      </c>
      <c r="R228">
        <f ca="1">_xlfn.RANK.EQ($Q228,$Q$2:$Q$401,0)</f>
        <v>140</v>
      </c>
    </row>
    <row r="229" spans="1:18">
      <c r="A229" t="str" cm="1">
        <f t="array" ref="A229">_xlfn._xlws.SORT(Vendor_Master!A229)</f>
        <v>VND-228</v>
      </c>
      <c r="B229" t="str">
        <f>_xlfn.XLOOKUP(Compliance_Sheet!A229,Vendor_Master!A229,Vendor_Master!B229,"")</f>
        <v>Vendor_228</v>
      </c>
      <c r="C229" t="str">
        <f>_xlfn.XLOOKUP(A229,Vendor_Master!A229,Vendor_Master!C229,"")</f>
        <v>Marine Services</v>
      </c>
      <c r="D229" t="str">
        <f>_xlfn.XLOOKUP(A229,Vendor_Master!A229,Vendor_Master!D229,"")</f>
        <v>West</v>
      </c>
      <c r="E229">
        <f>_xlfn.XLOOKUP(A229,Vendor_Master!A229,Vendor_Master!E229,0)</f>
        <v>152529</v>
      </c>
      <c r="F229" t="str">
        <f>_xlfn.XLOOKUP(A229,Vendor_Master!A229,Vendor_Master!H229,"")</f>
        <v>contact228@vendor.com</v>
      </c>
      <c r="G229">
        <f ca="1">COUNTIFS(Sustainability_Documents!$A:$A,$A229,Sustainability_Documents!$H:$H,"Missing")</f>
        <v>0</v>
      </c>
      <c r="H229">
        <f ca="1">COUNTIFS(Sustainability_Documents!$A:$A,$A229,Sustainability_Documents!$H:$H,"Expired")</f>
        <v>0</v>
      </c>
      <c r="I229">
        <f ca="1">COUNTIFS(Sustainability_Documents!$A:$A,$A229,Sustainability_Documents!$H:$H,"Expiring Soon")</f>
        <v>4</v>
      </c>
      <c r="J229">
        <f>COUNTIFS(Sustainability_Documents!$A:$A,$A229,Sustainability_Documents!$C:$C,"Yes")</f>
        <v>4</v>
      </c>
      <c r="K229">
        <f ca="1">IF($J229=0,"",($J229-$G229-$H229)/$J229)</f>
        <v>1</v>
      </c>
      <c r="L229">
        <f ca="1">COUNTIFS(OutReach_Log!$A:$A,$A229,OutReach_Log!$G:$G,"Yes")</f>
        <v>0</v>
      </c>
      <c r="M229">
        <f>COUNTIFS(OutReach_Log!$A:$A,$A229,OutReach_Log!$E:$E,"Pending")
 +COUNTIFS(OutReach_Log!$A:$A,$A229,OutReach_Log!$E:$E,"Escalated")</f>
        <v>1</v>
      </c>
      <c r="N229">
        <f>COUNTIFS(Incident_Log!$A:$A,$A229,Incident_Log!$C:$C,"High",Incident_Log!$E:$E,"No")</f>
        <v>0</v>
      </c>
      <c r="O229" t="str">
        <f t="shared" ca="1" si="3"/>
        <v>High Attention Required</v>
      </c>
      <c r="P229">
        <f ca="1">($G229*40)+($H229*30)+($I229*10)+($N229*50)+IF($L229&gt;0,20,0)</f>
        <v>40</v>
      </c>
      <c r="Q229">
        <f ca="1">E229*(P229/100)</f>
        <v>61011.600000000006</v>
      </c>
      <c r="R229">
        <f ca="1">_xlfn.RANK.EQ($Q229,$Q$2:$Q$401,0)</f>
        <v>168</v>
      </c>
    </row>
    <row r="230" spans="1:18">
      <c r="A230" t="str" cm="1">
        <f t="array" ref="A230">_xlfn._xlws.SORT(Vendor_Master!A230)</f>
        <v>VND-229</v>
      </c>
      <c r="B230" t="str">
        <f>_xlfn.XLOOKUP(Compliance_Sheet!A230,Vendor_Master!A230,Vendor_Master!B230,"")</f>
        <v>Vendor_229</v>
      </c>
      <c r="C230" t="str">
        <f>_xlfn.XLOOKUP(A230,Vendor_Master!A230,Vendor_Master!C230,"")</f>
        <v>Marine Services</v>
      </c>
      <c r="D230" t="str">
        <f>_xlfn.XLOOKUP(A230,Vendor_Master!A230,Vendor_Master!D230,"")</f>
        <v>West</v>
      </c>
      <c r="E230">
        <f>_xlfn.XLOOKUP(A230,Vendor_Master!A230,Vendor_Master!E230,0)</f>
        <v>113338</v>
      </c>
      <c r="F230" t="str">
        <f>_xlfn.XLOOKUP(A230,Vendor_Master!A230,Vendor_Master!H230,"")</f>
        <v>contact229@vendor.com</v>
      </c>
      <c r="G230">
        <f ca="1">COUNTIFS(Sustainability_Documents!$A:$A,$A230,Sustainability_Documents!$H:$H,"Missing")</f>
        <v>0</v>
      </c>
      <c r="H230">
        <f ca="1">COUNTIFS(Sustainability_Documents!$A:$A,$A230,Sustainability_Documents!$H:$H,"Expired")</f>
        <v>0</v>
      </c>
      <c r="I230">
        <f ca="1">COUNTIFS(Sustainability_Documents!$A:$A,$A230,Sustainability_Documents!$H:$H,"Expiring Soon")</f>
        <v>4</v>
      </c>
      <c r="J230">
        <f>COUNTIFS(Sustainability_Documents!$A:$A,$A230,Sustainability_Documents!$C:$C,"Yes")</f>
        <v>4</v>
      </c>
      <c r="K230">
        <f ca="1">IF($J230=0,"",($J230-$G230-$H230)/$J230)</f>
        <v>1</v>
      </c>
      <c r="L230">
        <f ca="1">COUNTIFS(OutReach_Log!$A:$A,$A230,OutReach_Log!$G:$G,"Yes")</f>
        <v>0</v>
      </c>
      <c r="M230">
        <f>COUNTIFS(OutReach_Log!$A:$A,$A230,OutReach_Log!$E:$E,"Pending")
 +COUNTIFS(OutReach_Log!$A:$A,$A230,OutReach_Log!$E:$E,"Escalated")</f>
        <v>0</v>
      </c>
      <c r="N230">
        <f>COUNTIFS(Incident_Log!$A:$A,$A230,Incident_Log!$C:$C,"High",Incident_Log!$E:$E,"No")</f>
        <v>0</v>
      </c>
      <c r="O230" t="str">
        <f t="shared" ca="1" si="3"/>
        <v>High Attention Required</v>
      </c>
      <c r="P230">
        <f ca="1">($G230*40)+($H230*30)+($I230*10)+($N230*50)+IF($L230&gt;0,20,0)</f>
        <v>40</v>
      </c>
      <c r="Q230">
        <f ca="1">E230*(P230/100)</f>
        <v>45335.200000000004</v>
      </c>
      <c r="R230">
        <f ca="1">_xlfn.RANK.EQ($Q230,$Q$2:$Q$401,0)</f>
        <v>171</v>
      </c>
    </row>
    <row r="231" spans="1:18">
      <c r="A231" t="str" cm="1">
        <f t="array" ref="A231">_xlfn._xlws.SORT(Vendor_Master!A231)</f>
        <v>VND-230</v>
      </c>
      <c r="B231" t="str">
        <f>_xlfn.XLOOKUP(Compliance_Sheet!A231,Vendor_Master!A231,Vendor_Master!B231,"")</f>
        <v>Vendor_230</v>
      </c>
      <c r="C231" t="str">
        <f>_xlfn.XLOOKUP(A231,Vendor_Master!A231,Vendor_Master!C231,"")</f>
        <v>Marine Services</v>
      </c>
      <c r="D231" t="str">
        <f>_xlfn.XLOOKUP(A231,Vendor_Master!A231,Vendor_Master!D231,"")</f>
        <v>West</v>
      </c>
      <c r="E231">
        <f>_xlfn.XLOOKUP(A231,Vendor_Master!A231,Vendor_Master!E231,0)</f>
        <v>178190</v>
      </c>
      <c r="F231" t="str">
        <f>_xlfn.XLOOKUP(A231,Vendor_Master!A231,Vendor_Master!H231,"")</f>
        <v>contact230@vendor.com</v>
      </c>
      <c r="G231">
        <f ca="1">COUNTIFS(Sustainability_Documents!$A:$A,$A231,Sustainability_Documents!$H:$H,"Missing")</f>
        <v>0</v>
      </c>
      <c r="H231">
        <f ca="1">COUNTIFS(Sustainability_Documents!$A:$A,$A231,Sustainability_Documents!$H:$H,"Expired")</f>
        <v>0</v>
      </c>
      <c r="I231">
        <f ca="1">COUNTIFS(Sustainability_Documents!$A:$A,$A231,Sustainability_Documents!$H:$H,"Expiring Soon")</f>
        <v>4</v>
      </c>
      <c r="J231">
        <f>COUNTIFS(Sustainability_Documents!$A:$A,$A231,Sustainability_Documents!$C:$C,"Yes")</f>
        <v>4</v>
      </c>
      <c r="K231">
        <f ca="1">IF($J231=0,"",($J231-$G231-$H231)/$J231)</f>
        <v>1</v>
      </c>
      <c r="L231">
        <f ca="1">COUNTIFS(OutReach_Log!$A:$A,$A231,OutReach_Log!$G:$G,"Yes")</f>
        <v>0</v>
      </c>
      <c r="M231">
        <f>COUNTIFS(OutReach_Log!$A:$A,$A231,OutReach_Log!$E:$E,"Pending")
 +COUNTIFS(OutReach_Log!$A:$A,$A231,OutReach_Log!$E:$E,"Escalated")</f>
        <v>1</v>
      </c>
      <c r="N231">
        <f>COUNTIFS(Incident_Log!$A:$A,$A231,Incident_Log!$C:$C,"High",Incident_Log!$E:$E,"No")</f>
        <v>0</v>
      </c>
      <c r="O231" t="str">
        <f t="shared" ca="1" si="3"/>
        <v>High Attention Required</v>
      </c>
      <c r="P231">
        <f ca="1">($G231*40)+($H231*30)+($I231*10)+($N231*50)+IF($L231&gt;0,20,0)</f>
        <v>40</v>
      </c>
      <c r="Q231">
        <f ca="1">E231*(P231/100)</f>
        <v>71276</v>
      </c>
      <c r="R231">
        <f ca="1">_xlfn.RANK.EQ($Q231,$Q$2:$Q$401,0)</f>
        <v>166</v>
      </c>
    </row>
    <row r="232" spans="1:18">
      <c r="A232" t="str" cm="1">
        <f t="array" ref="A232">_xlfn._xlws.SORT(Vendor_Master!A232)</f>
        <v>VND-231</v>
      </c>
      <c r="B232" t="str">
        <f>_xlfn.XLOOKUP(Compliance_Sheet!A232,Vendor_Master!A232,Vendor_Master!B232,"")</f>
        <v>Vendor_231</v>
      </c>
      <c r="C232" t="str">
        <f>_xlfn.XLOOKUP(A232,Vendor_Master!A232,Vendor_Master!C232,"")</f>
        <v>Marine Services</v>
      </c>
      <c r="D232" t="str">
        <f>_xlfn.XLOOKUP(A232,Vendor_Master!A232,Vendor_Master!D232,"")</f>
        <v>West</v>
      </c>
      <c r="E232">
        <f>_xlfn.XLOOKUP(A232,Vendor_Master!A232,Vendor_Master!E232,0)</f>
        <v>191289</v>
      </c>
      <c r="F232" t="str">
        <f>_xlfn.XLOOKUP(A232,Vendor_Master!A232,Vendor_Master!H232,"")</f>
        <v>contact231@vendor.com</v>
      </c>
      <c r="G232">
        <f ca="1">COUNTIFS(Sustainability_Documents!$A:$A,$A232,Sustainability_Documents!$H:$H,"Missing")</f>
        <v>0</v>
      </c>
      <c r="H232">
        <f ca="1">COUNTIFS(Sustainability_Documents!$A:$A,$A232,Sustainability_Documents!$H:$H,"Expired")</f>
        <v>0</v>
      </c>
      <c r="I232">
        <f ca="1">COUNTIFS(Sustainability_Documents!$A:$A,$A232,Sustainability_Documents!$H:$H,"Expiring Soon")</f>
        <v>4</v>
      </c>
      <c r="J232">
        <f>COUNTIFS(Sustainability_Documents!$A:$A,$A232,Sustainability_Documents!$C:$C,"Yes")</f>
        <v>4</v>
      </c>
      <c r="K232">
        <f ca="1">IF($J232=0,"",($J232-$G232-$H232)/$J232)</f>
        <v>1</v>
      </c>
      <c r="L232">
        <f ca="1">COUNTIFS(OutReach_Log!$A:$A,$A232,OutReach_Log!$G:$G,"Yes")</f>
        <v>0</v>
      </c>
      <c r="M232">
        <f>COUNTIFS(OutReach_Log!$A:$A,$A232,OutReach_Log!$E:$E,"Pending")
 +COUNTIFS(OutReach_Log!$A:$A,$A232,OutReach_Log!$E:$E,"Escalated")</f>
        <v>1</v>
      </c>
      <c r="N232">
        <f>COUNTIFS(Incident_Log!$A:$A,$A232,Incident_Log!$C:$C,"High",Incident_Log!$E:$E,"No")</f>
        <v>0</v>
      </c>
      <c r="O232" t="str">
        <f t="shared" ca="1" si="3"/>
        <v>High Attention Required</v>
      </c>
      <c r="P232">
        <f ca="1">($G232*40)+($H232*30)+($I232*10)+($N232*50)+IF($L232&gt;0,20,0)</f>
        <v>40</v>
      </c>
      <c r="Q232">
        <f ca="1">E232*(P232/100)</f>
        <v>76515.600000000006</v>
      </c>
      <c r="R232">
        <f ca="1">_xlfn.RANK.EQ($Q232,$Q$2:$Q$401,0)</f>
        <v>163</v>
      </c>
    </row>
    <row r="233" spans="1:18">
      <c r="A233" t="str" cm="1">
        <f t="array" ref="A233">_xlfn._xlws.SORT(Vendor_Master!A233)</f>
        <v>VND-232</v>
      </c>
      <c r="B233" t="str">
        <f>_xlfn.XLOOKUP(Compliance_Sheet!A233,Vendor_Master!A233,Vendor_Master!B233,"")</f>
        <v>Vendor_232</v>
      </c>
      <c r="C233" t="str">
        <f>_xlfn.XLOOKUP(A233,Vendor_Master!A233,Vendor_Master!C233,"")</f>
        <v>Marine Services</v>
      </c>
      <c r="D233" t="str">
        <f>_xlfn.XLOOKUP(A233,Vendor_Master!A233,Vendor_Master!D233,"")</f>
        <v>West</v>
      </c>
      <c r="E233">
        <f>_xlfn.XLOOKUP(A233,Vendor_Master!A233,Vendor_Master!E233,0)</f>
        <v>96241</v>
      </c>
      <c r="F233" t="str">
        <f>_xlfn.XLOOKUP(A233,Vendor_Master!A233,Vendor_Master!H233,"")</f>
        <v>contact232@vendor.com</v>
      </c>
      <c r="G233">
        <f ca="1">COUNTIFS(Sustainability_Documents!$A:$A,$A233,Sustainability_Documents!$H:$H,"Missing")</f>
        <v>0</v>
      </c>
      <c r="H233">
        <f ca="1">COUNTIFS(Sustainability_Documents!$A:$A,$A233,Sustainability_Documents!$H:$H,"Expired")</f>
        <v>1</v>
      </c>
      <c r="I233">
        <f ca="1">COUNTIFS(Sustainability_Documents!$A:$A,$A233,Sustainability_Documents!$H:$H,"Expiring Soon")</f>
        <v>3</v>
      </c>
      <c r="J233">
        <f>COUNTIFS(Sustainability_Documents!$A:$A,$A233,Sustainability_Documents!$C:$C,"Yes")</f>
        <v>4</v>
      </c>
      <c r="K233">
        <f ca="1">IF($J233=0,"",($J233-$G233-$H233)/$J233)</f>
        <v>0.75</v>
      </c>
      <c r="L233">
        <f ca="1">COUNTIFS(OutReach_Log!$A:$A,$A233,OutReach_Log!$G:$G,"Yes")</f>
        <v>1</v>
      </c>
      <c r="M233">
        <f>COUNTIFS(OutReach_Log!$A:$A,$A233,OutReach_Log!$E:$E,"Pending")
 +COUNTIFS(OutReach_Log!$A:$A,$A233,OutReach_Log!$E:$E,"Escalated")</f>
        <v>1</v>
      </c>
      <c r="N233">
        <f>COUNTIFS(Incident_Log!$A:$A,$A233,Incident_Log!$C:$C,"High",Incident_Log!$E:$E,"No")</f>
        <v>0</v>
      </c>
      <c r="O233" t="str">
        <f t="shared" ca="1" si="3"/>
        <v>High Attention Required</v>
      </c>
      <c r="P233">
        <f ca="1">($G233*40)+($H233*30)+($I233*10)+($N233*50)+IF($L233&gt;0,20,0)</f>
        <v>80</v>
      </c>
      <c r="Q233">
        <f ca="1">E233*(P233/100)</f>
        <v>76992.800000000003</v>
      </c>
      <c r="R233">
        <f ca="1">_xlfn.RANK.EQ($Q233,$Q$2:$Q$401,0)</f>
        <v>161</v>
      </c>
    </row>
    <row r="234" spans="1:18">
      <c r="A234" t="str" cm="1">
        <f t="array" ref="A234">_xlfn._xlws.SORT(Vendor_Master!A234)</f>
        <v>VND-233</v>
      </c>
      <c r="B234" t="str">
        <f>_xlfn.XLOOKUP(Compliance_Sheet!A234,Vendor_Master!A234,Vendor_Master!B234,"")</f>
        <v>Vendor_233</v>
      </c>
      <c r="C234" t="str">
        <f>_xlfn.XLOOKUP(A234,Vendor_Master!A234,Vendor_Master!C234,"")</f>
        <v>Marine Services</v>
      </c>
      <c r="D234" t="str">
        <f>_xlfn.XLOOKUP(A234,Vendor_Master!A234,Vendor_Master!D234,"")</f>
        <v>West</v>
      </c>
      <c r="E234">
        <f>_xlfn.XLOOKUP(A234,Vendor_Master!A234,Vendor_Master!E234,0)</f>
        <v>203379</v>
      </c>
      <c r="F234" t="str">
        <f>_xlfn.XLOOKUP(A234,Vendor_Master!A234,Vendor_Master!H234,"")</f>
        <v>contact233@vendor.com</v>
      </c>
      <c r="G234">
        <f ca="1">COUNTIFS(Sustainability_Documents!$A:$A,$A234,Sustainability_Documents!$H:$H,"Missing")</f>
        <v>0</v>
      </c>
      <c r="H234">
        <f ca="1">COUNTIFS(Sustainability_Documents!$A:$A,$A234,Sustainability_Documents!$H:$H,"Expired")</f>
        <v>0</v>
      </c>
      <c r="I234">
        <f ca="1">COUNTIFS(Sustainability_Documents!$A:$A,$A234,Sustainability_Documents!$H:$H,"Expiring Soon")</f>
        <v>4</v>
      </c>
      <c r="J234">
        <f>COUNTIFS(Sustainability_Documents!$A:$A,$A234,Sustainability_Documents!$C:$C,"Yes")</f>
        <v>4</v>
      </c>
      <c r="K234">
        <f ca="1">IF($J234=0,"",($J234-$G234-$H234)/$J234)</f>
        <v>1</v>
      </c>
      <c r="L234">
        <f ca="1">COUNTIFS(OutReach_Log!$A:$A,$A234,OutReach_Log!$G:$G,"Yes")</f>
        <v>0</v>
      </c>
      <c r="M234">
        <f>COUNTIFS(OutReach_Log!$A:$A,$A234,OutReach_Log!$E:$E,"Pending")
 +COUNTIFS(OutReach_Log!$A:$A,$A234,OutReach_Log!$E:$E,"Escalated")</f>
        <v>1</v>
      </c>
      <c r="N234">
        <f>COUNTIFS(Incident_Log!$A:$A,$A234,Incident_Log!$C:$C,"High",Incident_Log!$E:$E,"No")</f>
        <v>0</v>
      </c>
      <c r="O234" t="str">
        <f t="shared" ca="1" si="3"/>
        <v>High Attention Required</v>
      </c>
      <c r="P234">
        <f ca="1">($G234*40)+($H234*30)+($I234*10)+($N234*50)+IF($L234&gt;0,20,0)</f>
        <v>40</v>
      </c>
      <c r="Q234">
        <f ca="1">E234*(P234/100)</f>
        <v>81351.600000000006</v>
      </c>
      <c r="R234">
        <f ca="1">_xlfn.RANK.EQ($Q234,$Q$2:$Q$401,0)</f>
        <v>156</v>
      </c>
    </row>
    <row r="235" spans="1:18">
      <c r="A235" t="str" cm="1">
        <f t="array" ref="A235">_xlfn._xlws.SORT(Vendor_Master!A235)</f>
        <v>VND-234</v>
      </c>
      <c r="B235" t="str">
        <f>_xlfn.XLOOKUP(Compliance_Sheet!A235,Vendor_Master!A235,Vendor_Master!B235,"")</f>
        <v>Vendor_234</v>
      </c>
      <c r="C235" t="str">
        <f>_xlfn.XLOOKUP(A235,Vendor_Master!A235,Vendor_Master!C235,"")</f>
        <v>Marine Services</v>
      </c>
      <c r="D235" t="str">
        <f>_xlfn.XLOOKUP(A235,Vendor_Master!A235,Vendor_Master!D235,"")</f>
        <v>West</v>
      </c>
      <c r="E235">
        <f>_xlfn.XLOOKUP(A235,Vendor_Master!A235,Vendor_Master!E235,0)</f>
        <v>243388</v>
      </c>
      <c r="F235" t="str">
        <f>_xlfn.XLOOKUP(A235,Vendor_Master!A235,Vendor_Master!H235,"")</f>
        <v>contact234@vendor.com</v>
      </c>
      <c r="G235">
        <f ca="1">COUNTIFS(Sustainability_Documents!$A:$A,$A235,Sustainability_Documents!$H:$H,"Missing")</f>
        <v>0</v>
      </c>
      <c r="H235">
        <f ca="1">COUNTIFS(Sustainability_Documents!$A:$A,$A235,Sustainability_Documents!$H:$H,"Expired")</f>
        <v>0</v>
      </c>
      <c r="I235">
        <f ca="1">COUNTIFS(Sustainability_Documents!$A:$A,$A235,Sustainability_Documents!$H:$H,"Expiring Soon")</f>
        <v>4</v>
      </c>
      <c r="J235">
        <f>COUNTIFS(Sustainability_Documents!$A:$A,$A235,Sustainability_Documents!$C:$C,"Yes")</f>
        <v>4</v>
      </c>
      <c r="K235">
        <f ca="1">IF($J235=0,"",($J235-$G235-$H235)/$J235)</f>
        <v>1</v>
      </c>
      <c r="L235">
        <f ca="1">COUNTIFS(OutReach_Log!$A:$A,$A235,OutReach_Log!$G:$G,"Yes")</f>
        <v>0</v>
      </c>
      <c r="M235">
        <f>COUNTIFS(OutReach_Log!$A:$A,$A235,OutReach_Log!$E:$E,"Pending")
 +COUNTIFS(OutReach_Log!$A:$A,$A235,OutReach_Log!$E:$E,"Escalated")</f>
        <v>0</v>
      </c>
      <c r="N235">
        <f>COUNTIFS(Incident_Log!$A:$A,$A235,Incident_Log!$C:$C,"High",Incident_Log!$E:$E,"No")</f>
        <v>0</v>
      </c>
      <c r="O235" t="str">
        <f t="shared" ca="1" si="3"/>
        <v>High Attention Required</v>
      </c>
      <c r="P235">
        <f ca="1">($G235*40)+($H235*30)+($I235*10)+($N235*50)+IF($L235&gt;0,20,0)</f>
        <v>40</v>
      </c>
      <c r="Q235">
        <f ca="1">E235*(P235/100)</f>
        <v>97355.200000000012</v>
      </c>
      <c r="R235">
        <f ca="1">_xlfn.RANK.EQ($Q235,$Q$2:$Q$401,0)</f>
        <v>147</v>
      </c>
    </row>
    <row r="236" spans="1:18">
      <c r="A236" t="str" cm="1">
        <f t="array" ref="A236">_xlfn._xlws.SORT(Vendor_Master!A236)</f>
        <v>VND-235</v>
      </c>
      <c r="B236" t="str">
        <f>_xlfn.XLOOKUP(Compliance_Sheet!A236,Vendor_Master!A236,Vendor_Master!B236,"")</f>
        <v>Vendor_235</v>
      </c>
      <c r="C236" t="str">
        <f>_xlfn.XLOOKUP(A236,Vendor_Master!A236,Vendor_Master!C236,"")</f>
        <v>Marine Services</v>
      </c>
      <c r="D236" t="str">
        <f>_xlfn.XLOOKUP(A236,Vendor_Master!A236,Vendor_Master!D236,"")</f>
        <v>West</v>
      </c>
      <c r="E236">
        <f>_xlfn.XLOOKUP(A236,Vendor_Master!A236,Vendor_Master!E236,0)</f>
        <v>188219</v>
      </c>
      <c r="F236" t="str">
        <f>_xlfn.XLOOKUP(A236,Vendor_Master!A236,Vendor_Master!H236,"")</f>
        <v>contact235@vendor.com</v>
      </c>
      <c r="G236">
        <f ca="1">COUNTIFS(Sustainability_Documents!$A:$A,$A236,Sustainability_Documents!$H:$H,"Missing")</f>
        <v>0</v>
      </c>
      <c r="H236">
        <f ca="1">COUNTIFS(Sustainability_Documents!$A:$A,$A236,Sustainability_Documents!$H:$H,"Expired")</f>
        <v>0</v>
      </c>
      <c r="I236">
        <f ca="1">COUNTIFS(Sustainability_Documents!$A:$A,$A236,Sustainability_Documents!$H:$H,"Expiring Soon")</f>
        <v>4</v>
      </c>
      <c r="J236">
        <f>COUNTIFS(Sustainability_Documents!$A:$A,$A236,Sustainability_Documents!$C:$C,"Yes")</f>
        <v>4</v>
      </c>
      <c r="K236">
        <f ca="1">IF($J236=0,"",($J236-$G236-$H236)/$J236)</f>
        <v>1</v>
      </c>
      <c r="L236">
        <f ca="1">COUNTIFS(OutReach_Log!$A:$A,$A236,OutReach_Log!$G:$G,"Yes")</f>
        <v>0</v>
      </c>
      <c r="M236">
        <f>COUNTIFS(OutReach_Log!$A:$A,$A236,OutReach_Log!$E:$E,"Pending")
 +COUNTIFS(OutReach_Log!$A:$A,$A236,OutReach_Log!$E:$E,"Escalated")</f>
        <v>0</v>
      </c>
      <c r="N236">
        <f>COUNTIFS(Incident_Log!$A:$A,$A236,Incident_Log!$C:$C,"High",Incident_Log!$E:$E,"No")</f>
        <v>0</v>
      </c>
      <c r="O236" t="str">
        <f t="shared" ca="1" si="3"/>
        <v>High Attention Required</v>
      </c>
      <c r="P236">
        <f ca="1">($G236*40)+($H236*30)+($I236*10)+($N236*50)+IF($L236&gt;0,20,0)</f>
        <v>40</v>
      </c>
      <c r="Q236">
        <f ca="1">E236*(P236/100)</f>
        <v>75287.600000000006</v>
      </c>
      <c r="R236">
        <f ca="1">_xlfn.RANK.EQ($Q236,$Q$2:$Q$401,0)</f>
        <v>164</v>
      </c>
    </row>
    <row r="237" spans="1:18">
      <c r="A237" t="str" cm="1">
        <f t="array" ref="A237">_xlfn._xlws.SORT(Vendor_Master!A237)</f>
        <v>VND-236</v>
      </c>
      <c r="B237" t="str">
        <f>_xlfn.XLOOKUP(Compliance_Sheet!A237,Vendor_Master!A237,Vendor_Master!B237,"")</f>
        <v>Vendor_236</v>
      </c>
      <c r="C237" t="str">
        <f>_xlfn.XLOOKUP(A237,Vendor_Master!A237,Vendor_Master!C237,"")</f>
        <v>Marine Services</v>
      </c>
      <c r="D237" t="str">
        <f>_xlfn.XLOOKUP(A237,Vendor_Master!A237,Vendor_Master!D237,"")</f>
        <v>West</v>
      </c>
      <c r="E237">
        <f>_xlfn.XLOOKUP(A237,Vendor_Master!A237,Vendor_Master!E237,0)</f>
        <v>202410</v>
      </c>
      <c r="F237" t="str">
        <f>_xlfn.XLOOKUP(A237,Vendor_Master!A237,Vendor_Master!H237,"")</f>
        <v>contact236@vendor.com</v>
      </c>
      <c r="G237">
        <f ca="1">COUNTIFS(Sustainability_Documents!$A:$A,$A237,Sustainability_Documents!$H:$H,"Missing")</f>
        <v>0</v>
      </c>
      <c r="H237">
        <f ca="1">COUNTIFS(Sustainability_Documents!$A:$A,$A237,Sustainability_Documents!$H:$H,"Expired")</f>
        <v>0</v>
      </c>
      <c r="I237">
        <f ca="1">COUNTIFS(Sustainability_Documents!$A:$A,$A237,Sustainability_Documents!$H:$H,"Expiring Soon")</f>
        <v>4</v>
      </c>
      <c r="J237">
        <f>COUNTIFS(Sustainability_Documents!$A:$A,$A237,Sustainability_Documents!$C:$C,"Yes")</f>
        <v>4</v>
      </c>
      <c r="K237">
        <f ca="1">IF($J237=0,"",($J237-$G237-$H237)/$J237)</f>
        <v>1</v>
      </c>
      <c r="L237">
        <f ca="1">COUNTIFS(OutReach_Log!$A:$A,$A237,OutReach_Log!$G:$G,"Yes")</f>
        <v>0</v>
      </c>
      <c r="M237">
        <f>COUNTIFS(OutReach_Log!$A:$A,$A237,OutReach_Log!$E:$E,"Pending")
 +COUNTIFS(OutReach_Log!$A:$A,$A237,OutReach_Log!$E:$E,"Escalated")</f>
        <v>0</v>
      </c>
      <c r="N237">
        <f>COUNTIFS(Incident_Log!$A:$A,$A237,Incident_Log!$C:$C,"High",Incident_Log!$E:$E,"No")</f>
        <v>0</v>
      </c>
      <c r="O237" t="str">
        <f t="shared" ca="1" si="3"/>
        <v>High Attention Required</v>
      </c>
      <c r="P237">
        <f ca="1">($G237*40)+($H237*30)+($I237*10)+($N237*50)+IF($L237&gt;0,20,0)</f>
        <v>40</v>
      </c>
      <c r="Q237">
        <f ca="1">E237*(P237/100)</f>
        <v>80964</v>
      </c>
      <c r="R237">
        <f ca="1">_xlfn.RANK.EQ($Q237,$Q$2:$Q$401,0)</f>
        <v>157</v>
      </c>
    </row>
    <row r="238" spans="1:18">
      <c r="A238" t="str" cm="1">
        <f t="array" ref="A238">_xlfn._xlws.SORT(Vendor_Master!A238)</f>
        <v>VND-237</v>
      </c>
      <c r="B238" t="str">
        <f>_xlfn.XLOOKUP(Compliance_Sheet!A238,Vendor_Master!A238,Vendor_Master!B238,"")</f>
        <v>Vendor_237</v>
      </c>
      <c r="C238" t="str">
        <f>_xlfn.XLOOKUP(A238,Vendor_Master!A238,Vendor_Master!C238,"")</f>
        <v>Marine Services</v>
      </c>
      <c r="D238" t="str">
        <f>_xlfn.XLOOKUP(A238,Vendor_Master!A238,Vendor_Master!D238,"")</f>
        <v>West</v>
      </c>
      <c r="E238">
        <f>_xlfn.XLOOKUP(A238,Vendor_Master!A238,Vendor_Master!E238,0)</f>
        <v>236215</v>
      </c>
      <c r="F238" t="str">
        <f>_xlfn.XLOOKUP(A238,Vendor_Master!A238,Vendor_Master!H238,"")</f>
        <v>contact237@vendor.com</v>
      </c>
      <c r="G238">
        <f ca="1">COUNTIFS(Sustainability_Documents!$A:$A,$A238,Sustainability_Documents!$H:$H,"Missing")</f>
        <v>0</v>
      </c>
      <c r="H238">
        <f ca="1">COUNTIFS(Sustainability_Documents!$A:$A,$A238,Sustainability_Documents!$H:$H,"Expired")</f>
        <v>0</v>
      </c>
      <c r="I238">
        <f ca="1">COUNTIFS(Sustainability_Documents!$A:$A,$A238,Sustainability_Documents!$H:$H,"Expiring Soon")</f>
        <v>4</v>
      </c>
      <c r="J238">
        <f>COUNTIFS(Sustainability_Documents!$A:$A,$A238,Sustainability_Documents!$C:$C,"Yes")</f>
        <v>4</v>
      </c>
      <c r="K238">
        <f ca="1">IF($J238=0,"",($J238-$G238-$H238)/$J238)</f>
        <v>1</v>
      </c>
      <c r="L238">
        <f ca="1">COUNTIFS(OutReach_Log!$A:$A,$A238,OutReach_Log!$G:$G,"Yes")</f>
        <v>0</v>
      </c>
      <c r="M238">
        <f>COUNTIFS(OutReach_Log!$A:$A,$A238,OutReach_Log!$E:$E,"Pending")
 +COUNTIFS(OutReach_Log!$A:$A,$A238,OutReach_Log!$E:$E,"Escalated")</f>
        <v>1</v>
      </c>
      <c r="N238">
        <f>COUNTIFS(Incident_Log!$A:$A,$A238,Incident_Log!$C:$C,"High",Incident_Log!$E:$E,"No")</f>
        <v>0</v>
      </c>
      <c r="O238" t="str">
        <f t="shared" ca="1" si="3"/>
        <v>High Attention Required</v>
      </c>
      <c r="P238">
        <f ca="1">($G238*40)+($H238*30)+($I238*10)+($N238*50)+IF($L238&gt;0,20,0)</f>
        <v>40</v>
      </c>
      <c r="Q238">
        <f ca="1">E238*(P238/100)</f>
        <v>94486</v>
      </c>
      <c r="R238">
        <f ca="1">_xlfn.RANK.EQ($Q238,$Q$2:$Q$401,0)</f>
        <v>151</v>
      </c>
    </row>
    <row r="239" spans="1:18">
      <c r="A239" t="str" cm="1">
        <f t="array" ref="A239">_xlfn._xlws.SORT(Vendor_Master!A239)</f>
        <v>VND-238</v>
      </c>
      <c r="B239" t="str">
        <f>_xlfn.XLOOKUP(Compliance_Sheet!A239,Vendor_Master!A239,Vendor_Master!B239,"")</f>
        <v>Vendor_238</v>
      </c>
      <c r="C239" t="str">
        <f>_xlfn.XLOOKUP(A239,Vendor_Master!A239,Vendor_Master!C239,"")</f>
        <v>Marine Services</v>
      </c>
      <c r="D239" t="str">
        <f>_xlfn.XLOOKUP(A239,Vendor_Master!A239,Vendor_Master!D239,"")</f>
        <v>West</v>
      </c>
      <c r="E239">
        <f>_xlfn.XLOOKUP(A239,Vendor_Master!A239,Vendor_Master!E239,0)</f>
        <v>237784</v>
      </c>
      <c r="F239" t="str">
        <f>_xlfn.XLOOKUP(A239,Vendor_Master!A239,Vendor_Master!H239,"")</f>
        <v>contact238@vendor.com</v>
      </c>
      <c r="G239">
        <f ca="1">COUNTIFS(Sustainability_Documents!$A:$A,$A239,Sustainability_Documents!$H:$H,"Missing")</f>
        <v>0</v>
      </c>
      <c r="H239">
        <f ca="1">COUNTIFS(Sustainability_Documents!$A:$A,$A239,Sustainability_Documents!$H:$H,"Expired")</f>
        <v>0</v>
      </c>
      <c r="I239">
        <f ca="1">COUNTIFS(Sustainability_Documents!$A:$A,$A239,Sustainability_Documents!$H:$H,"Expiring Soon")</f>
        <v>4</v>
      </c>
      <c r="J239">
        <f>COUNTIFS(Sustainability_Documents!$A:$A,$A239,Sustainability_Documents!$C:$C,"Yes")</f>
        <v>4</v>
      </c>
      <c r="K239">
        <f ca="1">IF($J239=0,"",($J239-$G239-$H239)/$J239)</f>
        <v>1</v>
      </c>
      <c r="L239">
        <f ca="1">COUNTIFS(OutReach_Log!$A:$A,$A239,OutReach_Log!$G:$G,"Yes")</f>
        <v>0</v>
      </c>
      <c r="M239">
        <f>COUNTIFS(OutReach_Log!$A:$A,$A239,OutReach_Log!$E:$E,"Pending")
 +COUNTIFS(OutReach_Log!$A:$A,$A239,OutReach_Log!$E:$E,"Escalated")</f>
        <v>1</v>
      </c>
      <c r="N239">
        <f>COUNTIFS(Incident_Log!$A:$A,$A239,Incident_Log!$C:$C,"High",Incident_Log!$E:$E,"No")</f>
        <v>0</v>
      </c>
      <c r="O239" t="str">
        <f t="shared" ca="1" si="3"/>
        <v>High Attention Required</v>
      </c>
      <c r="P239">
        <f ca="1">($G239*40)+($H239*30)+($I239*10)+($N239*50)+IF($L239&gt;0,20,0)</f>
        <v>40</v>
      </c>
      <c r="Q239">
        <f ca="1">E239*(P239/100)</f>
        <v>95113.600000000006</v>
      </c>
      <c r="R239">
        <f ca="1">_xlfn.RANK.EQ($Q239,$Q$2:$Q$401,0)</f>
        <v>150</v>
      </c>
    </row>
    <row r="240" spans="1:18">
      <c r="A240" t="str" cm="1">
        <f t="array" ref="A240">_xlfn._xlws.SORT(Vendor_Master!A240)</f>
        <v>VND-239</v>
      </c>
      <c r="B240" t="str">
        <f>_xlfn.XLOOKUP(Compliance_Sheet!A240,Vendor_Master!A240,Vendor_Master!B240,"")</f>
        <v>Vendor_239</v>
      </c>
      <c r="C240" t="str">
        <f>_xlfn.XLOOKUP(A240,Vendor_Master!A240,Vendor_Master!C240,"")</f>
        <v>Marine Services</v>
      </c>
      <c r="D240" t="str">
        <f>_xlfn.XLOOKUP(A240,Vendor_Master!A240,Vendor_Master!D240,"")</f>
        <v>West</v>
      </c>
      <c r="E240">
        <f>_xlfn.XLOOKUP(A240,Vendor_Master!A240,Vendor_Master!E240,0)</f>
        <v>109136</v>
      </c>
      <c r="F240" t="str">
        <f>_xlfn.XLOOKUP(A240,Vendor_Master!A240,Vendor_Master!H240,"")</f>
        <v>contact239@vendor.com</v>
      </c>
      <c r="G240">
        <f ca="1">COUNTIFS(Sustainability_Documents!$A:$A,$A240,Sustainability_Documents!$H:$H,"Missing")</f>
        <v>0</v>
      </c>
      <c r="H240">
        <f ca="1">COUNTIFS(Sustainability_Documents!$A:$A,$A240,Sustainability_Documents!$H:$H,"Expired")</f>
        <v>0</v>
      </c>
      <c r="I240">
        <f ca="1">COUNTIFS(Sustainability_Documents!$A:$A,$A240,Sustainability_Documents!$H:$H,"Expiring Soon")</f>
        <v>4</v>
      </c>
      <c r="J240">
        <f>COUNTIFS(Sustainability_Documents!$A:$A,$A240,Sustainability_Documents!$C:$C,"Yes")</f>
        <v>4</v>
      </c>
      <c r="K240">
        <f ca="1">IF($J240=0,"",($J240-$G240-$H240)/$J240)</f>
        <v>1</v>
      </c>
      <c r="L240">
        <f ca="1">COUNTIFS(OutReach_Log!$A:$A,$A240,OutReach_Log!$G:$G,"Yes")</f>
        <v>0</v>
      </c>
      <c r="M240">
        <f>COUNTIFS(OutReach_Log!$A:$A,$A240,OutReach_Log!$E:$E,"Pending")
 +COUNTIFS(OutReach_Log!$A:$A,$A240,OutReach_Log!$E:$E,"Escalated")</f>
        <v>1</v>
      </c>
      <c r="N240">
        <f>COUNTIFS(Incident_Log!$A:$A,$A240,Incident_Log!$C:$C,"High",Incident_Log!$E:$E,"No")</f>
        <v>0</v>
      </c>
      <c r="O240" t="str">
        <f t="shared" ca="1" si="3"/>
        <v>High Attention Required</v>
      </c>
      <c r="P240">
        <f ca="1">($G240*40)+($H240*30)+($I240*10)+($N240*50)+IF($L240&gt;0,20,0)</f>
        <v>40</v>
      </c>
      <c r="Q240">
        <f ca="1">E240*(P240/100)</f>
        <v>43654.400000000001</v>
      </c>
      <c r="R240">
        <f ca="1">_xlfn.RANK.EQ($Q240,$Q$2:$Q$401,0)</f>
        <v>173</v>
      </c>
    </row>
    <row r="241" spans="1:18">
      <c r="A241" t="str" cm="1">
        <f t="array" ref="A241">_xlfn._xlws.SORT(Vendor_Master!A241)</f>
        <v>VND-240</v>
      </c>
      <c r="B241" t="str">
        <f>_xlfn.XLOOKUP(Compliance_Sheet!A241,Vendor_Master!A241,Vendor_Master!B241,"")</f>
        <v>Vendor_240</v>
      </c>
      <c r="C241" t="str">
        <f>_xlfn.XLOOKUP(A241,Vendor_Master!A241,Vendor_Master!C241,"")</f>
        <v>Chemical Supply</v>
      </c>
      <c r="D241" t="str">
        <f>_xlfn.XLOOKUP(A241,Vendor_Master!A241,Vendor_Master!D241,"")</f>
        <v>West</v>
      </c>
      <c r="E241">
        <f>_xlfn.XLOOKUP(A241,Vendor_Master!A241,Vendor_Master!E241,0)</f>
        <v>223223</v>
      </c>
      <c r="F241" t="str">
        <f>_xlfn.XLOOKUP(A241,Vendor_Master!A241,Vendor_Master!H241,"")</f>
        <v>contact240@vendor.com</v>
      </c>
      <c r="G241">
        <f ca="1">COUNTIFS(Sustainability_Documents!$A:$A,$A241,Sustainability_Documents!$H:$H,"Missing")</f>
        <v>0</v>
      </c>
      <c r="H241">
        <f ca="1">COUNTIFS(Sustainability_Documents!$A:$A,$A241,Sustainability_Documents!$H:$H,"Expired")</f>
        <v>1</v>
      </c>
      <c r="I241">
        <f ca="1">COUNTIFS(Sustainability_Documents!$A:$A,$A241,Sustainability_Documents!$H:$H,"Expiring Soon")</f>
        <v>3</v>
      </c>
      <c r="J241">
        <f>COUNTIFS(Sustainability_Documents!$A:$A,$A241,Sustainability_Documents!$C:$C,"Yes")</f>
        <v>4</v>
      </c>
      <c r="K241">
        <f ca="1">IF($J241=0,"",($J241-$G241-$H241)/$J241)</f>
        <v>0.75</v>
      </c>
      <c r="L241">
        <f ca="1">COUNTIFS(OutReach_Log!$A:$A,$A241,OutReach_Log!$G:$G,"Yes")</f>
        <v>1</v>
      </c>
      <c r="M241">
        <f>COUNTIFS(OutReach_Log!$A:$A,$A241,OutReach_Log!$E:$E,"Pending")
 +COUNTIFS(OutReach_Log!$A:$A,$A241,OutReach_Log!$E:$E,"Escalated")</f>
        <v>1</v>
      </c>
      <c r="N241">
        <f>COUNTIFS(Incident_Log!$A:$A,$A241,Incident_Log!$C:$C,"High",Incident_Log!$E:$E,"No")</f>
        <v>0</v>
      </c>
      <c r="O241" t="str">
        <f t="shared" ca="1" si="3"/>
        <v>High Attention Required</v>
      </c>
      <c r="P241">
        <f ca="1">($G241*40)+($H241*30)+($I241*10)+($N241*50)+IF($L241&gt;0,20,0)</f>
        <v>80</v>
      </c>
      <c r="Q241">
        <f ca="1">E241*(P241/100)</f>
        <v>178578.40000000002</v>
      </c>
      <c r="R241">
        <f ca="1">_xlfn.RANK.EQ($Q241,$Q$2:$Q$401,0)</f>
        <v>128</v>
      </c>
    </row>
    <row r="242" spans="1:18">
      <c r="A242" t="str" cm="1">
        <f t="array" ref="A242">_xlfn._xlws.SORT(Vendor_Master!A242)</f>
        <v>VND-241</v>
      </c>
      <c r="B242" t="str">
        <f>_xlfn.XLOOKUP(Compliance_Sheet!A242,Vendor_Master!A242,Vendor_Master!B242,"")</f>
        <v>Vendor_241</v>
      </c>
      <c r="C242" t="str">
        <f>_xlfn.XLOOKUP(A242,Vendor_Master!A242,Vendor_Master!C242,"")</f>
        <v>Chemical Supply</v>
      </c>
      <c r="D242" t="str">
        <f>_xlfn.XLOOKUP(A242,Vendor_Master!A242,Vendor_Master!D242,"")</f>
        <v>West</v>
      </c>
      <c r="E242">
        <f>_xlfn.XLOOKUP(A242,Vendor_Master!A242,Vendor_Master!E242,0)</f>
        <v>195253</v>
      </c>
      <c r="F242" t="str">
        <f>_xlfn.XLOOKUP(A242,Vendor_Master!A242,Vendor_Master!H242,"")</f>
        <v>contact241@vendor.com</v>
      </c>
      <c r="G242">
        <f ca="1">COUNTIFS(Sustainability_Documents!$A:$A,$A242,Sustainability_Documents!$H:$H,"Missing")</f>
        <v>0</v>
      </c>
      <c r="H242">
        <f ca="1">COUNTIFS(Sustainability_Documents!$A:$A,$A242,Sustainability_Documents!$H:$H,"Expired")</f>
        <v>0</v>
      </c>
      <c r="I242">
        <f ca="1">COUNTIFS(Sustainability_Documents!$A:$A,$A242,Sustainability_Documents!$H:$H,"Expiring Soon")</f>
        <v>4</v>
      </c>
      <c r="J242">
        <f>COUNTIFS(Sustainability_Documents!$A:$A,$A242,Sustainability_Documents!$C:$C,"Yes")</f>
        <v>4</v>
      </c>
      <c r="K242">
        <f ca="1">IF($J242=0,"",($J242-$G242-$H242)/$J242)</f>
        <v>1</v>
      </c>
      <c r="L242">
        <f ca="1">COUNTIFS(OutReach_Log!$A:$A,$A242,OutReach_Log!$G:$G,"Yes")</f>
        <v>0</v>
      </c>
      <c r="M242">
        <f>COUNTIFS(OutReach_Log!$A:$A,$A242,OutReach_Log!$E:$E,"Pending")
 +COUNTIFS(OutReach_Log!$A:$A,$A242,OutReach_Log!$E:$E,"Escalated")</f>
        <v>1</v>
      </c>
      <c r="N242">
        <f>COUNTIFS(Incident_Log!$A:$A,$A242,Incident_Log!$C:$C,"High",Incident_Log!$E:$E,"No")</f>
        <v>0</v>
      </c>
      <c r="O242" t="str">
        <f t="shared" ca="1" si="3"/>
        <v>High Attention Required</v>
      </c>
      <c r="P242">
        <f ca="1">($G242*40)+($H242*30)+($I242*10)+($N242*50)+IF($L242&gt;0,20,0)</f>
        <v>40</v>
      </c>
      <c r="Q242">
        <f ca="1">E242*(P242/100)</f>
        <v>78101.2</v>
      </c>
      <c r="R242">
        <f ca="1">_xlfn.RANK.EQ($Q242,$Q$2:$Q$401,0)</f>
        <v>159</v>
      </c>
    </row>
    <row r="243" spans="1:18">
      <c r="A243" t="str" cm="1">
        <f t="array" ref="A243">_xlfn._xlws.SORT(Vendor_Master!A243)</f>
        <v>VND-242</v>
      </c>
      <c r="B243" t="str">
        <f>_xlfn.XLOOKUP(Compliance_Sheet!A243,Vendor_Master!A243,Vendor_Master!B243,"")</f>
        <v>Vendor_242</v>
      </c>
      <c r="C243" t="str">
        <f>_xlfn.XLOOKUP(A243,Vendor_Master!A243,Vendor_Master!C243,"")</f>
        <v>Chemical Supply</v>
      </c>
      <c r="D243" t="str">
        <f>_xlfn.XLOOKUP(A243,Vendor_Master!A243,Vendor_Master!D243,"")</f>
        <v>West</v>
      </c>
      <c r="E243">
        <f>_xlfn.XLOOKUP(A243,Vendor_Master!A243,Vendor_Master!E243,0)</f>
        <v>63671</v>
      </c>
      <c r="F243" t="str">
        <f>_xlfn.XLOOKUP(A243,Vendor_Master!A243,Vendor_Master!H243,"")</f>
        <v>contact242@vendor.com</v>
      </c>
      <c r="G243">
        <f ca="1">COUNTIFS(Sustainability_Documents!$A:$A,$A243,Sustainability_Documents!$H:$H,"Missing")</f>
        <v>0</v>
      </c>
      <c r="H243">
        <f ca="1">COUNTIFS(Sustainability_Documents!$A:$A,$A243,Sustainability_Documents!$H:$H,"Expired")</f>
        <v>0</v>
      </c>
      <c r="I243">
        <f ca="1">COUNTIFS(Sustainability_Documents!$A:$A,$A243,Sustainability_Documents!$H:$H,"Expiring Soon")</f>
        <v>4</v>
      </c>
      <c r="J243">
        <f>COUNTIFS(Sustainability_Documents!$A:$A,$A243,Sustainability_Documents!$C:$C,"Yes")</f>
        <v>4</v>
      </c>
      <c r="K243">
        <f ca="1">IF($J243=0,"",($J243-$G243-$H243)/$J243)</f>
        <v>1</v>
      </c>
      <c r="L243">
        <f ca="1">COUNTIFS(OutReach_Log!$A:$A,$A243,OutReach_Log!$G:$G,"Yes")</f>
        <v>0</v>
      </c>
      <c r="M243">
        <f>COUNTIFS(OutReach_Log!$A:$A,$A243,OutReach_Log!$E:$E,"Pending")
 +COUNTIFS(OutReach_Log!$A:$A,$A243,OutReach_Log!$E:$E,"Escalated")</f>
        <v>1</v>
      </c>
      <c r="N243">
        <f>COUNTIFS(Incident_Log!$A:$A,$A243,Incident_Log!$C:$C,"High",Incident_Log!$E:$E,"No")</f>
        <v>0</v>
      </c>
      <c r="O243" t="str">
        <f t="shared" ca="1" si="3"/>
        <v>High Attention Required</v>
      </c>
      <c r="P243">
        <f ca="1">($G243*40)+($H243*30)+($I243*10)+($N243*50)+IF($L243&gt;0,20,0)</f>
        <v>40</v>
      </c>
      <c r="Q243">
        <f ca="1">E243*(P243/100)</f>
        <v>25468.400000000001</v>
      </c>
      <c r="R243">
        <f ca="1">_xlfn.RANK.EQ($Q243,$Q$2:$Q$401,0)</f>
        <v>178</v>
      </c>
    </row>
    <row r="244" spans="1:18">
      <c r="A244" t="str" cm="1">
        <f t="array" ref="A244">_xlfn._xlws.SORT(Vendor_Master!A244)</f>
        <v>VND-243</v>
      </c>
      <c r="B244" t="str">
        <f>_xlfn.XLOOKUP(Compliance_Sheet!A244,Vendor_Master!A244,Vendor_Master!B244,"")</f>
        <v>Vendor_243</v>
      </c>
      <c r="C244" t="str">
        <f>_xlfn.XLOOKUP(A244,Vendor_Master!A244,Vendor_Master!C244,"")</f>
        <v>Chemical Supply</v>
      </c>
      <c r="D244" t="str">
        <f>_xlfn.XLOOKUP(A244,Vendor_Master!A244,Vendor_Master!D244,"")</f>
        <v>West</v>
      </c>
      <c r="E244">
        <f>_xlfn.XLOOKUP(A244,Vendor_Master!A244,Vendor_Master!E244,0)</f>
        <v>126560</v>
      </c>
      <c r="F244" t="str">
        <f>_xlfn.XLOOKUP(A244,Vendor_Master!A244,Vendor_Master!H244,"")</f>
        <v>contact243@vendor.com</v>
      </c>
      <c r="G244">
        <f ca="1">COUNTIFS(Sustainability_Documents!$A:$A,$A244,Sustainability_Documents!$H:$H,"Missing")</f>
        <v>0</v>
      </c>
      <c r="H244">
        <f ca="1">COUNTIFS(Sustainability_Documents!$A:$A,$A244,Sustainability_Documents!$H:$H,"Expired")</f>
        <v>0</v>
      </c>
      <c r="I244">
        <f ca="1">COUNTIFS(Sustainability_Documents!$A:$A,$A244,Sustainability_Documents!$H:$H,"Expiring Soon")</f>
        <v>4</v>
      </c>
      <c r="J244">
        <f>COUNTIFS(Sustainability_Documents!$A:$A,$A244,Sustainability_Documents!$C:$C,"Yes")</f>
        <v>4</v>
      </c>
      <c r="K244">
        <f ca="1">IF($J244=0,"",($J244-$G244-$H244)/$J244)</f>
        <v>1</v>
      </c>
      <c r="L244">
        <f ca="1">COUNTIFS(OutReach_Log!$A:$A,$A244,OutReach_Log!$G:$G,"Yes")</f>
        <v>0</v>
      </c>
      <c r="M244">
        <f>COUNTIFS(OutReach_Log!$A:$A,$A244,OutReach_Log!$E:$E,"Pending")
 +COUNTIFS(OutReach_Log!$A:$A,$A244,OutReach_Log!$E:$E,"Escalated")</f>
        <v>1</v>
      </c>
      <c r="N244">
        <f>COUNTIFS(Incident_Log!$A:$A,$A244,Incident_Log!$C:$C,"High",Incident_Log!$E:$E,"No")</f>
        <v>0</v>
      </c>
      <c r="O244" t="str">
        <f t="shared" ca="1" si="3"/>
        <v>High Attention Required</v>
      </c>
      <c r="P244">
        <f ca="1">($G244*40)+($H244*30)+($I244*10)+($N244*50)+IF($L244&gt;0,20,0)</f>
        <v>40</v>
      </c>
      <c r="Q244">
        <f ca="1">E244*(P244/100)</f>
        <v>50624</v>
      </c>
      <c r="R244">
        <f ca="1">_xlfn.RANK.EQ($Q244,$Q$2:$Q$401,0)</f>
        <v>170</v>
      </c>
    </row>
    <row r="245" spans="1:18">
      <c r="A245" t="str" cm="1">
        <f t="array" ref="A245">_xlfn._xlws.SORT(Vendor_Master!A245)</f>
        <v>VND-244</v>
      </c>
      <c r="B245" t="str">
        <f>_xlfn.XLOOKUP(Compliance_Sheet!A245,Vendor_Master!A245,Vendor_Master!B245,"")</f>
        <v>Vendor_244</v>
      </c>
      <c r="C245" t="str">
        <f>_xlfn.XLOOKUP(A245,Vendor_Master!A245,Vendor_Master!C245,"")</f>
        <v>Chemical Supply</v>
      </c>
      <c r="D245" t="str">
        <f>_xlfn.XLOOKUP(A245,Vendor_Master!A245,Vendor_Master!D245,"")</f>
        <v>West</v>
      </c>
      <c r="E245">
        <f>_xlfn.XLOOKUP(A245,Vendor_Master!A245,Vendor_Master!E245,0)</f>
        <v>145068</v>
      </c>
      <c r="F245" t="str">
        <f>_xlfn.XLOOKUP(A245,Vendor_Master!A245,Vendor_Master!H245,"")</f>
        <v>contact244@vendor.com</v>
      </c>
      <c r="G245">
        <f ca="1">COUNTIFS(Sustainability_Documents!$A:$A,$A245,Sustainability_Documents!$H:$H,"Missing")</f>
        <v>0</v>
      </c>
      <c r="H245">
        <f ca="1">COUNTIFS(Sustainability_Documents!$A:$A,$A245,Sustainability_Documents!$H:$H,"Expired")</f>
        <v>0</v>
      </c>
      <c r="I245">
        <f ca="1">COUNTIFS(Sustainability_Documents!$A:$A,$A245,Sustainability_Documents!$H:$H,"Expiring Soon")</f>
        <v>4</v>
      </c>
      <c r="J245">
        <f>COUNTIFS(Sustainability_Documents!$A:$A,$A245,Sustainability_Documents!$C:$C,"Yes")</f>
        <v>4</v>
      </c>
      <c r="K245">
        <f ca="1">IF($J245=0,"",($J245-$G245-$H245)/$J245)</f>
        <v>1</v>
      </c>
      <c r="L245">
        <f ca="1">COUNTIFS(OutReach_Log!$A:$A,$A245,OutReach_Log!$G:$G,"Yes")</f>
        <v>0</v>
      </c>
      <c r="M245">
        <f>COUNTIFS(OutReach_Log!$A:$A,$A245,OutReach_Log!$E:$E,"Pending")
 +COUNTIFS(OutReach_Log!$A:$A,$A245,OutReach_Log!$E:$E,"Escalated")</f>
        <v>0</v>
      </c>
      <c r="N245">
        <f>COUNTIFS(Incident_Log!$A:$A,$A245,Incident_Log!$C:$C,"High",Incident_Log!$E:$E,"No")</f>
        <v>0</v>
      </c>
      <c r="O245" t="str">
        <f t="shared" ca="1" si="3"/>
        <v>High Attention Required</v>
      </c>
      <c r="P245">
        <f ca="1">($G245*40)+($H245*30)+($I245*10)+($N245*50)+IF($L245&gt;0,20,0)</f>
        <v>40</v>
      </c>
      <c r="Q245">
        <f ca="1">E245*(P245/100)</f>
        <v>58027.200000000004</v>
      </c>
      <c r="R245">
        <f ca="1">_xlfn.RANK.EQ($Q245,$Q$2:$Q$401,0)</f>
        <v>169</v>
      </c>
    </row>
    <row r="246" spans="1:18">
      <c r="A246" t="str" cm="1">
        <f t="array" ref="A246">_xlfn._xlws.SORT(Vendor_Master!A246)</f>
        <v>VND-245</v>
      </c>
      <c r="B246" t="str">
        <f>_xlfn.XLOOKUP(Compliance_Sheet!A246,Vendor_Master!A246,Vendor_Master!B246,"")</f>
        <v>Vendor_245</v>
      </c>
      <c r="C246" t="str">
        <f>_xlfn.XLOOKUP(A246,Vendor_Master!A246,Vendor_Master!C246,"")</f>
        <v>Chemical Supply</v>
      </c>
      <c r="D246" t="str">
        <f>_xlfn.XLOOKUP(A246,Vendor_Master!A246,Vendor_Master!D246,"")</f>
        <v>West</v>
      </c>
      <c r="E246">
        <f>_xlfn.XLOOKUP(A246,Vendor_Master!A246,Vendor_Master!E246,0)</f>
        <v>196637</v>
      </c>
      <c r="F246" t="str">
        <f>_xlfn.XLOOKUP(A246,Vendor_Master!A246,Vendor_Master!H246,"")</f>
        <v>contact245@vendor.com</v>
      </c>
      <c r="G246">
        <f ca="1">COUNTIFS(Sustainability_Documents!$A:$A,$A246,Sustainability_Documents!$H:$H,"Missing")</f>
        <v>0</v>
      </c>
      <c r="H246">
        <f ca="1">COUNTIFS(Sustainability_Documents!$A:$A,$A246,Sustainability_Documents!$H:$H,"Expired")</f>
        <v>0</v>
      </c>
      <c r="I246">
        <f ca="1">COUNTIFS(Sustainability_Documents!$A:$A,$A246,Sustainability_Documents!$H:$H,"Expiring Soon")</f>
        <v>4</v>
      </c>
      <c r="J246">
        <f>COUNTIFS(Sustainability_Documents!$A:$A,$A246,Sustainability_Documents!$C:$C,"Yes")</f>
        <v>4</v>
      </c>
      <c r="K246">
        <f ca="1">IF($J246=0,"",($J246-$G246-$H246)/$J246)</f>
        <v>1</v>
      </c>
      <c r="L246">
        <f ca="1">COUNTIFS(OutReach_Log!$A:$A,$A246,OutReach_Log!$G:$G,"Yes")</f>
        <v>0</v>
      </c>
      <c r="M246">
        <f>COUNTIFS(OutReach_Log!$A:$A,$A246,OutReach_Log!$E:$E,"Pending")
 +COUNTIFS(OutReach_Log!$A:$A,$A246,OutReach_Log!$E:$E,"Escalated")</f>
        <v>1</v>
      </c>
      <c r="N246">
        <f>COUNTIFS(Incident_Log!$A:$A,$A246,Incident_Log!$C:$C,"High",Incident_Log!$E:$E,"No")</f>
        <v>0</v>
      </c>
      <c r="O246" t="str">
        <f t="shared" ca="1" si="3"/>
        <v>High Attention Required</v>
      </c>
      <c r="P246">
        <f ca="1">($G246*40)+($H246*30)+($I246*10)+($N246*50)+IF($L246&gt;0,20,0)</f>
        <v>40</v>
      </c>
      <c r="Q246">
        <f ca="1">E246*(P246/100)</f>
        <v>78654.8</v>
      </c>
      <c r="R246">
        <f ca="1">_xlfn.RANK.EQ($Q246,$Q$2:$Q$401,0)</f>
        <v>158</v>
      </c>
    </row>
    <row r="247" spans="1:18">
      <c r="A247" t="str" cm="1">
        <f t="array" ref="A247">_xlfn._xlws.SORT(Vendor_Master!A247)</f>
        <v>VND-246</v>
      </c>
      <c r="B247" t="str">
        <f>_xlfn.XLOOKUP(Compliance_Sheet!A247,Vendor_Master!A247,Vendor_Master!B247,"")</f>
        <v>Vendor_246</v>
      </c>
      <c r="C247" t="str">
        <f>_xlfn.XLOOKUP(A247,Vendor_Master!A247,Vendor_Master!C247,"")</f>
        <v>Chemical Supply</v>
      </c>
      <c r="D247" t="str">
        <f>_xlfn.XLOOKUP(A247,Vendor_Master!A247,Vendor_Master!D247,"")</f>
        <v>West</v>
      </c>
      <c r="E247">
        <f>_xlfn.XLOOKUP(A247,Vendor_Master!A247,Vendor_Master!E247,0)</f>
        <v>192940</v>
      </c>
      <c r="F247" t="str">
        <f>_xlfn.XLOOKUP(A247,Vendor_Master!A247,Vendor_Master!H247,"")</f>
        <v>contact246@vendor.com</v>
      </c>
      <c r="G247">
        <f ca="1">COUNTIFS(Sustainability_Documents!$A:$A,$A247,Sustainability_Documents!$H:$H,"Missing")</f>
        <v>0</v>
      </c>
      <c r="H247">
        <f ca="1">COUNTIFS(Sustainability_Documents!$A:$A,$A247,Sustainability_Documents!$H:$H,"Expired")</f>
        <v>0</v>
      </c>
      <c r="I247">
        <f ca="1">COUNTIFS(Sustainability_Documents!$A:$A,$A247,Sustainability_Documents!$H:$H,"Expiring Soon")</f>
        <v>4</v>
      </c>
      <c r="J247">
        <f>COUNTIFS(Sustainability_Documents!$A:$A,$A247,Sustainability_Documents!$C:$C,"Yes")</f>
        <v>4</v>
      </c>
      <c r="K247">
        <f ca="1">IF($J247=0,"",($J247-$G247-$H247)/$J247)</f>
        <v>1</v>
      </c>
      <c r="L247">
        <f ca="1">COUNTIFS(OutReach_Log!$A:$A,$A247,OutReach_Log!$G:$G,"Yes")</f>
        <v>0</v>
      </c>
      <c r="M247">
        <f>COUNTIFS(OutReach_Log!$A:$A,$A247,OutReach_Log!$E:$E,"Pending")
 +COUNTIFS(OutReach_Log!$A:$A,$A247,OutReach_Log!$E:$E,"Escalated")</f>
        <v>1</v>
      </c>
      <c r="N247">
        <f>COUNTIFS(Incident_Log!$A:$A,$A247,Incident_Log!$C:$C,"High",Incident_Log!$E:$E,"No")</f>
        <v>0</v>
      </c>
      <c r="O247" t="str">
        <f t="shared" ca="1" si="3"/>
        <v>High Attention Required</v>
      </c>
      <c r="P247">
        <f ca="1">($G247*40)+($H247*30)+($I247*10)+($N247*50)+IF($L247&gt;0,20,0)</f>
        <v>40</v>
      </c>
      <c r="Q247">
        <f ca="1">E247*(P247/100)</f>
        <v>77176</v>
      </c>
      <c r="R247">
        <f ca="1">_xlfn.RANK.EQ($Q247,$Q$2:$Q$401,0)</f>
        <v>160</v>
      </c>
    </row>
    <row r="248" spans="1:18">
      <c r="A248" t="str" cm="1">
        <f t="array" ref="A248">_xlfn._xlws.SORT(Vendor_Master!A248)</f>
        <v>VND-247</v>
      </c>
      <c r="B248" t="str">
        <f>_xlfn.XLOOKUP(Compliance_Sheet!A248,Vendor_Master!A248,Vendor_Master!B248,"")</f>
        <v>Vendor_247</v>
      </c>
      <c r="C248" t="str">
        <f>_xlfn.XLOOKUP(A248,Vendor_Master!A248,Vendor_Master!C248,"")</f>
        <v>Chemical Supply</v>
      </c>
      <c r="D248" t="str">
        <f>_xlfn.XLOOKUP(A248,Vendor_Master!A248,Vendor_Master!D248,"")</f>
        <v>West</v>
      </c>
      <c r="E248">
        <f>_xlfn.XLOOKUP(A248,Vendor_Master!A248,Vendor_Master!E248,0)</f>
        <v>90090</v>
      </c>
      <c r="F248" t="str">
        <f>_xlfn.XLOOKUP(A248,Vendor_Master!A248,Vendor_Master!H248,"")</f>
        <v>contact247@vendor.com</v>
      </c>
      <c r="G248">
        <f ca="1">COUNTIFS(Sustainability_Documents!$A:$A,$A248,Sustainability_Documents!$H:$H,"Missing")</f>
        <v>0</v>
      </c>
      <c r="H248">
        <f ca="1">COUNTIFS(Sustainability_Documents!$A:$A,$A248,Sustainability_Documents!$H:$H,"Expired")</f>
        <v>1</v>
      </c>
      <c r="I248">
        <f ca="1">COUNTIFS(Sustainability_Documents!$A:$A,$A248,Sustainability_Documents!$H:$H,"Expiring Soon")</f>
        <v>3</v>
      </c>
      <c r="J248">
        <f>COUNTIFS(Sustainability_Documents!$A:$A,$A248,Sustainability_Documents!$C:$C,"Yes")</f>
        <v>4</v>
      </c>
      <c r="K248">
        <f ca="1">IF($J248=0,"",($J248-$G248-$H248)/$J248)</f>
        <v>0.75</v>
      </c>
      <c r="L248">
        <f ca="1">COUNTIFS(OutReach_Log!$A:$A,$A248,OutReach_Log!$G:$G,"Yes")</f>
        <v>1</v>
      </c>
      <c r="M248">
        <f>COUNTIFS(OutReach_Log!$A:$A,$A248,OutReach_Log!$E:$E,"Pending")
 +COUNTIFS(OutReach_Log!$A:$A,$A248,OutReach_Log!$E:$E,"Escalated")</f>
        <v>1</v>
      </c>
      <c r="N248">
        <f>COUNTIFS(Incident_Log!$A:$A,$A248,Incident_Log!$C:$C,"High",Incident_Log!$E:$E,"No")</f>
        <v>0</v>
      </c>
      <c r="O248" t="str">
        <f t="shared" ca="1" si="3"/>
        <v>High Attention Required</v>
      </c>
      <c r="P248">
        <f ca="1">($G248*40)+($H248*30)+($I248*10)+($N248*50)+IF($L248&gt;0,20,0)</f>
        <v>80</v>
      </c>
      <c r="Q248">
        <f ca="1">E248*(P248/100)</f>
        <v>72072</v>
      </c>
      <c r="R248">
        <f ca="1">_xlfn.RANK.EQ($Q248,$Q$2:$Q$401,0)</f>
        <v>165</v>
      </c>
    </row>
    <row r="249" spans="1:18">
      <c r="A249" t="str" cm="1">
        <f t="array" ref="A249">_xlfn._xlws.SORT(Vendor_Master!A249)</f>
        <v>VND-248</v>
      </c>
      <c r="B249" t="str">
        <f>_xlfn.XLOOKUP(Compliance_Sheet!A249,Vendor_Master!A249,Vendor_Master!B249,"")</f>
        <v>Vendor_248</v>
      </c>
      <c r="C249" t="str">
        <f>_xlfn.XLOOKUP(A249,Vendor_Master!A249,Vendor_Master!C249,"")</f>
        <v>Chemical Supply</v>
      </c>
      <c r="D249" t="str">
        <f>_xlfn.XLOOKUP(A249,Vendor_Master!A249,Vendor_Master!D249,"")</f>
        <v>West</v>
      </c>
      <c r="E249">
        <f>_xlfn.XLOOKUP(A249,Vendor_Master!A249,Vendor_Master!E249,0)</f>
        <v>218587</v>
      </c>
      <c r="F249" t="str">
        <f>_xlfn.XLOOKUP(A249,Vendor_Master!A249,Vendor_Master!H249,"")</f>
        <v>contact248@vendor.com</v>
      </c>
      <c r="G249">
        <f ca="1">COUNTIFS(Sustainability_Documents!$A:$A,$A249,Sustainability_Documents!$H:$H,"Missing")</f>
        <v>0</v>
      </c>
      <c r="H249">
        <f ca="1">COUNTIFS(Sustainability_Documents!$A:$A,$A249,Sustainability_Documents!$H:$H,"Expired")</f>
        <v>0</v>
      </c>
      <c r="I249">
        <f ca="1">COUNTIFS(Sustainability_Documents!$A:$A,$A249,Sustainability_Documents!$H:$H,"Expiring Soon")</f>
        <v>4</v>
      </c>
      <c r="J249">
        <f>COUNTIFS(Sustainability_Documents!$A:$A,$A249,Sustainability_Documents!$C:$C,"Yes")</f>
        <v>4</v>
      </c>
      <c r="K249">
        <f ca="1">IF($J249=0,"",($J249-$G249-$H249)/$J249)</f>
        <v>1</v>
      </c>
      <c r="L249">
        <f ca="1">COUNTIFS(OutReach_Log!$A:$A,$A249,OutReach_Log!$G:$G,"Yes")</f>
        <v>0</v>
      </c>
      <c r="M249">
        <f>COUNTIFS(OutReach_Log!$A:$A,$A249,OutReach_Log!$E:$E,"Pending")
 +COUNTIFS(OutReach_Log!$A:$A,$A249,OutReach_Log!$E:$E,"Escalated")</f>
        <v>1</v>
      </c>
      <c r="N249">
        <f>COUNTIFS(Incident_Log!$A:$A,$A249,Incident_Log!$C:$C,"High",Incident_Log!$E:$E,"No")</f>
        <v>0</v>
      </c>
      <c r="O249" t="str">
        <f t="shared" ca="1" si="3"/>
        <v>High Attention Required</v>
      </c>
      <c r="P249">
        <f ca="1">($G249*40)+($H249*30)+($I249*10)+($N249*50)+IF($L249&gt;0,20,0)</f>
        <v>40</v>
      </c>
      <c r="Q249">
        <f ca="1">E249*(P249/100)</f>
        <v>87434.8</v>
      </c>
      <c r="R249">
        <f ca="1">_xlfn.RANK.EQ($Q249,$Q$2:$Q$401,0)</f>
        <v>155</v>
      </c>
    </row>
    <row r="250" spans="1:18">
      <c r="A250" t="str" cm="1">
        <f t="array" ref="A250">_xlfn._xlws.SORT(Vendor_Master!A250)</f>
        <v>VND-249</v>
      </c>
      <c r="B250" t="str">
        <f>_xlfn.XLOOKUP(Compliance_Sheet!A250,Vendor_Master!A250,Vendor_Master!B250,"")</f>
        <v>Vendor_249</v>
      </c>
      <c r="C250" t="str">
        <f>_xlfn.XLOOKUP(A250,Vendor_Master!A250,Vendor_Master!C250,"")</f>
        <v>Chemical Supply</v>
      </c>
      <c r="D250" t="str">
        <f>_xlfn.XLOOKUP(A250,Vendor_Master!A250,Vendor_Master!D250,"")</f>
        <v>West</v>
      </c>
      <c r="E250">
        <f>_xlfn.XLOOKUP(A250,Vendor_Master!A250,Vendor_Master!E250,0)</f>
        <v>235411</v>
      </c>
      <c r="F250" t="str">
        <f>_xlfn.XLOOKUP(A250,Vendor_Master!A250,Vendor_Master!H250,"")</f>
        <v>contact249@vendor.com</v>
      </c>
      <c r="G250">
        <f ca="1">COUNTIFS(Sustainability_Documents!$A:$A,$A250,Sustainability_Documents!$H:$H,"Missing")</f>
        <v>0</v>
      </c>
      <c r="H250">
        <f ca="1">COUNTIFS(Sustainability_Documents!$A:$A,$A250,Sustainability_Documents!$H:$H,"Expired")</f>
        <v>0</v>
      </c>
      <c r="I250">
        <f ca="1">COUNTIFS(Sustainability_Documents!$A:$A,$A250,Sustainability_Documents!$H:$H,"Expiring Soon")</f>
        <v>4</v>
      </c>
      <c r="J250">
        <f>COUNTIFS(Sustainability_Documents!$A:$A,$A250,Sustainability_Documents!$C:$C,"Yes")</f>
        <v>4</v>
      </c>
      <c r="K250">
        <f ca="1">IF($J250=0,"",($J250-$G250-$H250)/$J250)</f>
        <v>1</v>
      </c>
      <c r="L250">
        <f ca="1">COUNTIFS(OutReach_Log!$A:$A,$A250,OutReach_Log!$G:$G,"Yes")</f>
        <v>0</v>
      </c>
      <c r="M250">
        <f>COUNTIFS(OutReach_Log!$A:$A,$A250,OutReach_Log!$E:$E,"Pending")
 +COUNTIFS(OutReach_Log!$A:$A,$A250,OutReach_Log!$E:$E,"Escalated")</f>
        <v>1</v>
      </c>
      <c r="N250">
        <f>COUNTIFS(Incident_Log!$A:$A,$A250,Incident_Log!$C:$C,"High",Incident_Log!$E:$E,"No")</f>
        <v>0</v>
      </c>
      <c r="O250" t="str">
        <f t="shared" ca="1" si="3"/>
        <v>High Attention Required</v>
      </c>
      <c r="P250">
        <f ca="1">($G250*40)+($H250*30)+($I250*10)+($N250*50)+IF($L250&gt;0,20,0)</f>
        <v>40</v>
      </c>
      <c r="Q250">
        <f ca="1">E250*(P250/100)</f>
        <v>94164.400000000009</v>
      </c>
      <c r="R250">
        <f ca="1">_xlfn.RANK.EQ($Q250,$Q$2:$Q$401,0)</f>
        <v>152</v>
      </c>
    </row>
    <row r="251" spans="1:18">
      <c r="A251" t="str" cm="1">
        <f t="array" ref="A251">_xlfn._xlws.SORT(Vendor_Master!A251)</f>
        <v>VND-250</v>
      </c>
      <c r="B251" t="str">
        <f>_xlfn.XLOOKUP(Compliance_Sheet!A251,Vendor_Master!A251,Vendor_Master!B251,"")</f>
        <v>Vendor_250</v>
      </c>
      <c r="C251" t="str">
        <f>_xlfn.XLOOKUP(A251,Vendor_Master!A251,Vendor_Master!C251,"")</f>
        <v>Chemical Supply</v>
      </c>
      <c r="D251" t="str">
        <f>_xlfn.XLOOKUP(A251,Vendor_Master!A251,Vendor_Master!D251,"")</f>
        <v>West</v>
      </c>
      <c r="E251">
        <f>_xlfn.XLOOKUP(A251,Vendor_Master!A251,Vendor_Master!E251,0)</f>
        <v>242161</v>
      </c>
      <c r="F251" t="str">
        <f>_xlfn.XLOOKUP(A251,Vendor_Master!A251,Vendor_Master!H251,"")</f>
        <v>contact250@vendor.com</v>
      </c>
      <c r="G251">
        <f ca="1">COUNTIFS(Sustainability_Documents!$A:$A,$A251,Sustainability_Documents!$H:$H,"Missing")</f>
        <v>0</v>
      </c>
      <c r="H251">
        <f ca="1">COUNTIFS(Sustainability_Documents!$A:$A,$A251,Sustainability_Documents!$H:$H,"Expired")</f>
        <v>0</v>
      </c>
      <c r="I251">
        <f ca="1">COUNTIFS(Sustainability_Documents!$A:$A,$A251,Sustainability_Documents!$H:$H,"Expiring Soon")</f>
        <v>4</v>
      </c>
      <c r="J251">
        <f>COUNTIFS(Sustainability_Documents!$A:$A,$A251,Sustainability_Documents!$C:$C,"Yes")</f>
        <v>4</v>
      </c>
      <c r="K251">
        <f ca="1">IF($J251=0,"",($J251-$G251-$H251)/$J251)</f>
        <v>1</v>
      </c>
      <c r="L251">
        <f ca="1">COUNTIFS(OutReach_Log!$A:$A,$A251,OutReach_Log!$G:$G,"Yes")</f>
        <v>0</v>
      </c>
      <c r="M251">
        <f>COUNTIFS(OutReach_Log!$A:$A,$A251,OutReach_Log!$E:$E,"Pending")
 +COUNTIFS(OutReach_Log!$A:$A,$A251,OutReach_Log!$E:$E,"Escalated")</f>
        <v>1</v>
      </c>
      <c r="N251">
        <f>COUNTIFS(Incident_Log!$A:$A,$A251,Incident_Log!$C:$C,"High",Incident_Log!$E:$E,"No")</f>
        <v>0</v>
      </c>
      <c r="O251" t="str">
        <f t="shared" ca="1" si="3"/>
        <v>High Attention Required</v>
      </c>
      <c r="P251">
        <f ca="1">($G251*40)+($H251*30)+($I251*10)+($N251*50)+IF($L251&gt;0,20,0)</f>
        <v>40</v>
      </c>
      <c r="Q251">
        <f ca="1">E251*(P251/100)</f>
        <v>96864.400000000009</v>
      </c>
      <c r="R251">
        <f ca="1">_xlfn.RANK.EQ($Q251,$Q$2:$Q$401,0)</f>
        <v>148</v>
      </c>
    </row>
    <row r="252" spans="1:18">
      <c r="A252" t="str" cm="1">
        <f t="array" ref="A252">_xlfn._xlws.SORT(Vendor_Master!A252)</f>
        <v>VND-251</v>
      </c>
      <c r="B252" t="str">
        <f>_xlfn.XLOOKUP(Compliance_Sheet!A252,Vendor_Master!A252,Vendor_Master!B252,"")</f>
        <v>Vendor_251</v>
      </c>
      <c r="C252" t="str">
        <f>_xlfn.XLOOKUP(A252,Vendor_Master!A252,Vendor_Master!C252,"")</f>
        <v>Chemical Supply</v>
      </c>
      <c r="D252" t="str">
        <f>_xlfn.XLOOKUP(A252,Vendor_Master!A252,Vendor_Master!D252,"")</f>
        <v>West</v>
      </c>
      <c r="E252">
        <f>_xlfn.XLOOKUP(A252,Vendor_Master!A252,Vendor_Master!E252,0)</f>
        <v>57453</v>
      </c>
      <c r="F252" t="str">
        <f>_xlfn.XLOOKUP(A252,Vendor_Master!A252,Vendor_Master!H252,"")</f>
        <v>contact251@vendor.com</v>
      </c>
      <c r="G252">
        <f ca="1">COUNTIFS(Sustainability_Documents!$A:$A,$A252,Sustainability_Documents!$H:$H,"Missing")</f>
        <v>0</v>
      </c>
      <c r="H252">
        <f ca="1">COUNTIFS(Sustainability_Documents!$A:$A,$A252,Sustainability_Documents!$H:$H,"Expired")</f>
        <v>0</v>
      </c>
      <c r="I252">
        <f ca="1">COUNTIFS(Sustainability_Documents!$A:$A,$A252,Sustainability_Documents!$H:$H,"Expiring Soon")</f>
        <v>4</v>
      </c>
      <c r="J252">
        <f>COUNTIFS(Sustainability_Documents!$A:$A,$A252,Sustainability_Documents!$C:$C,"Yes")</f>
        <v>4</v>
      </c>
      <c r="K252">
        <f ca="1">IF($J252=0,"",($J252-$G252-$H252)/$J252)</f>
        <v>1</v>
      </c>
      <c r="L252">
        <f ca="1">COUNTIFS(OutReach_Log!$A:$A,$A252,OutReach_Log!$G:$G,"Yes")</f>
        <v>1</v>
      </c>
      <c r="M252">
        <f>COUNTIFS(OutReach_Log!$A:$A,$A252,OutReach_Log!$E:$E,"Pending")
 +COUNTIFS(OutReach_Log!$A:$A,$A252,OutReach_Log!$E:$E,"Escalated")</f>
        <v>1</v>
      </c>
      <c r="N252">
        <f>COUNTIFS(Incident_Log!$A:$A,$A252,Incident_Log!$C:$C,"High",Incident_Log!$E:$E,"No")</f>
        <v>0</v>
      </c>
      <c r="O252" t="str">
        <f t="shared" ca="1" si="3"/>
        <v>High Attention Required</v>
      </c>
      <c r="P252">
        <f ca="1">($G252*40)+($H252*30)+($I252*10)+($N252*50)+IF($L252&gt;0,20,0)</f>
        <v>60</v>
      </c>
      <c r="Q252">
        <f ca="1">E252*(P252/100)</f>
        <v>34471.799999999996</v>
      </c>
      <c r="R252">
        <f ca="1">_xlfn.RANK.EQ($Q252,$Q$2:$Q$401,0)</f>
        <v>176</v>
      </c>
    </row>
    <row r="253" spans="1:18">
      <c r="A253" t="str" cm="1">
        <f t="array" ref="A253">_xlfn._xlws.SORT(Vendor_Master!A253)</f>
        <v>VND-252</v>
      </c>
      <c r="B253" t="str">
        <f>_xlfn.XLOOKUP(Compliance_Sheet!A253,Vendor_Master!A253,Vendor_Master!B253,"")</f>
        <v>Vendor_252</v>
      </c>
      <c r="C253" t="str">
        <f>_xlfn.XLOOKUP(A253,Vendor_Master!A253,Vendor_Master!C253,"")</f>
        <v>Chemical Supply</v>
      </c>
      <c r="D253" t="str">
        <f>_xlfn.XLOOKUP(A253,Vendor_Master!A253,Vendor_Master!D253,"")</f>
        <v>West</v>
      </c>
      <c r="E253">
        <f>_xlfn.XLOOKUP(A253,Vendor_Master!A253,Vendor_Master!E253,0)</f>
        <v>85729</v>
      </c>
      <c r="F253" t="str">
        <f>_xlfn.XLOOKUP(A253,Vendor_Master!A253,Vendor_Master!H253,"")</f>
        <v>contact252@vendor.com</v>
      </c>
      <c r="G253">
        <f ca="1">COUNTIFS(Sustainability_Documents!$A:$A,$A253,Sustainability_Documents!$H:$H,"Missing")</f>
        <v>0</v>
      </c>
      <c r="H253">
        <f ca="1">COUNTIFS(Sustainability_Documents!$A:$A,$A253,Sustainability_Documents!$H:$H,"Expired")</f>
        <v>0</v>
      </c>
      <c r="I253">
        <f ca="1">COUNTIFS(Sustainability_Documents!$A:$A,$A253,Sustainability_Documents!$H:$H,"Expiring Soon")</f>
        <v>4</v>
      </c>
      <c r="J253">
        <f>COUNTIFS(Sustainability_Documents!$A:$A,$A253,Sustainability_Documents!$C:$C,"Yes")</f>
        <v>4</v>
      </c>
      <c r="K253">
        <f ca="1">IF($J253=0,"",($J253-$G253-$H253)/$J253)</f>
        <v>1</v>
      </c>
      <c r="L253">
        <f ca="1">COUNTIFS(OutReach_Log!$A:$A,$A253,OutReach_Log!$G:$G,"Yes")</f>
        <v>0</v>
      </c>
      <c r="M253">
        <f>COUNTIFS(OutReach_Log!$A:$A,$A253,OutReach_Log!$E:$E,"Pending")
 +COUNTIFS(OutReach_Log!$A:$A,$A253,OutReach_Log!$E:$E,"Escalated")</f>
        <v>0</v>
      </c>
      <c r="N253">
        <f>COUNTIFS(Incident_Log!$A:$A,$A253,Incident_Log!$C:$C,"High",Incident_Log!$E:$E,"No")</f>
        <v>0</v>
      </c>
      <c r="O253" t="str">
        <f t="shared" ca="1" si="3"/>
        <v>High Attention Required</v>
      </c>
      <c r="P253">
        <f ca="1">($G253*40)+($H253*30)+($I253*10)+($N253*50)+IF($L253&gt;0,20,0)</f>
        <v>40</v>
      </c>
      <c r="Q253">
        <f ca="1">E253*(P253/100)</f>
        <v>34291.599999999999</v>
      </c>
      <c r="R253">
        <f ca="1">_xlfn.RANK.EQ($Q253,$Q$2:$Q$401,0)</f>
        <v>177</v>
      </c>
    </row>
    <row r="254" spans="1:18">
      <c r="A254" t="str" cm="1">
        <f t="array" ref="A254">_xlfn._xlws.SORT(Vendor_Master!A254)</f>
        <v>VND-253</v>
      </c>
      <c r="B254" t="str">
        <f>_xlfn.XLOOKUP(Compliance_Sheet!A254,Vendor_Master!A254,Vendor_Master!B254,"")</f>
        <v>Vendor_253</v>
      </c>
      <c r="C254" t="str">
        <f>_xlfn.XLOOKUP(A254,Vendor_Master!A254,Vendor_Master!C254,"")</f>
        <v>Chemical Supply</v>
      </c>
      <c r="D254" t="str">
        <f>_xlfn.XLOOKUP(A254,Vendor_Master!A254,Vendor_Master!D254,"")</f>
        <v>West</v>
      </c>
      <c r="E254">
        <f>_xlfn.XLOOKUP(A254,Vendor_Master!A254,Vendor_Master!E254,0)</f>
        <v>110308</v>
      </c>
      <c r="F254" t="str">
        <f>_xlfn.XLOOKUP(A254,Vendor_Master!A254,Vendor_Master!H254,"")</f>
        <v>contact253@vendor.com</v>
      </c>
      <c r="G254">
        <f ca="1">COUNTIFS(Sustainability_Documents!$A:$A,$A254,Sustainability_Documents!$H:$H,"Missing")</f>
        <v>0</v>
      </c>
      <c r="H254">
        <f ca="1">COUNTIFS(Sustainability_Documents!$A:$A,$A254,Sustainability_Documents!$H:$H,"Expired")</f>
        <v>0</v>
      </c>
      <c r="I254">
        <f ca="1">COUNTIFS(Sustainability_Documents!$A:$A,$A254,Sustainability_Documents!$H:$H,"Expiring Soon")</f>
        <v>4</v>
      </c>
      <c r="J254">
        <f>COUNTIFS(Sustainability_Documents!$A:$A,$A254,Sustainability_Documents!$C:$C,"Yes")</f>
        <v>4</v>
      </c>
      <c r="K254">
        <f ca="1">IF($J254=0,"",($J254-$G254-$H254)/$J254)</f>
        <v>1</v>
      </c>
      <c r="L254">
        <f ca="1">COUNTIFS(OutReach_Log!$A:$A,$A254,OutReach_Log!$G:$G,"Yes")</f>
        <v>0</v>
      </c>
      <c r="M254">
        <f>COUNTIFS(OutReach_Log!$A:$A,$A254,OutReach_Log!$E:$E,"Pending")
 +COUNTIFS(OutReach_Log!$A:$A,$A254,OutReach_Log!$E:$E,"Escalated")</f>
        <v>0</v>
      </c>
      <c r="N254">
        <f>COUNTIFS(Incident_Log!$A:$A,$A254,Incident_Log!$C:$C,"High",Incident_Log!$E:$E,"No")</f>
        <v>0</v>
      </c>
      <c r="O254" t="str">
        <f t="shared" ca="1" si="3"/>
        <v>High Attention Required</v>
      </c>
      <c r="P254">
        <f ca="1">($G254*40)+($H254*30)+($I254*10)+($N254*50)+IF($L254&gt;0,20,0)</f>
        <v>40</v>
      </c>
      <c r="Q254">
        <f ca="1">E254*(P254/100)</f>
        <v>44123.200000000004</v>
      </c>
      <c r="R254">
        <f ca="1">_xlfn.RANK.EQ($Q254,$Q$2:$Q$401,0)</f>
        <v>172</v>
      </c>
    </row>
    <row r="255" spans="1:18">
      <c r="A255" t="str" cm="1">
        <f t="array" ref="A255">_xlfn._xlws.SORT(Vendor_Master!A255)</f>
        <v>VND-254</v>
      </c>
      <c r="B255" t="str">
        <f>_xlfn.XLOOKUP(Compliance_Sheet!A255,Vendor_Master!A255,Vendor_Master!B255,"")</f>
        <v>Vendor_254</v>
      </c>
      <c r="C255" t="str">
        <f>_xlfn.XLOOKUP(A255,Vendor_Master!A255,Vendor_Master!C255,"")</f>
        <v>Chemical Supply</v>
      </c>
      <c r="D255" t="str">
        <f>_xlfn.XLOOKUP(A255,Vendor_Master!A255,Vendor_Master!D255,"")</f>
        <v>West</v>
      </c>
      <c r="E255">
        <f>_xlfn.XLOOKUP(A255,Vendor_Master!A255,Vendor_Master!E255,0)</f>
        <v>102491</v>
      </c>
      <c r="F255" t="str">
        <f>_xlfn.XLOOKUP(A255,Vendor_Master!A255,Vendor_Master!H255,"")</f>
        <v>contact254@vendor.com</v>
      </c>
      <c r="G255">
        <f ca="1">COUNTIFS(Sustainability_Documents!$A:$A,$A255,Sustainability_Documents!$H:$H,"Missing")</f>
        <v>0</v>
      </c>
      <c r="H255">
        <f ca="1">COUNTIFS(Sustainability_Documents!$A:$A,$A255,Sustainability_Documents!$H:$H,"Expired")</f>
        <v>0</v>
      </c>
      <c r="I255">
        <f ca="1">COUNTIFS(Sustainability_Documents!$A:$A,$A255,Sustainability_Documents!$H:$H,"Expiring Soon")</f>
        <v>4</v>
      </c>
      <c r="J255">
        <f>COUNTIFS(Sustainability_Documents!$A:$A,$A255,Sustainability_Documents!$C:$C,"Yes")</f>
        <v>4</v>
      </c>
      <c r="K255">
        <f ca="1">IF($J255=0,"",($J255-$G255-$H255)/$J255)</f>
        <v>1</v>
      </c>
      <c r="L255">
        <f ca="1">COUNTIFS(OutReach_Log!$A:$A,$A255,OutReach_Log!$G:$G,"Yes")</f>
        <v>0</v>
      </c>
      <c r="M255">
        <f>COUNTIFS(OutReach_Log!$A:$A,$A255,OutReach_Log!$E:$E,"Pending")
 +COUNTIFS(OutReach_Log!$A:$A,$A255,OutReach_Log!$E:$E,"Escalated")</f>
        <v>0</v>
      </c>
      <c r="N255">
        <f>COUNTIFS(Incident_Log!$A:$A,$A255,Incident_Log!$C:$C,"High",Incident_Log!$E:$E,"No")</f>
        <v>0</v>
      </c>
      <c r="O255" t="str">
        <f t="shared" ca="1" si="3"/>
        <v>High Attention Required</v>
      </c>
      <c r="P255">
        <f ca="1">($G255*40)+($H255*30)+($I255*10)+($N255*50)+IF($L255&gt;0,20,0)</f>
        <v>40</v>
      </c>
      <c r="Q255">
        <f ca="1">E255*(P255/100)</f>
        <v>40996.400000000001</v>
      </c>
      <c r="R255">
        <f ca="1">_xlfn.RANK.EQ($Q255,$Q$2:$Q$401,0)</f>
        <v>175</v>
      </c>
    </row>
    <row r="256" spans="1:18">
      <c r="A256" t="str" cm="1">
        <f t="array" ref="A256">_xlfn._xlws.SORT(Vendor_Master!A256)</f>
        <v>VND-255</v>
      </c>
      <c r="B256" t="str">
        <f>_xlfn.XLOOKUP(Compliance_Sheet!A256,Vendor_Master!A256,Vendor_Master!B256,"")</f>
        <v>Vendor_255</v>
      </c>
      <c r="C256" t="str">
        <f>_xlfn.XLOOKUP(A256,Vendor_Master!A256,Vendor_Master!C256,"")</f>
        <v>Chemical Supply</v>
      </c>
      <c r="D256" t="str">
        <f>_xlfn.XLOOKUP(A256,Vendor_Master!A256,Vendor_Master!D256,"")</f>
        <v>West</v>
      </c>
      <c r="E256">
        <f>_xlfn.XLOOKUP(A256,Vendor_Master!A256,Vendor_Master!E256,0)</f>
        <v>108441</v>
      </c>
      <c r="F256" t="str">
        <f>_xlfn.XLOOKUP(A256,Vendor_Master!A256,Vendor_Master!H256,"")</f>
        <v>contact255@vendor.com</v>
      </c>
      <c r="G256">
        <f ca="1">COUNTIFS(Sustainability_Documents!$A:$A,$A256,Sustainability_Documents!$H:$H,"Missing")</f>
        <v>0</v>
      </c>
      <c r="H256">
        <f ca="1">COUNTIFS(Sustainability_Documents!$A:$A,$A256,Sustainability_Documents!$H:$H,"Expired")</f>
        <v>0</v>
      </c>
      <c r="I256">
        <f ca="1">COUNTIFS(Sustainability_Documents!$A:$A,$A256,Sustainability_Documents!$H:$H,"Expiring Soon")</f>
        <v>4</v>
      </c>
      <c r="J256">
        <f>COUNTIFS(Sustainability_Documents!$A:$A,$A256,Sustainability_Documents!$C:$C,"Yes")</f>
        <v>4</v>
      </c>
      <c r="K256">
        <f ca="1">IF($J256=0,"",($J256-$G256-$H256)/$J256)</f>
        <v>1</v>
      </c>
      <c r="L256">
        <f ca="1">COUNTIFS(OutReach_Log!$A:$A,$A256,OutReach_Log!$G:$G,"Yes")</f>
        <v>0</v>
      </c>
      <c r="M256">
        <f>COUNTIFS(OutReach_Log!$A:$A,$A256,OutReach_Log!$E:$E,"Pending")
 +COUNTIFS(OutReach_Log!$A:$A,$A256,OutReach_Log!$E:$E,"Escalated")</f>
        <v>1</v>
      </c>
      <c r="N256">
        <f>COUNTIFS(Incident_Log!$A:$A,$A256,Incident_Log!$C:$C,"High",Incident_Log!$E:$E,"No")</f>
        <v>0</v>
      </c>
      <c r="O256" t="str">
        <f t="shared" ca="1" si="3"/>
        <v>High Attention Required</v>
      </c>
      <c r="P256">
        <f ca="1">($G256*40)+($H256*30)+($I256*10)+($N256*50)+IF($L256&gt;0,20,0)</f>
        <v>40</v>
      </c>
      <c r="Q256">
        <f ca="1">E256*(P256/100)</f>
        <v>43376.4</v>
      </c>
      <c r="R256">
        <f ca="1">_xlfn.RANK.EQ($Q256,$Q$2:$Q$401,0)</f>
        <v>174</v>
      </c>
    </row>
    <row r="257" spans="1:18">
      <c r="A257" t="str" cm="1">
        <f t="array" ref="A257">_xlfn._xlws.SORT(Vendor_Master!A257)</f>
        <v>VND-256</v>
      </c>
      <c r="B257" t="str">
        <f>_xlfn.XLOOKUP(Compliance_Sheet!A257,Vendor_Master!A257,Vendor_Master!B257,"")</f>
        <v>Vendor_256</v>
      </c>
      <c r="C257" t="str">
        <f>_xlfn.XLOOKUP(A257,Vendor_Master!A257,Vendor_Master!C257,"")</f>
        <v>Chemical Supply</v>
      </c>
      <c r="D257" t="str">
        <f>_xlfn.XLOOKUP(A257,Vendor_Master!A257,Vendor_Master!D257,"")</f>
        <v>West</v>
      </c>
      <c r="E257">
        <f>_xlfn.XLOOKUP(A257,Vendor_Master!A257,Vendor_Master!E257,0)</f>
        <v>191994</v>
      </c>
      <c r="F257" t="str">
        <f>_xlfn.XLOOKUP(A257,Vendor_Master!A257,Vendor_Master!H257,"")</f>
        <v>contact256@vendor.com</v>
      </c>
      <c r="G257">
        <f ca="1">COUNTIFS(Sustainability_Documents!$A:$A,$A257,Sustainability_Documents!$H:$H,"Missing")</f>
        <v>0</v>
      </c>
      <c r="H257">
        <f ca="1">COUNTIFS(Sustainability_Documents!$A:$A,$A257,Sustainability_Documents!$H:$H,"Expired")</f>
        <v>0</v>
      </c>
      <c r="I257">
        <f ca="1">COUNTIFS(Sustainability_Documents!$A:$A,$A257,Sustainability_Documents!$H:$H,"Expiring Soon")</f>
        <v>4</v>
      </c>
      <c r="J257">
        <f>COUNTIFS(Sustainability_Documents!$A:$A,$A257,Sustainability_Documents!$C:$C,"Yes")</f>
        <v>4</v>
      </c>
      <c r="K257">
        <f ca="1">IF($J257=0,"",($J257-$G257-$H257)/$J257)</f>
        <v>1</v>
      </c>
      <c r="L257">
        <f ca="1">COUNTIFS(OutReach_Log!$A:$A,$A257,OutReach_Log!$G:$G,"Yes")</f>
        <v>0</v>
      </c>
      <c r="M257">
        <f>COUNTIFS(OutReach_Log!$A:$A,$A257,OutReach_Log!$E:$E,"Pending")
 +COUNTIFS(OutReach_Log!$A:$A,$A257,OutReach_Log!$E:$E,"Escalated")</f>
        <v>1</v>
      </c>
      <c r="N257">
        <f>COUNTIFS(Incident_Log!$A:$A,$A257,Incident_Log!$C:$C,"High",Incident_Log!$E:$E,"No")</f>
        <v>0</v>
      </c>
      <c r="O257" t="str">
        <f t="shared" ca="1" si="3"/>
        <v>High Attention Required</v>
      </c>
      <c r="P257">
        <f ca="1">($G257*40)+($H257*30)+($I257*10)+($N257*50)+IF($L257&gt;0,20,0)</f>
        <v>40</v>
      </c>
      <c r="Q257">
        <f ca="1">E257*(P257/100)</f>
        <v>76797.600000000006</v>
      </c>
      <c r="R257">
        <f ca="1">_xlfn.RANK.EQ($Q257,$Q$2:$Q$401,0)</f>
        <v>162</v>
      </c>
    </row>
    <row r="258" spans="1:18">
      <c r="A258" t="str" cm="1">
        <f t="array" ref="A258">_xlfn._xlws.SORT(Vendor_Master!A258)</f>
        <v>VND-257</v>
      </c>
      <c r="B258" t="str">
        <f>_xlfn.XLOOKUP(Compliance_Sheet!A258,Vendor_Master!A258,Vendor_Master!B258,"")</f>
        <v>Vendor_257</v>
      </c>
      <c r="C258" t="str">
        <f>_xlfn.XLOOKUP(A258,Vendor_Master!A258,Vendor_Master!C258,"")</f>
        <v>Chemical Supply</v>
      </c>
      <c r="D258" t="str">
        <f>_xlfn.XLOOKUP(A258,Vendor_Master!A258,Vendor_Master!D258,"")</f>
        <v>West</v>
      </c>
      <c r="E258">
        <f>_xlfn.XLOOKUP(A258,Vendor_Master!A258,Vendor_Master!E258,0)</f>
        <v>226050</v>
      </c>
      <c r="F258" t="str">
        <f>_xlfn.XLOOKUP(A258,Vendor_Master!A258,Vendor_Master!H258,"")</f>
        <v>contact257@vendor.com</v>
      </c>
      <c r="G258">
        <f ca="1">COUNTIFS(Sustainability_Documents!$A:$A,$A258,Sustainability_Documents!$H:$H,"Missing")</f>
        <v>0</v>
      </c>
      <c r="H258">
        <f ca="1">COUNTIFS(Sustainability_Documents!$A:$A,$A258,Sustainability_Documents!$H:$H,"Expired")</f>
        <v>0</v>
      </c>
      <c r="I258">
        <f ca="1">COUNTIFS(Sustainability_Documents!$A:$A,$A258,Sustainability_Documents!$H:$H,"Expiring Soon")</f>
        <v>4</v>
      </c>
      <c r="J258">
        <f>COUNTIFS(Sustainability_Documents!$A:$A,$A258,Sustainability_Documents!$C:$C,"Yes")</f>
        <v>4</v>
      </c>
      <c r="K258">
        <f ca="1">IF($J258=0,"",($J258-$G258-$H258)/$J258)</f>
        <v>1</v>
      </c>
      <c r="L258">
        <f ca="1">COUNTIFS(OutReach_Log!$A:$A,$A258,OutReach_Log!$G:$G,"Yes")</f>
        <v>0</v>
      </c>
      <c r="M258">
        <f>COUNTIFS(OutReach_Log!$A:$A,$A258,OutReach_Log!$E:$E,"Pending")
 +COUNTIFS(OutReach_Log!$A:$A,$A258,OutReach_Log!$E:$E,"Escalated")</f>
        <v>1</v>
      </c>
      <c r="N258">
        <f>COUNTIFS(Incident_Log!$A:$A,$A258,Incident_Log!$C:$C,"High",Incident_Log!$E:$E,"No")</f>
        <v>0</v>
      </c>
      <c r="O258" t="str">
        <f t="shared" ca="1" si="3"/>
        <v>High Attention Required</v>
      </c>
      <c r="P258">
        <f ca="1">($G258*40)+($H258*30)+($I258*10)+($N258*50)+IF($L258&gt;0,20,0)</f>
        <v>40</v>
      </c>
      <c r="Q258">
        <f ca="1">E258*(P258/100)</f>
        <v>90420</v>
      </c>
      <c r="R258">
        <f ca="1">_xlfn.RANK.EQ($Q258,$Q$2:$Q$401,0)</f>
        <v>154</v>
      </c>
    </row>
    <row r="259" spans="1:18">
      <c r="A259" t="str" cm="1">
        <f t="array" ref="A259">_xlfn._xlws.SORT(Vendor_Master!A259)</f>
        <v>VND-258</v>
      </c>
      <c r="B259" t="str">
        <f>_xlfn.XLOOKUP(Compliance_Sheet!A259,Vendor_Master!A259,Vendor_Master!B259,"")</f>
        <v>Vendor_258</v>
      </c>
      <c r="C259" t="str">
        <f>_xlfn.XLOOKUP(A259,Vendor_Master!A259,Vendor_Master!C259,"")</f>
        <v>Chemical Supply</v>
      </c>
      <c r="D259" t="str">
        <f>_xlfn.XLOOKUP(A259,Vendor_Master!A259,Vendor_Master!D259,"")</f>
        <v>West</v>
      </c>
      <c r="E259">
        <f>_xlfn.XLOOKUP(A259,Vendor_Master!A259,Vendor_Master!E259,0)</f>
        <v>164333</v>
      </c>
      <c r="F259" t="str">
        <f>_xlfn.XLOOKUP(A259,Vendor_Master!A259,Vendor_Master!H259,"")</f>
        <v>contact258@vendor.com</v>
      </c>
      <c r="G259">
        <f ca="1">COUNTIFS(Sustainability_Documents!$A:$A,$A259,Sustainability_Documents!$H:$H,"Missing")</f>
        <v>0</v>
      </c>
      <c r="H259">
        <f ca="1">COUNTIFS(Sustainability_Documents!$A:$A,$A259,Sustainability_Documents!$H:$H,"Expired")</f>
        <v>0</v>
      </c>
      <c r="I259">
        <f ca="1">COUNTIFS(Sustainability_Documents!$A:$A,$A259,Sustainability_Documents!$H:$H,"Expiring Soon")</f>
        <v>4</v>
      </c>
      <c r="J259">
        <f>COUNTIFS(Sustainability_Documents!$A:$A,$A259,Sustainability_Documents!$C:$C,"Yes")</f>
        <v>4</v>
      </c>
      <c r="K259">
        <f ca="1">IF($J259=0,"",($J259-$G259-$H259)/$J259)</f>
        <v>1</v>
      </c>
      <c r="L259">
        <f ca="1">COUNTIFS(OutReach_Log!$A:$A,$A259,OutReach_Log!$G:$G,"Yes")</f>
        <v>0</v>
      </c>
      <c r="M259">
        <f>COUNTIFS(OutReach_Log!$A:$A,$A259,OutReach_Log!$E:$E,"Pending")
 +COUNTIFS(OutReach_Log!$A:$A,$A259,OutReach_Log!$E:$E,"Escalated")</f>
        <v>1</v>
      </c>
      <c r="N259">
        <f>COUNTIFS(Incident_Log!$A:$A,$A259,Incident_Log!$C:$C,"High",Incident_Log!$E:$E,"No")</f>
        <v>0</v>
      </c>
      <c r="O259" t="str">
        <f t="shared" ref="O259:O322" ca="1" si="4">IF(OR(H259&gt;0,I259&gt;0,N259&gt;0),
   "High Attention Required",
   IF(J259&gt;0,
      "Attention Required",
      "Fully Compliant"
   )
)</f>
        <v>High Attention Required</v>
      </c>
      <c r="P259">
        <f ca="1">($G259*40)+($H259*30)+($I259*10)+($N259*50)+IF($L259&gt;0,20,0)</f>
        <v>40</v>
      </c>
      <c r="Q259">
        <f ca="1">E259*(P259/100)</f>
        <v>65733.2</v>
      </c>
      <c r="R259">
        <f ca="1">_xlfn.RANK.EQ($Q259,$Q$2:$Q$401,0)</f>
        <v>167</v>
      </c>
    </row>
    <row r="260" spans="1:18">
      <c r="A260" t="str" cm="1">
        <f t="array" ref="A260">_xlfn._xlws.SORT(Vendor_Master!A260)</f>
        <v>VND-259</v>
      </c>
      <c r="B260" t="str">
        <f>_xlfn.XLOOKUP(Compliance_Sheet!A260,Vendor_Master!A260,Vendor_Master!B260,"")</f>
        <v>Vendor_259</v>
      </c>
      <c r="C260" t="str">
        <f>_xlfn.XLOOKUP(A260,Vendor_Master!A260,Vendor_Master!C260,"")</f>
        <v>Chemical Supply</v>
      </c>
      <c r="D260" t="str">
        <f>_xlfn.XLOOKUP(A260,Vendor_Master!A260,Vendor_Master!D260,"")</f>
        <v>West</v>
      </c>
      <c r="E260">
        <f>_xlfn.XLOOKUP(A260,Vendor_Master!A260,Vendor_Master!E260,0)</f>
        <v>4484896</v>
      </c>
      <c r="F260" t="str">
        <f>_xlfn.XLOOKUP(A260,Vendor_Master!A260,Vendor_Master!H260,"")</f>
        <v>contact259@vendor.com</v>
      </c>
      <c r="G260">
        <f ca="1">COUNTIFS(Sustainability_Documents!$A:$A,$A260,Sustainability_Documents!$H:$H,"Missing")</f>
        <v>0</v>
      </c>
      <c r="H260">
        <f ca="1">COUNTIFS(Sustainability_Documents!$A:$A,$A260,Sustainability_Documents!$H:$H,"Expired")</f>
        <v>0</v>
      </c>
      <c r="I260">
        <f ca="1">COUNTIFS(Sustainability_Documents!$A:$A,$A260,Sustainability_Documents!$H:$H,"Expiring Soon")</f>
        <v>4</v>
      </c>
      <c r="J260">
        <f>COUNTIFS(Sustainability_Documents!$A:$A,$A260,Sustainability_Documents!$C:$C,"Yes")</f>
        <v>4</v>
      </c>
      <c r="K260">
        <f ca="1">IF($J260=0,"",($J260-$G260-$H260)/$J260)</f>
        <v>1</v>
      </c>
      <c r="L260">
        <f ca="1">COUNTIFS(OutReach_Log!$A:$A,$A260,OutReach_Log!$G:$G,"Yes")</f>
        <v>0</v>
      </c>
      <c r="M260">
        <f>COUNTIFS(OutReach_Log!$A:$A,$A260,OutReach_Log!$E:$E,"Pending")
 +COUNTIFS(OutReach_Log!$A:$A,$A260,OutReach_Log!$E:$E,"Escalated")</f>
        <v>0</v>
      </c>
      <c r="N260">
        <f>COUNTIFS(Incident_Log!$A:$A,$A260,Incident_Log!$C:$C,"High",Incident_Log!$E:$E,"No")</f>
        <v>0</v>
      </c>
      <c r="O260" t="str">
        <f t="shared" ca="1" si="4"/>
        <v>High Attention Required</v>
      </c>
      <c r="P260">
        <f ca="1">($G260*40)+($H260*30)+($I260*10)+($N260*50)+IF($L260&gt;0,20,0)</f>
        <v>40</v>
      </c>
      <c r="Q260">
        <f ca="1">E260*(P260/100)</f>
        <v>1793958.4000000001</v>
      </c>
      <c r="R260">
        <f ca="1">_xlfn.RANK.EQ($Q260,$Q$2:$Q$401,0)</f>
        <v>16</v>
      </c>
    </row>
    <row r="261" spans="1:18">
      <c r="A261" t="str" cm="1">
        <f t="array" ref="A261">_xlfn._xlws.SORT(Vendor_Master!A261)</f>
        <v>VND-260</v>
      </c>
      <c r="B261" t="str">
        <f>_xlfn.XLOOKUP(Compliance_Sheet!A261,Vendor_Master!A261,Vendor_Master!B261,"")</f>
        <v>Vendor_260</v>
      </c>
      <c r="C261" t="str">
        <f>_xlfn.XLOOKUP(A261,Vendor_Master!A261,Vendor_Master!C261,"")</f>
        <v>Chemical Supply</v>
      </c>
      <c r="D261" t="str">
        <f>_xlfn.XLOOKUP(A261,Vendor_Master!A261,Vendor_Master!D261,"")</f>
        <v>West</v>
      </c>
      <c r="E261">
        <f>_xlfn.XLOOKUP(A261,Vendor_Master!A261,Vendor_Master!E261,0)</f>
        <v>1042022</v>
      </c>
      <c r="F261" t="str">
        <f>_xlfn.XLOOKUP(A261,Vendor_Master!A261,Vendor_Master!H261,"")</f>
        <v>contact260@vendor.com</v>
      </c>
      <c r="G261">
        <f ca="1">COUNTIFS(Sustainability_Documents!$A:$A,$A261,Sustainability_Documents!$H:$H,"Missing")</f>
        <v>0</v>
      </c>
      <c r="H261">
        <f ca="1">COUNTIFS(Sustainability_Documents!$A:$A,$A261,Sustainability_Documents!$H:$H,"Expired")</f>
        <v>0</v>
      </c>
      <c r="I261">
        <f ca="1">COUNTIFS(Sustainability_Documents!$A:$A,$A261,Sustainability_Documents!$H:$H,"Expiring Soon")</f>
        <v>4</v>
      </c>
      <c r="J261">
        <f>COUNTIFS(Sustainability_Documents!$A:$A,$A261,Sustainability_Documents!$C:$C,"Yes")</f>
        <v>4</v>
      </c>
      <c r="K261">
        <f ca="1">IF($J261=0,"",($J261-$G261-$H261)/$J261)</f>
        <v>1</v>
      </c>
      <c r="L261">
        <f ca="1">COUNTIFS(OutReach_Log!$A:$A,$A261,OutReach_Log!$G:$G,"Yes")</f>
        <v>0</v>
      </c>
      <c r="M261">
        <f>COUNTIFS(OutReach_Log!$A:$A,$A261,OutReach_Log!$E:$E,"Pending")
 +COUNTIFS(OutReach_Log!$A:$A,$A261,OutReach_Log!$E:$E,"Escalated")</f>
        <v>0</v>
      </c>
      <c r="N261">
        <f>COUNTIFS(Incident_Log!$A:$A,$A261,Incident_Log!$C:$C,"High",Incident_Log!$E:$E,"No")</f>
        <v>0</v>
      </c>
      <c r="O261" t="str">
        <f t="shared" ca="1" si="4"/>
        <v>High Attention Required</v>
      </c>
      <c r="P261">
        <f ca="1">($G261*40)+($H261*30)+($I261*10)+($N261*50)+IF($L261&gt;0,20,0)</f>
        <v>40</v>
      </c>
      <c r="Q261">
        <f ca="1">E261*(P261/100)</f>
        <v>416808.80000000005</v>
      </c>
      <c r="R261">
        <f ca="1">_xlfn.RANK.EQ($Q261,$Q$2:$Q$401,0)</f>
        <v>80</v>
      </c>
    </row>
    <row r="262" spans="1:18">
      <c r="A262" t="str" cm="1">
        <f t="array" ref="A262">_xlfn._xlws.SORT(Vendor_Master!A262)</f>
        <v>VND-261</v>
      </c>
      <c r="B262" t="str">
        <f>_xlfn.XLOOKUP(Compliance_Sheet!A262,Vendor_Master!A262,Vendor_Master!B262,"")</f>
        <v>Vendor_261</v>
      </c>
      <c r="C262" t="str">
        <f>_xlfn.XLOOKUP(A262,Vendor_Master!A262,Vendor_Master!C262,"")</f>
        <v>Chemical Supply</v>
      </c>
      <c r="D262" t="str">
        <f>_xlfn.XLOOKUP(A262,Vendor_Master!A262,Vendor_Master!D262,"")</f>
        <v>West</v>
      </c>
      <c r="E262">
        <f>_xlfn.XLOOKUP(A262,Vendor_Master!A262,Vendor_Master!E262,0)</f>
        <v>1741274</v>
      </c>
      <c r="F262" t="str">
        <f>_xlfn.XLOOKUP(A262,Vendor_Master!A262,Vendor_Master!H262,"")</f>
        <v>contact261@vendor.com</v>
      </c>
      <c r="G262">
        <f ca="1">COUNTIFS(Sustainability_Documents!$A:$A,$A262,Sustainability_Documents!$H:$H,"Missing")</f>
        <v>0</v>
      </c>
      <c r="H262">
        <f ca="1">COUNTIFS(Sustainability_Documents!$A:$A,$A262,Sustainability_Documents!$H:$H,"Expired")</f>
        <v>0</v>
      </c>
      <c r="I262">
        <f ca="1">COUNTIFS(Sustainability_Documents!$A:$A,$A262,Sustainability_Documents!$H:$H,"Expiring Soon")</f>
        <v>4</v>
      </c>
      <c r="J262">
        <f>COUNTIFS(Sustainability_Documents!$A:$A,$A262,Sustainability_Documents!$C:$C,"Yes")</f>
        <v>4</v>
      </c>
      <c r="K262">
        <f ca="1">IF($J262=0,"",($J262-$G262-$H262)/$J262)</f>
        <v>1</v>
      </c>
      <c r="L262">
        <f ca="1">COUNTIFS(OutReach_Log!$A:$A,$A262,OutReach_Log!$G:$G,"Yes")</f>
        <v>0</v>
      </c>
      <c r="M262">
        <f>COUNTIFS(OutReach_Log!$A:$A,$A262,OutReach_Log!$E:$E,"Pending")
 +COUNTIFS(OutReach_Log!$A:$A,$A262,OutReach_Log!$E:$E,"Escalated")</f>
        <v>0</v>
      </c>
      <c r="N262">
        <f>COUNTIFS(Incident_Log!$A:$A,$A262,Incident_Log!$C:$C,"High",Incident_Log!$E:$E,"No")</f>
        <v>0</v>
      </c>
      <c r="O262" t="str">
        <f t="shared" ca="1" si="4"/>
        <v>High Attention Required</v>
      </c>
      <c r="P262">
        <f ca="1">($G262*40)+($H262*30)+($I262*10)+($N262*50)+IF($L262&gt;0,20,0)</f>
        <v>40</v>
      </c>
      <c r="Q262">
        <f ca="1">E262*(P262/100)</f>
        <v>696509.60000000009</v>
      </c>
      <c r="R262">
        <f ca="1">_xlfn.RANK.EQ($Q262,$Q$2:$Q$401,0)</f>
        <v>63</v>
      </c>
    </row>
    <row r="263" spans="1:18">
      <c r="A263" t="str" cm="1">
        <f t="array" ref="A263">_xlfn._xlws.SORT(Vendor_Master!A263)</f>
        <v>VND-262</v>
      </c>
      <c r="B263" t="str">
        <f>_xlfn.XLOOKUP(Compliance_Sheet!A263,Vendor_Master!A263,Vendor_Master!B263,"")</f>
        <v>Vendor_262</v>
      </c>
      <c r="C263" t="str">
        <f>_xlfn.XLOOKUP(A263,Vendor_Master!A263,Vendor_Master!C263,"")</f>
        <v>Chemical Supply</v>
      </c>
      <c r="D263" t="str">
        <f>_xlfn.XLOOKUP(A263,Vendor_Master!A263,Vendor_Master!D263,"")</f>
        <v>West</v>
      </c>
      <c r="E263">
        <f>_xlfn.XLOOKUP(A263,Vendor_Master!A263,Vendor_Master!E263,0)</f>
        <v>3343835</v>
      </c>
      <c r="F263" t="str">
        <f>_xlfn.XLOOKUP(A263,Vendor_Master!A263,Vendor_Master!H263,"")</f>
        <v>contact262@vendor.com</v>
      </c>
      <c r="G263">
        <f ca="1">COUNTIFS(Sustainability_Documents!$A:$A,$A263,Sustainability_Documents!$H:$H,"Missing")</f>
        <v>0</v>
      </c>
      <c r="H263">
        <f ca="1">COUNTIFS(Sustainability_Documents!$A:$A,$A263,Sustainability_Documents!$H:$H,"Expired")</f>
        <v>1</v>
      </c>
      <c r="I263">
        <f ca="1">COUNTIFS(Sustainability_Documents!$A:$A,$A263,Sustainability_Documents!$H:$H,"Expiring Soon")</f>
        <v>3</v>
      </c>
      <c r="J263">
        <f>COUNTIFS(Sustainability_Documents!$A:$A,$A263,Sustainability_Documents!$C:$C,"Yes")</f>
        <v>4</v>
      </c>
      <c r="K263">
        <f ca="1">IF($J263=0,"",($J263-$G263-$H263)/$J263)</f>
        <v>0.75</v>
      </c>
      <c r="L263">
        <f ca="1">COUNTIFS(OutReach_Log!$A:$A,$A263,OutReach_Log!$G:$G,"Yes")</f>
        <v>1</v>
      </c>
      <c r="M263">
        <f>COUNTIFS(OutReach_Log!$A:$A,$A263,OutReach_Log!$E:$E,"Pending")
 +COUNTIFS(OutReach_Log!$A:$A,$A263,OutReach_Log!$E:$E,"Escalated")</f>
        <v>1</v>
      </c>
      <c r="N263">
        <f>COUNTIFS(Incident_Log!$A:$A,$A263,Incident_Log!$C:$C,"High",Incident_Log!$E:$E,"No")</f>
        <v>0</v>
      </c>
      <c r="O263" t="str">
        <f t="shared" ca="1" si="4"/>
        <v>High Attention Required</v>
      </c>
      <c r="P263">
        <f ca="1">($G263*40)+($H263*30)+($I263*10)+($N263*50)+IF($L263&gt;0,20,0)</f>
        <v>80</v>
      </c>
      <c r="Q263">
        <f ca="1">E263*(P263/100)</f>
        <v>2675068</v>
      </c>
      <c r="R263">
        <f ca="1">_xlfn.RANK.EQ($Q263,$Q$2:$Q$401,0)</f>
        <v>10</v>
      </c>
    </row>
    <row r="264" spans="1:18">
      <c r="A264" t="str" cm="1">
        <f t="array" ref="A264">_xlfn._xlws.SORT(Vendor_Master!A264)</f>
        <v>VND-263</v>
      </c>
      <c r="B264" t="str">
        <f>_xlfn.XLOOKUP(Compliance_Sheet!A264,Vendor_Master!A264,Vendor_Master!B264,"")</f>
        <v>Vendor_263</v>
      </c>
      <c r="C264" t="str">
        <f>_xlfn.XLOOKUP(A264,Vendor_Master!A264,Vendor_Master!C264,"")</f>
        <v>Chemical Supply</v>
      </c>
      <c r="D264" t="str">
        <f>_xlfn.XLOOKUP(A264,Vendor_Master!A264,Vendor_Master!D264,"")</f>
        <v>West</v>
      </c>
      <c r="E264">
        <f>_xlfn.XLOOKUP(A264,Vendor_Master!A264,Vendor_Master!E264,0)</f>
        <v>4624587</v>
      </c>
      <c r="F264" t="str">
        <f>_xlfn.XLOOKUP(A264,Vendor_Master!A264,Vendor_Master!H264,"")</f>
        <v>contact263@vendor.com</v>
      </c>
      <c r="G264">
        <f ca="1">COUNTIFS(Sustainability_Documents!$A:$A,$A264,Sustainability_Documents!$H:$H,"Missing")</f>
        <v>0</v>
      </c>
      <c r="H264">
        <f ca="1">COUNTIFS(Sustainability_Documents!$A:$A,$A264,Sustainability_Documents!$H:$H,"Expired")</f>
        <v>0</v>
      </c>
      <c r="I264">
        <f ca="1">COUNTIFS(Sustainability_Documents!$A:$A,$A264,Sustainability_Documents!$H:$H,"Expiring Soon")</f>
        <v>4</v>
      </c>
      <c r="J264">
        <f>COUNTIFS(Sustainability_Documents!$A:$A,$A264,Sustainability_Documents!$C:$C,"Yes")</f>
        <v>4</v>
      </c>
      <c r="K264">
        <f ca="1">IF($J264=0,"",($J264-$G264-$H264)/$J264)</f>
        <v>1</v>
      </c>
      <c r="L264">
        <f ca="1">COUNTIFS(OutReach_Log!$A:$A,$A264,OutReach_Log!$G:$G,"Yes")</f>
        <v>0</v>
      </c>
      <c r="M264">
        <f>COUNTIFS(OutReach_Log!$A:$A,$A264,OutReach_Log!$E:$E,"Pending")
 +COUNTIFS(OutReach_Log!$A:$A,$A264,OutReach_Log!$E:$E,"Escalated")</f>
        <v>0</v>
      </c>
      <c r="N264">
        <f>COUNTIFS(Incident_Log!$A:$A,$A264,Incident_Log!$C:$C,"High",Incident_Log!$E:$E,"No")</f>
        <v>0</v>
      </c>
      <c r="O264" t="str">
        <f t="shared" ca="1" si="4"/>
        <v>High Attention Required</v>
      </c>
      <c r="P264">
        <f ca="1">($G264*40)+($H264*30)+($I264*10)+($N264*50)+IF($L264&gt;0,20,0)</f>
        <v>40</v>
      </c>
      <c r="Q264">
        <f ca="1">E264*(P264/100)</f>
        <v>1849834.8</v>
      </c>
      <c r="R264">
        <f ca="1">_xlfn.RANK.EQ($Q264,$Q$2:$Q$401,0)</f>
        <v>13</v>
      </c>
    </row>
    <row r="265" spans="1:18">
      <c r="A265" t="str" cm="1">
        <f t="array" ref="A265">_xlfn._xlws.SORT(Vendor_Master!A265)</f>
        <v>VND-264</v>
      </c>
      <c r="B265" t="str">
        <f>_xlfn.XLOOKUP(Compliance_Sheet!A265,Vendor_Master!A265,Vendor_Master!B265,"")</f>
        <v>Vendor_264</v>
      </c>
      <c r="C265" t="str">
        <f>_xlfn.XLOOKUP(A265,Vendor_Master!A265,Vendor_Master!C265,"")</f>
        <v>Chemical Supply</v>
      </c>
      <c r="D265" t="str">
        <f>_xlfn.XLOOKUP(A265,Vendor_Master!A265,Vendor_Master!D265,"")</f>
        <v>West</v>
      </c>
      <c r="E265">
        <f>_xlfn.XLOOKUP(A265,Vendor_Master!A265,Vendor_Master!E265,0)</f>
        <v>3658468</v>
      </c>
      <c r="F265" t="str">
        <f>_xlfn.XLOOKUP(A265,Vendor_Master!A265,Vendor_Master!H265,"")</f>
        <v>contact264@vendor.com</v>
      </c>
      <c r="G265">
        <f ca="1">COUNTIFS(Sustainability_Documents!$A:$A,$A265,Sustainability_Documents!$H:$H,"Missing")</f>
        <v>0</v>
      </c>
      <c r="H265">
        <f ca="1">COUNTIFS(Sustainability_Documents!$A:$A,$A265,Sustainability_Documents!$H:$H,"Expired")</f>
        <v>0</v>
      </c>
      <c r="I265">
        <f ca="1">COUNTIFS(Sustainability_Documents!$A:$A,$A265,Sustainability_Documents!$H:$H,"Expiring Soon")</f>
        <v>4</v>
      </c>
      <c r="J265">
        <f>COUNTIFS(Sustainability_Documents!$A:$A,$A265,Sustainability_Documents!$C:$C,"Yes")</f>
        <v>4</v>
      </c>
      <c r="K265">
        <f ca="1">IF($J265=0,"",($J265-$G265-$H265)/$J265)</f>
        <v>1</v>
      </c>
      <c r="L265">
        <f ca="1">COUNTIFS(OutReach_Log!$A:$A,$A265,OutReach_Log!$G:$G,"Yes")</f>
        <v>0</v>
      </c>
      <c r="M265">
        <f>COUNTIFS(OutReach_Log!$A:$A,$A265,OutReach_Log!$E:$E,"Pending")
 +COUNTIFS(OutReach_Log!$A:$A,$A265,OutReach_Log!$E:$E,"Escalated")</f>
        <v>0</v>
      </c>
      <c r="N265">
        <f>COUNTIFS(Incident_Log!$A:$A,$A265,Incident_Log!$C:$C,"High",Incident_Log!$E:$E,"No")</f>
        <v>0</v>
      </c>
      <c r="O265" t="str">
        <f t="shared" ca="1" si="4"/>
        <v>High Attention Required</v>
      </c>
      <c r="P265">
        <f ca="1">($G265*40)+($H265*30)+($I265*10)+($N265*50)+IF($L265&gt;0,20,0)</f>
        <v>40</v>
      </c>
      <c r="Q265">
        <f ca="1">E265*(P265/100)</f>
        <v>1463387.2000000002</v>
      </c>
      <c r="R265">
        <f ca="1">_xlfn.RANK.EQ($Q265,$Q$2:$Q$401,0)</f>
        <v>25</v>
      </c>
    </row>
    <row r="266" spans="1:18">
      <c r="A266" t="str" cm="1">
        <f t="array" ref="A266">_xlfn._xlws.SORT(Vendor_Master!A266)</f>
        <v>VND-265</v>
      </c>
      <c r="B266" t="str">
        <f>_xlfn.XLOOKUP(Compliance_Sheet!A266,Vendor_Master!A266,Vendor_Master!B266,"")</f>
        <v>Vendor_265</v>
      </c>
      <c r="C266" t="str">
        <f>_xlfn.XLOOKUP(A266,Vendor_Master!A266,Vendor_Master!C266,"")</f>
        <v>Chemical Supply</v>
      </c>
      <c r="D266" t="str">
        <f>_xlfn.XLOOKUP(A266,Vendor_Master!A266,Vendor_Master!D266,"")</f>
        <v>West</v>
      </c>
      <c r="E266">
        <f>_xlfn.XLOOKUP(A266,Vendor_Master!A266,Vendor_Master!E266,0)</f>
        <v>3167949</v>
      </c>
      <c r="F266" t="str">
        <f>_xlfn.XLOOKUP(A266,Vendor_Master!A266,Vendor_Master!H266,"")</f>
        <v>contact265@vendor.com</v>
      </c>
      <c r="G266">
        <f ca="1">COUNTIFS(Sustainability_Documents!$A:$A,$A266,Sustainability_Documents!$H:$H,"Missing")</f>
        <v>0</v>
      </c>
      <c r="H266">
        <f ca="1">COUNTIFS(Sustainability_Documents!$A:$A,$A266,Sustainability_Documents!$H:$H,"Expired")</f>
        <v>0</v>
      </c>
      <c r="I266">
        <f ca="1">COUNTIFS(Sustainability_Documents!$A:$A,$A266,Sustainability_Documents!$H:$H,"Expiring Soon")</f>
        <v>4</v>
      </c>
      <c r="J266">
        <f>COUNTIFS(Sustainability_Documents!$A:$A,$A266,Sustainability_Documents!$C:$C,"Yes")</f>
        <v>4</v>
      </c>
      <c r="K266">
        <f ca="1">IF($J266=0,"",($J266-$G266-$H266)/$J266)</f>
        <v>1</v>
      </c>
      <c r="L266">
        <f ca="1">COUNTIFS(OutReach_Log!$A:$A,$A266,OutReach_Log!$G:$G,"Yes")</f>
        <v>0</v>
      </c>
      <c r="M266">
        <f>COUNTIFS(OutReach_Log!$A:$A,$A266,OutReach_Log!$E:$E,"Pending")
 +COUNTIFS(OutReach_Log!$A:$A,$A266,OutReach_Log!$E:$E,"Escalated")</f>
        <v>0</v>
      </c>
      <c r="N266">
        <f>COUNTIFS(Incident_Log!$A:$A,$A266,Incident_Log!$C:$C,"High",Incident_Log!$E:$E,"No")</f>
        <v>0</v>
      </c>
      <c r="O266" t="str">
        <f t="shared" ca="1" si="4"/>
        <v>High Attention Required</v>
      </c>
      <c r="P266">
        <f ca="1">($G266*40)+($H266*30)+($I266*10)+($N266*50)+IF($L266&gt;0,20,0)</f>
        <v>40</v>
      </c>
      <c r="Q266">
        <f ca="1">E266*(P266/100)</f>
        <v>1267179.6000000001</v>
      </c>
      <c r="R266">
        <f ca="1">_xlfn.RANK.EQ($Q266,$Q$2:$Q$401,0)</f>
        <v>36</v>
      </c>
    </row>
    <row r="267" spans="1:18">
      <c r="A267" t="str" cm="1">
        <f t="array" ref="A267">_xlfn._xlws.SORT(Vendor_Master!A267)</f>
        <v>VND-266</v>
      </c>
      <c r="B267" t="str">
        <f>_xlfn.XLOOKUP(Compliance_Sheet!A267,Vendor_Master!A267,Vendor_Master!B267,"")</f>
        <v>Vendor_266</v>
      </c>
      <c r="C267" t="str">
        <f>_xlfn.XLOOKUP(A267,Vendor_Master!A267,Vendor_Master!C267,"")</f>
        <v>Chemical Supply</v>
      </c>
      <c r="D267" t="str">
        <f>_xlfn.XLOOKUP(A267,Vendor_Master!A267,Vendor_Master!D267,"")</f>
        <v>West</v>
      </c>
      <c r="E267">
        <f>_xlfn.XLOOKUP(A267,Vendor_Master!A267,Vendor_Master!E267,0)</f>
        <v>2080880</v>
      </c>
      <c r="F267" t="str">
        <f>_xlfn.XLOOKUP(A267,Vendor_Master!A267,Vendor_Master!H267,"")</f>
        <v>contact266@vendor.com</v>
      </c>
      <c r="G267">
        <f ca="1">COUNTIFS(Sustainability_Documents!$A:$A,$A267,Sustainability_Documents!$H:$H,"Missing")</f>
        <v>0</v>
      </c>
      <c r="H267">
        <f ca="1">COUNTIFS(Sustainability_Documents!$A:$A,$A267,Sustainability_Documents!$H:$H,"Expired")</f>
        <v>0</v>
      </c>
      <c r="I267">
        <f ca="1">COUNTIFS(Sustainability_Documents!$A:$A,$A267,Sustainability_Documents!$H:$H,"Expiring Soon")</f>
        <v>4</v>
      </c>
      <c r="J267">
        <f>COUNTIFS(Sustainability_Documents!$A:$A,$A267,Sustainability_Documents!$C:$C,"Yes")</f>
        <v>4</v>
      </c>
      <c r="K267">
        <f ca="1">IF($J267=0,"",($J267-$G267-$H267)/$J267)</f>
        <v>1</v>
      </c>
      <c r="L267">
        <f ca="1">COUNTIFS(OutReach_Log!$A:$A,$A267,OutReach_Log!$G:$G,"Yes")</f>
        <v>0</v>
      </c>
      <c r="M267">
        <f>COUNTIFS(OutReach_Log!$A:$A,$A267,OutReach_Log!$E:$E,"Pending")
 +COUNTIFS(OutReach_Log!$A:$A,$A267,OutReach_Log!$E:$E,"Escalated")</f>
        <v>1</v>
      </c>
      <c r="N267">
        <f>COUNTIFS(Incident_Log!$A:$A,$A267,Incident_Log!$C:$C,"High",Incident_Log!$E:$E,"No")</f>
        <v>0</v>
      </c>
      <c r="O267" t="str">
        <f t="shared" ca="1" si="4"/>
        <v>High Attention Required</v>
      </c>
      <c r="P267">
        <f ca="1">($G267*40)+($H267*30)+($I267*10)+($N267*50)+IF($L267&gt;0,20,0)</f>
        <v>40</v>
      </c>
      <c r="Q267">
        <f ca="1">E267*(P267/100)</f>
        <v>832352</v>
      </c>
      <c r="R267">
        <f ca="1">_xlfn.RANK.EQ($Q267,$Q$2:$Q$401,0)</f>
        <v>54</v>
      </c>
    </row>
    <row r="268" spans="1:18">
      <c r="A268" t="str" cm="1">
        <f t="array" ref="A268">_xlfn._xlws.SORT(Vendor_Master!A268)</f>
        <v>VND-267</v>
      </c>
      <c r="B268" t="str">
        <f>_xlfn.XLOOKUP(Compliance_Sheet!A268,Vendor_Master!A268,Vendor_Master!B268,"")</f>
        <v>Vendor_267</v>
      </c>
      <c r="C268" t="str">
        <f>_xlfn.XLOOKUP(A268,Vendor_Master!A268,Vendor_Master!C268,"")</f>
        <v>Chemical Supply</v>
      </c>
      <c r="D268" t="str">
        <f>_xlfn.XLOOKUP(A268,Vendor_Master!A268,Vendor_Master!D268,"")</f>
        <v>West</v>
      </c>
      <c r="E268">
        <f>_xlfn.XLOOKUP(A268,Vendor_Master!A268,Vendor_Master!E268,0)</f>
        <v>1664252</v>
      </c>
      <c r="F268" t="str">
        <f>_xlfn.XLOOKUP(A268,Vendor_Master!A268,Vendor_Master!H268,"")</f>
        <v>contact267@vendor.com</v>
      </c>
      <c r="G268">
        <f ca="1">COUNTIFS(Sustainability_Documents!$A:$A,$A268,Sustainability_Documents!$H:$H,"Missing")</f>
        <v>0</v>
      </c>
      <c r="H268">
        <f ca="1">COUNTIFS(Sustainability_Documents!$A:$A,$A268,Sustainability_Documents!$H:$H,"Expired")</f>
        <v>0</v>
      </c>
      <c r="I268">
        <f ca="1">COUNTIFS(Sustainability_Documents!$A:$A,$A268,Sustainability_Documents!$H:$H,"Expiring Soon")</f>
        <v>4</v>
      </c>
      <c r="J268">
        <f>COUNTIFS(Sustainability_Documents!$A:$A,$A268,Sustainability_Documents!$C:$C,"Yes")</f>
        <v>4</v>
      </c>
      <c r="K268">
        <f ca="1">IF($J268=0,"",($J268-$G268-$H268)/$J268)</f>
        <v>1</v>
      </c>
      <c r="L268">
        <f ca="1">COUNTIFS(OutReach_Log!$A:$A,$A268,OutReach_Log!$G:$G,"Yes")</f>
        <v>0</v>
      </c>
      <c r="M268">
        <f>COUNTIFS(OutReach_Log!$A:$A,$A268,OutReach_Log!$E:$E,"Pending")
 +COUNTIFS(OutReach_Log!$A:$A,$A268,OutReach_Log!$E:$E,"Escalated")</f>
        <v>0</v>
      </c>
      <c r="N268">
        <f>COUNTIFS(Incident_Log!$A:$A,$A268,Incident_Log!$C:$C,"High",Incident_Log!$E:$E,"No")</f>
        <v>0</v>
      </c>
      <c r="O268" t="str">
        <f t="shared" ca="1" si="4"/>
        <v>High Attention Required</v>
      </c>
      <c r="P268">
        <f ca="1">($G268*40)+($H268*30)+($I268*10)+($N268*50)+IF($L268&gt;0,20,0)</f>
        <v>40</v>
      </c>
      <c r="Q268">
        <f ca="1">E268*(P268/100)</f>
        <v>665700.80000000005</v>
      </c>
      <c r="R268">
        <f ca="1">_xlfn.RANK.EQ($Q268,$Q$2:$Q$401,0)</f>
        <v>65</v>
      </c>
    </row>
    <row r="269" spans="1:18">
      <c r="A269" t="str" cm="1">
        <f t="array" ref="A269">_xlfn._xlws.SORT(Vendor_Master!A269)</f>
        <v>VND-268</v>
      </c>
      <c r="B269" t="str">
        <f>_xlfn.XLOOKUP(Compliance_Sheet!A269,Vendor_Master!A269,Vendor_Master!B269,"")</f>
        <v>Vendor_268</v>
      </c>
      <c r="C269" t="str">
        <f>_xlfn.XLOOKUP(A269,Vendor_Master!A269,Vendor_Master!C269,"")</f>
        <v>Chemical Supply</v>
      </c>
      <c r="D269" t="str">
        <f>_xlfn.XLOOKUP(A269,Vendor_Master!A269,Vendor_Master!D269,"")</f>
        <v>West</v>
      </c>
      <c r="E269">
        <f>_xlfn.XLOOKUP(A269,Vendor_Master!A269,Vendor_Master!E269,0)</f>
        <v>1555807</v>
      </c>
      <c r="F269" t="str">
        <f>_xlfn.XLOOKUP(A269,Vendor_Master!A269,Vendor_Master!H269,"")</f>
        <v>contact268@vendor.com</v>
      </c>
      <c r="G269">
        <f ca="1">COUNTIFS(Sustainability_Documents!$A:$A,$A269,Sustainability_Documents!$H:$H,"Missing")</f>
        <v>0</v>
      </c>
      <c r="H269">
        <f ca="1">COUNTIFS(Sustainability_Documents!$A:$A,$A269,Sustainability_Documents!$H:$H,"Expired")</f>
        <v>1</v>
      </c>
      <c r="I269">
        <f ca="1">COUNTIFS(Sustainability_Documents!$A:$A,$A269,Sustainability_Documents!$H:$H,"Expiring Soon")</f>
        <v>3</v>
      </c>
      <c r="J269">
        <f>COUNTIFS(Sustainability_Documents!$A:$A,$A269,Sustainability_Documents!$C:$C,"Yes")</f>
        <v>4</v>
      </c>
      <c r="K269">
        <f ca="1">IF($J269=0,"",($J269-$G269-$H269)/$J269)</f>
        <v>0.75</v>
      </c>
      <c r="L269">
        <f ca="1">COUNTIFS(OutReach_Log!$A:$A,$A269,OutReach_Log!$G:$G,"Yes")</f>
        <v>1</v>
      </c>
      <c r="M269">
        <f>COUNTIFS(OutReach_Log!$A:$A,$A269,OutReach_Log!$E:$E,"Pending")
 +COUNTIFS(OutReach_Log!$A:$A,$A269,OutReach_Log!$E:$E,"Escalated")</f>
        <v>0</v>
      </c>
      <c r="N269">
        <f>COUNTIFS(Incident_Log!$A:$A,$A269,Incident_Log!$C:$C,"High",Incident_Log!$E:$E,"No")</f>
        <v>0</v>
      </c>
      <c r="O269" t="str">
        <f t="shared" ca="1" si="4"/>
        <v>High Attention Required</v>
      </c>
      <c r="P269">
        <f ca="1">($G269*40)+($H269*30)+($I269*10)+($N269*50)+IF($L269&gt;0,20,0)</f>
        <v>80</v>
      </c>
      <c r="Q269">
        <f ca="1">E269*(P269/100)</f>
        <v>1244645.6000000001</v>
      </c>
      <c r="R269">
        <f ca="1">_xlfn.RANK.EQ($Q269,$Q$2:$Q$401,0)</f>
        <v>38</v>
      </c>
    </row>
    <row r="270" spans="1:18">
      <c r="A270" t="str" cm="1">
        <f t="array" ref="A270">_xlfn._xlws.SORT(Vendor_Master!A270)</f>
        <v>VND-269</v>
      </c>
      <c r="B270" t="str">
        <f>_xlfn.XLOOKUP(Compliance_Sheet!A270,Vendor_Master!A270,Vendor_Master!B270,"")</f>
        <v>Vendor_269</v>
      </c>
      <c r="C270" t="str">
        <f>_xlfn.XLOOKUP(A270,Vendor_Master!A270,Vendor_Master!C270,"")</f>
        <v>Chemical Supply</v>
      </c>
      <c r="D270" t="str">
        <f>_xlfn.XLOOKUP(A270,Vendor_Master!A270,Vendor_Master!D270,"")</f>
        <v>West</v>
      </c>
      <c r="E270">
        <f>_xlfn.XLOOKUP(A270,Vendor_Master!A270,Vendor_Master!E270,0)</f>
        <v>2335985</v>
      </c>
      <c r="F270" t="str">
        <f>_xlfn.XLOOKUP(A270,Vendor_Master!A270,Vendor_Master!H270,"")</f>
        <v>contact269@vendor.com</v>
      </c>
      <c r="G270">
        <f ca="1">COUNTIFS(Sustainability_Documents!$A:$A,$A270,Sustainability_Documents!$H:$H,"Missing")</f>
        <v>0</v>
      </c>
      <c r="H270">
        <f ca="1">COUNTIFS(Sustainability_Documents!$A:$A,$A270,Sustainability_Documents!$H:$H,"Expired")</f>
        <v>0</v>
      </c>
      <c r="I270">
        <f ca="1">COUNTIFS(Sustainability_Documents!$A:$A,$A270,Sustainability_Documents!$H:$H,"Expiring Soon")</f>
        <v>4</v>
      </c>
      <c r="J270">
        <f>COUNTIFS(Sustainability_Documents!$A:$A,$A270,Sustainability_Documents!$C:$C,"Yes")</f>
        <v>4</v>
      </c>
      <c r="K270">
        <f ca="1">IF($J270=0,"",($J270-$G270-$H270)/$J270)</f>
        <v>1</v>
      </c>
      <c r="L270">
        <f ca="1">COUNTIFS(OutReach_Log!$A:$A,$A270,OutReach_Log!$G:$G,"Yes")</f>
        <v>0</v>
      </c>
      <c r="M270">
        <f>COUNTIFS(OutReach_Log!$A:$A,$A270,OutReach_Log!$E:$E,"Pending")
 +COUNTIFS(OutReach_Log!$A:$A,$A270,OutReach_Log!$E:$E,"Escalated")</f>
        <v>1</v>
      </c>
      <c r="N270">
        <f>COUNTIFS(Incident_Log!$A:$A,$A270,Incident_Log!$C:$C,"High",Incident_Log!$E:$E,"No")</f>
        <v>0</v>
      </c>
      <c r="O270" t="str">
        <f t="shared" ca="1" si="4"/>
        <v>High Attention Required</v>
      </c>
      <c r="P270">
        <f ca="1">($G270*40)+($H270*30)+($I270*10)+($N270*50)+IF($L270&gt;0,20,0)</f>
        <v>40</v>
      </c>
      <c r="Q270">
        <f ca="1">E270*(P270/100)</f>
        <v>934394</v>
      </c>
      <c r="R270">
        <f ca="1">_xlfn.RANK.EQ($Q270,$Q$2:$Q$401,0)</f>
        <v>50</v>
      </c>
    </row>
    <row r="271" spans="1:18">
      <c r="A271" t="str" cm="1">
        <f t="array" ref="A271">_xlfn._xlws.SORT(Vendor_Master!A271)</f>
        <v>VND-270</v>
      </c>
      <c r="B271" t="str">
        <f>_xlfn.XLOOKUP(Compliance_Sheet!A271,Vendor_Master!A271,Vendor_Master!B271,"")</f>
        <v>Vendor_270</v>
      </c>
      <c r="C271" t="str">
        <f>_xlfn.XLOOKUP(A271,Vendor_Master!A271,Vendor_Master!C271,"")</f>
        <v>Chemical Supply</v>
      </c>
      <c r="D271" t="str">
        <f>_xlfn.XLOOKUP(A271,Vendor_Master!A271,Vendor_Master!D271,"")</f>
        <v>West</v>
      </c>
      <c r="E271">
        <f>_xlfn.XLOOKUP(A271,Vendor_Master!A271,Vendor_Master!E271,0)</f>
        <v>3354405</v>
      </c>
      <c r="F271" t="str">
        <f>_xlfn.XLOOKUP(A271,Vendor_Master!A271,Vendor_Master!H271,"")</f>
        <v>contact270@vendor.com</v>
      </c>
      <c r="G271">
        <f ca="1">COUNTIFS(Sustainability_Documents!$A:$A,$A271,Sustainability_Documents!$H:$H,"Missing")</f>
        <v>0</v>
      </c>
      <c r="H271">
        <f ca="1">COUNTIFS(Sustainability_Documents!$A:$A,$A271,Sustainability_Documents!$H:$H,"Expired")</f>
        <v>0</v>
      </c>
      <c r="I271">
        <f ca="1">COUNTIFS(Sustainability_Documents!$A:$A,$A271,Sustainability_Documents!$H:$H,"Expiring Soon")</f>
        <v>4</v>
      </c>
      <c r="J271">
        <f>COUNTIFS(Sustainability_Documents!$A:$A,$A271,Sustainability_Documents!$C:$C,"Yes")</f>
        <v>4</v>
      </c>
      <c r="K271">
        <f ca="1">IF($J271=0,"",($J271-$G271-$H271)/$J271)</f>
        <v>1</v>
      </c>
      <c r="L271">
        <f ca="1">COUNTIFS(OutReach_Log!$A:$A,$A271,OutReach_Log!$G:$G,"Yes")</f>
        <v>0</v>
      </c>
      <c r="M271">
        <f>COUNTIFS(OutReach_Log!$A:$A,$A271,OutReach_Log!$E:$E,"Pending")
 +COUNTIFS(OutReach_Log!$A:$A,$A271,OutReach_Log!$E:$E,"Escalated")</f>
        <v>1</v>
      </c>
      <c r="N271">
        <f>COUNTIFS(Incident_Log!$A:$A,$A271,Incident_Log!$C:$C,"High",Incident_Log!$E:$E,"No")</f>
        <v>0</v>
      </c>
      <c r="O271" t="str">
        <f t="shared" ca="1" si="4"/>
        <v>High Attention Required</v>
      </c>
      <c r="P271">
        <f ca="1">($G271*40)+($H271*30)+($I271*10)+($N271*50)+IF($L271&gt;0,20,0)</f>
        <v>40</v>
      </c>
      <c r="Q271">
        <f ca="1">E271*(P271/100)</f>
        <v>1341762</v>
      </c>
      <c r="R271">
        <f ca="1">_xlfn.RANK.EQ($Q271,$Q$2:$Q$401,0)</f>
        <v>33</v>
      </c>
    </row>
    <row r="272" spans="1:18">
      <c r="A272" t="str" cm="1">
        <f t="array" ref="A272">_xlfn._xlws.SORT(Vendor_Master!A272)</f>
        <v>VND-271</v>
      </c>
      <c r="B272" t="str">
        <f>_xlfn.XLOOKUP(Compliance_Sheet!A272,Vendor_Master!A272,Vendor_Master!B272,"")</f>
        <v>Vendor_271</v>
      </c>
      <c r="C272" t="str">
        <f>_xlfn.XLOOKUP(A272,Vendor_Master!A272,Vendor_Master!C272,"")</f>
        <v>Chemical Supply</v>
      </c>
      <c r="D272" t="str">
        <f>_xlfn.XLOOKUP(A272,Vendor_Master!A272,Vendor_Master!D272,"")</f>
        <v>West</v>
      </c>
      <c r="E272">
        <f>_xlfn.XLOOKUP(A272,Vendor_Master!A272,Vendor_Master!E272,0)</f>
        <v>4058999</v>
      </c>
      <c r="F272" t="str">
        <f>_xlfn.XLOOKUP(A272,Vendor_Master!A272,Vendor_Master!H272,"")</f>
        <v>contact271@vendor.com</v>
      </c>
      <c r="G272">
        <f ca="1">COUNTIFS(Sustainability_Documents!$A:$A,$A272,Sustainability_Documents!$H:$H,"Missing")</f>
        <v>0</v>
      </c>
      <c r="H272">
        <f ca="1">COUNTIFS(Sustainability_Documents!$A:$A,$A272,Sustainability_Documents!$H:$H,"Expired")</f>
        <v>0</v>
      </c>
      <c r="I272">
        <f ca="1">COUNTIFS(Sustainability_Documents!$A:$A,$A272,Sustainability_Documents!$H:$H,"Expiring Soon")</f>
        <v>4</v>
      </c>
      <c r="J272">
        <f>COUNTIFS(Sustainability_Documents!$A:$A,$A272,Sustainability_Documents!$C:$C,"Yes")</f>
        <v>4</v>
      </c>
      <c r="K272">
        <f ca="1">IF($J272=0,"",($J272-$G272-$H272)/$J272)</f>
        <v>1</v>
      </c>
      <c r="L272">
        <f ca="1">COUNTIFS(OutReach_Log!$A:$A,$A272,OutReach_Log!$G:$G,"Yes")</f>
        <v>0</v>
      </c>
      <c r="M272">
        <f>COUNTIFS(OutReach_Log!$A:$A,$A272,OutReach_Log!$E:$E,"Pending")
 +COUNTIFS(OutReach_Log!$A:$A,$A272,OutReach_Log!$E:$E,"Escalated")</f>
        <v>1</v>
      </c>
      <c r="N272">
        <f>COUNTIFS(Incident_Log!$A:$A,$A272,Incident_Log!$C:$C,"High",Incident_Log!$E:$E,"No")</f>
        <v>0</v>
      </c>
      <c r="O272" t="str">
        <f t="shared" ca="1" si="4"/>
        <v>High Attention Required</v>
      </c>
      <c r="P272">
        <f ca="1">($G272*40)+($H272*30)+($I272*10)+($N272*50)+IF($L272&gt;0,20,0)</f>
        <v>40</v>
      </c>
      <c r="Q272">
        <f ca="1">E272*(P272/100)</f>
        <v>1623599.6</v>
      </c>
      <c r="R272">
        <f ca="1">_xlfn.RANK.EQ($Q272,$Q$2:$Q$401,0)</f>
        <v>22</v>
      </c>
    </row>
    <row r="273" spans="1:18">
      <c r="A273" t="str" cm="1">
        <f t="array" ref="A273">_xlfn._xlws.SORT(Vendor_Master!A273)</f>
        <v>VND-272</v>
      </c>
      <c r="B273" t="str">
        <f>_xlfn.XLOOKUP(Compliance_Sheet!A273,Vendor_Master!A273,Vendor_Master!B273,"")</f>
        <v>Vendor_272</v>
      </c>
      <c r="C273" t="str">
        <f>_xlfn.XLOOKUP(A273,Vendor_Master!A273,Vendor_Master!C273,"")</f>
        <v>Chemical Supply</v>
      </c>
      <c r="D273" t="str">
        <f>_xlfn.XLOOKUP(A273,Vendor_Master!A273,Vendor_Master!D273,"")</f>
        <v>West</v>
      </c>
      <c r="E273">
        <f>_xlfn.XLOOKUP(A273,Vendor_Master!A273,Vendor_Master!E273,0)</f>
        <v>4260724</v>
      </c>
      <c r="F273" t="str">
        <f>_xlfn.XLOOKUP(A273,Vendor_Master!A273,Vendor_Master!H273,"")</f>
        <v>contact272@vendor.com</v>
      </c>
      <c r="G273">
        <f ca="1">COUNTIFS(Sustainability_Documents!$A:$A,$A273,Sustainability_Documents!$H:$H,"Missing")</f>
        <v>0</v>
      </c>
      <c r="H273">
        <f ca="1">COUNTIFS(Sustainability_Documents!$A:$A,$A273,Sustainability_Documents!$H:$H,"Expired")</f>
        <v>0</v>
      </c>
      <c r="I273">
        <f ca="1">COUNTIFS(Sustainability_Documents!$A:$A,$A273,Sustainability_Documents!$H:$H,"Expiring Soon")</f>
        <v>4</v>
      </c>
      <c r="J273">
        <f>COUNTIFS(Sustainability_Documents!$A:$A,$A273,Sustainability_Documents!$C:$C,"Yes")</f>
        <v>4</v>
      </c>
      <c r="K273">
        <f ca="1">IF($J273=0,"",($J273-$G273-$H273)/$J273)</f>
        <v>1</v>
      </c>
      <c r="L273">
        <f ca="1">COUNTIFS(OutReach_Log!$A:$A,$A273,OutReach_Log!$G:$G,"Yes")</f>
        <v>0</v>
      </c>
      <c r="M273">
        <f>COUNTIFS(OutReach_Log!$A:$A,$A273,OutReach_Log!$E:$E,"Pending")
 +COUNTIFS(OutReach_Log!$A:$A,$A273,OutReach_Log!$E:$E,"Escalated")</f>
        <v>0</v>
      </c>
      <c r="N273">
        <f>COUNTIFS(Incident_Log!$A:$A,$A273,Incident_Log!$C:$C,"High",Incident_Log!$E:$E,"No")</f>
        <v>0</v>
      </c>
      <c r="O273" t="str">
        <f t="shared" ca="1" si="4"/>
        <v>High Attention Required</v>
      </c>
      <c r="P273">
        <f ca="1">($G273*40)+($H273*30)+($I273*10)+($N273*50)+IF($L273&gt;0,20,0)</f>
        <v>40</v>
      </c>
      <c r="Q273">
        <f ca="1">E273*(P273/100)</f>
        <v>1704289.6</v>
      </c>
      <c r="R273">
        <f ca="1">_xlfn.RANK.EQ($Q273,$Q$2:$Q$401,0)</f>
        <v>20</v>
      </c>
    </row>
    <row r="274" spans="1:18">
      <c r="A274" t="str" cm="1">
        <f t="array" ref="A274">_xlfn._xlws.SORT(Vendor_Master!A274)</f>
        <v>VND-273</v>
      </c>
      <c r="B274" t="str">
        <f>_xlfn.XLOOKUP(Compliance_Sheet!A274,Vendor_Master!A274,Vendor_Master!B274,"")</f>
        <v>Vendor_273</v>
      </c>
      <c r="C274" t="str">
        <f>_xlfn.XLOOKUP(A274,Vendor_Master!A274,Vendor_Master!C274,"")</f>
        <v>Chemical Supply</v>
      </c>
      <c r="D274" t="str">
        <f>_xlfn.XLOOKUP(A274,Vendor_Master!A274,Vendor_Master!D274,"")</f>
        <v>West</v>
      </c>
      <c r="E274">
        <f>_xlfn.XLOOKUP(A274,Vendor_Master!A274,Vendor_Master!E274,0)</f>
        <v>3653022</v>
      </c>
      <c r="F274" t="str">
        <f>_xlfn.XLOOKUP(A274,Vendor_Master!A274,Vendor_Master!H274,"")</f>
        <v>contact273@vendor.com</v>
      </c>
      <c r="G274">
        <f ca="1">COUNTIFS(Sustainability_Documents!$A:$A,$A274,Sustainability_Documents!$H:$H,"Missing")</f>
        <v>0</v>
      </c>
      <c r="H274">
        <f ca="1">COUNTIFS(Sustainability_Documents!$A:$A,$A274,Sustainability_Documents!$H:$H,"Expired")</f>
        <v>0</v>
      </c>
      <c r="I274">
        <f ca="1">COUNTIFS(Sustainability_Documents!$A:$A,$A274,Sustainability_Documents!$H:$H,"Expiring Soon")</f>
        <v>4</v>
      </c>
      <c r="J274">
        <f>COUNTIFS(Sustainability_Documents!$A:$A,$A274,Sustainability_Documents!$C:$C,"Yes")</f>
        <v>4</v>
      </c>
      <c r="K274">
        <f ca="1">IF($J274=0,"",($J274-$G274-$H274)/$J274)</f>
        <v>1</v>
      </c>
      <c r="L274">
        <f ca="1">COUNTIFS(OutReach_Log!$A:$A,$A274,OutReach_Log!$G:$G,"Yes")</f>
        <v>0</v>
      </c>
      <c r="M274">
        <f>COUNTIFS(OutReach_Log!$A:$A,$A274,OutReach_Log!$E:$E,"Pending")
 +COUNTIFS(OutReach_Log!$A:$A,$A274,OutReach_Log!$E:$E,"Escalated")</f>
        <v>1</v>
      </c>
      <c r="N274">
        <f>COUNTIFS(Incident_Log!$A:$A,$A274,Incident_Log!$C:$C,"High",Incident_Log!$E:$E,"No")</f>
        <v>0</v>
      </c>
      <c r="O274" t="str">
        <f t="shared" ca="1" si="4"/>
        <v>High Attention Required</v>
      </c>
      <c r="P274">
        <f ca="1">($G274*40)+($H274*30)+($I274*10)+($N274*50)+IF($L274&gt;0,20,0)</f>
        <v>40</v>
      </c>
      <c r="Q274">
        <f ca="1">E274*(P274/100)</f>
        <v>1461208.8</v>
      </c>
      <c r="R274">
        <f ca="1">_xlfn.RANK.EQ($Q274,$Q$2:$Q$401,0)</f>
        <v>26</v>
      </c>
    </row>
    <row r="275" spans="1:18">
      <c r="A275" t="str" cm="1">
        <f t="array" ref="A275">_xlfn._xlws.SORT(Vendor_Master!A275)</f>
        <v>VND-274</v>
      </c>
      <c r="B275" t="str">
        <f>_xlfn.XLOOKUP(Compliance_Sheet!A275,Vendor_Master!A275,Vendor_Master!B275,"")</f>
        <v>Vendor_274</v>
      </c>
      <c r="C275" t="str">
        <f>_xlfn.XLOOKUP(A275,Vendor_Master!A275,Vendor_Master!C275,"")</f>
        <v>Chemical Supply</v>
      </c>
      <c r="D275" t="str">
        <f>_xlfn.XLOOKUP(A275,Vendor_Master!A275,Vendor_Master!D275,"")</f>
        <v>West</v>
      </c>
      <c r="E275">
        <f>_xlfn.XLOOKUP(A275,Vendor_Master!A275,Vendor_Master!E275,0)</f>
        <v>2240574</v>
      </c>
      <c r="F275" t="str">
        <f>_xlfn.XLOOKUP(A275,Vendor_Master!A275,Vendor_Master!H275,"")</f>
        <v>contact274@vendor.com</v>
      </c>
      <c r="G275">
        <f ca="1">COUNTIFS(Sustainability_Documents!$A:$A,$A275,Sustainability_Documents!$H:$H,"Missing")</f>
        <v>0</v>
      </c>
      <c r="H275">
        <f ca="1">COUNTIFS(Sustainability_Documents!$A:$A,$A275,Sustainability_Documents!$H:$H,"Expired")</f>
        <v>0</v>
      </c>
      <c r="I275">
        <f ca="1">COUNTIFS(Sustainability_Documents!$A:$A,$A275,Sustainability_Documents!$H:$H,"Expiring Soon")</f>
        <v>4</v>
      </c>
      <c r="J275">
        <f>COUNTIFS(Sustainability_Documents!$A:$A,$A275,Sustainability_Documents!$C:$C,"Yes")</f>
        <v>4</v>
      </c>
      <c r="K275">
        <f ca="1">IF($J275=0,"",($J275-$G275-$H275)/$J275)</f>
        <v>1</v>
      </c>
      <c r="L275">
        <f ca="1">COUNTIFS(OutReach_Log!$A:$A,$A275,OutReach_Log!$G:$G,"Yes")</f>
        <v>0</v>
      </c>
      <c r="M275">
        <f>COUNTIFS(OutReach_Log!$A:$A,$A275,OutReach_Log!$E:$E,"Pending")
 +COUNTIFS(OutReach_Log!$A:$A,$A275,OutReach_Log!$E:$E,"Escalated")</f>
        <v>1</v>
      </c>
      <c r="N275">
        <f>COUNTIFS(Incident_Log!$A:$A,$A275,Incident_Log!$C:$C,"High",Incident_Log!$E:$E,"No")</f>
        <v>0</v>
      </c>
      <c r="O275" t="str">
        <f t="shared" ca="1" si="4"/>
        <v>High Attention Required</v>
      </c>
      <c r="P275">
        <f ca="1">($G275*40)+($H275*30)+($I275*10)+($N275*50)+IF($L275&gt;0,20,0)</f>
        <v>40</v>
      </c>
      <c r="Q275">
        <f ca="1">E275*(P275/100)</f>
        <v>896229.60000000009</v>
      </c>
      <c r="R275">
        <f ca="1">_xlfn.RANK.EQ($Q275,$Q$2:$Q$401,0)</f>
        <v>52</v>
      </c>
    </row>
    <row r="276" spans="1:18">
      <c r="A276" t="str" cm="1">
        <f t="array" ref="A276">_xlfn._xlws.SORT(Vendor_Master!A276)</f>
        <v>VND-275</v>
      </c>
      <c r="B276" t="str">
        <f>_xlfn.XLOOKUP(Compliance_Sheet!A276,Vendor_Master!A276,Vendor_Master!B276,"")</f>
        <v>Vendor_275</v>
      </c>
      <c r="C276" t="str">
        <f>_xlfn.XLOOKUP(A276,Vendor_Master!A276,Vendor_Master!C276,"")</f>
        <v>Chemical Supply</v>
      </c>
      <c r="D276" t="str">
        <f>_xlfn.XLOOKUP(A276,Vendor_Master!A276,Vendor_Master!D276,"")</f>
        <v>West</v>
      </c>
      <c r="E276">
        <f>_xlfn.XLOOKUP(A276,Vendor_Master!A276,Vendor_Master!E276,0)</f>
        <v>1909874</v>
      </c>
      <c r="F276" t="str">
        <f>_xlfn.XLOOKUP(A276,Vendor_Master!A276,Vendor_Master!H276,"")</f>
        <v>contact275@vendor.com</v>
      </c>
      <c r="G276">
        <f ca="1">COUNTIFS(Sustainability_Documents!$A:$A,$A276,Sustainability_Documents!$H:$H,"Missing")</f>
        <v>0</v>
      </c>
      <c r="H276">
        <f ca="1">COUNTIFS(Sustainability_Documents!$A:$A,$A276,Sustainability_Documents!$H:$H,"Expired")</f>
        <v>0</v>
      </c>
      <c r="I276">
        <f ca="1">COUNTIFS(Sustainability_Documents!$A:$A,$A276,Sustainability_Documents!$H:$H,"Expiring Soon")</f>
        <v>4</v>
      </c>
      <c r="J276">
        <f>COUNTIFS(Sustainability_Documents!$A:$A,$A276,Sustainability_Documents!$C:$C,"Yes")</f>
        <v>4</v>
      </c>
      <c r="K276">
        <f ca="1">IF($J276=0,"",($J276-$G276-$H276)/$J276)</f>
        <v>1</v>
      </c>
      <c r="L276">
        <f ca="1">COUNTIFS(OutReach_Log!$A:$A,$A276,OutReach_Log!$G:$G,"Yes")</f>
        <v>0</v>
      </c>
      <c r="M276">
        <f>COUNTIFS(OutReach_Log!$A:$A,$A276,OutReach_Log!$E:$E,"Pending")
 +COUNTIFS(OutReach_Log!$A:$A,$A276,OutReach_Log!$E:$E,"Escalated")</f>
        <v>1</v>
      </c>
      <c r="N276">
        <f>COUNTIFS(Incident_Log!$A:$A,$A276,Incident_Log!$C:$C,"High",Incident_Log!$E:$E,"No")</f>
        <v>0</v>
      </c>
      <c r="O276" t="str">
        <f t="shared" ca="1" si="4"/>
        <v>High Attention Required</v>
      </c>
      <c r="P276">
        <f ca="1">($G276*40)+($H276*30)+($I276*10)+($N276*50)+IF($L276&gt;0,20,0)</f>
        <v>40</v>
      </c>
      <c r="Q276">
        <f ca="1">E276*(P276/100)</f>
        <v>763949.60000000009</v>
      </c>
      <c r="R276">
        <f ca="1">_xlfn.RANK.EQ($Q276,$Q$2:$Q$401,0)</f>
        <v>59</v>
      </c>
    </row>
    <row r="277" spans="1:18">
      <c r="A277" t="str" cm="1">
        <f t="array" ref="A277">_xlfn._xlws.SORT(Vendor_Master!A277)</f>
        <v>VND-276</v>
      </c>
      <c r="B277" t="str">
        <f>_xlfn.XLOOKUP(Compliance_Sheet!A277,Vendor_Master!A277,Vendor_Master!B277,"")</f>
        <v>Vendor_276</v>
      </c>
      <c r="C277" t="str">
        <f>_xlfn.XLOOKUP(A277,Vendor_Master!A277,Vendor_Master!C277,"")</f>
        <v>Chemical Supply</v>
      </c>
      <c r="D277" t="str">
        <f>_xlfn.XLOOKUP(A277,Vendor_Master!A277,Vendor_Master!D277,"")</f>
        <v>West</v>
      </c>
      <c r="E277">
        <f>_xlfn.XLOOKUP(A277,Vendor_Master!A277,Vendor_Master!E277,0)</f>
        <v>1844223</v>
      </c>
      <c r="F277" t="str">
        <f>_xlfn.XLOOKUP(A277,Vendor_Master!A277,Vendor_Master!H277,"")</f>
        <v>contact276@vendor.com</v>
      </c>
      <c r="G277">
        <f ca="1">COUNTIFS(Sustainability_Documents!$A:$A,$A277,Sustainability_Documents!$H:$H,"Missing")</f>
        <v>0</v>
      </c>
      <c r="H277">
        <f ca="1">COUNTIFS(Sustainability_Documents!$A:$A,$A277,Sustainability_Documents!$H:$H,"Expired")</f>
        <v>1</v>
      </c>
      <c r="I277">
        <f ca="1">COUNTIFS(Sustainability_Documents!$A:$A,$A277,Sustainability_Documents!$H:$H,"Expiring Soon")</f>
        <v>3</v>
      </c>
      <c r="J277">
        <f>COUNTIFS(Sustainability_Documents!$A:$A,$A277,Sustainability_Documents!$C:$C,"Yes")</f>
        <v>4</v>
      </c>
      <c r="K277">
        <f ca="1">IF($J277=0,"",($J277-$G277-$H277)/$J277)</f>
        <v>0.75</v>
      </c>
      <c r="L277">
        <f ca="1">COUNTIFS(OutReach_Log!$A:$A,$A277,OutReach_Log!$G:$G,"Yes")</f>
        <v>1</v>
      </c>
      <c r="M277">
        <f>COUNTIFS(OutReach_Log!$A:$A,$A277,OutReach_Log!$E:$E,"Pending")
 +COUNTIFS(OutReach_Log!$A:$A,$A277,OutReach_Log!$E:$E,"Escalated")</f>
        <v>1</v>
      </c>
      <c r="N277">
        <f>COUNTIFS(Incident_Log!$A:$A,$A277,Incident_Log!$C:$C,"High",Incident_Log!$E:$E,"No")</f>
        <v>0</v>
      </c>
      <c r="O277" t="str">
        <f t="shared" ca="1" si="4"/>
        <v>High Attention Required</v>
      </c>
      <c r="P277">
        <f ca="1">($G277*40)+($H277*30)+($I277*10)+($N277*50)+IF($L277&gt;0,20,0)</f>
        <v>80</v>
      </c>
      <c r="Q277">
        <f ca="1">E277*(P277/100)</f>
        <v>1475378.4000000001</v>
      </c>
      <c r="R277">
        <f ca="1">_xlfn.RANK.EQ($Q277,$Q$2:$Q$401,0)</f>
        <v>24</v>
      </c>
    </row>
    <row r="278" spans="1:18">
      <c r="A278" t="str" cm="1">
        <f t="array" ref="A278">_xlfn._xlws.SORT(Vendor_Master!A278)</f>
        <v>VND-277</v>
      </c>
      <c r="B278" t="str">
        <f>_xlfn.XLOOKUP(Compliance_Sheet!A278,Vendor_Master!A278,Vendor_Master!B278,"")</f>
        <v>Vendor_277</v>
      </c>
      <c r="C278" t="str">
        <f>_xlfn.XLOOKUP(A278,Vendor_Master!A278,Vendor_Master!C278,"")</f>
        <v>Chemical Supply</v>
      </c>
      <c r="D278" t="str">
        <f>_xlfn.XLOOKUP(A278,Vendor_Master!A278,Vendor_Master!D278,"")</f>
        <v>West</v>
      </c>
      <c r="E278">
        <f>_xlfn.XLOOKUP(A278,Vendor_Master!A278,Vendor_Master!E278,0)</f>
        <v>2114645</v>
      </c>
      <c r="F278" t="str">
        <f>_xlfn.XLOOKUP(A278,Vendor_Master!A278,Vendor_Master!H278,"")</f>
        <v>contact277@vendor.com</v>
      </c>
      <c r="G278">
        <f ca="1">COUNTIFS(Sustainability_Documents!$A:$A,$A278,Sustainability_Documents!$H:$H,"Missing")</f>
        <v>0</v>
      </c>
      <c r="H278">
        <f ca="1">COUNTIFS(Sustainability_Documents!$A:$A,$A278,Sustainability_Documents!$H:$H,"Expired")</f>
        <v>0</v>
      </c>
      <c r="I278">
        <f ca="1">COUNTIFS(Sustainability_Documents!$A:$A,$A278,Sustainability_Documents!$H:$H,"Expiring Soon")</f>
        <v>4</v>
      </c>
      <c r="J278">
        <f>COUNTIFS(Sustainability_Documents!$A:$A,$A278,Sustainability_Documents!$C:$C,"Yes")</f>
        <v>4</v>
      </c>
      <c r="K278">
        <f ca="1">IF($J278=0,"",($J278-$G278-$H278)/$J278)</f>
        <v>1</v>
      </c>
      <c r="L278">
        <f ca="1">COUNTIFS(OutReach_Log!$A:$A,$A278,OutReach_Log!$G:$G,"Yes")</f>
        <v>0</v>
      </c>
      <c r="M278">
        <f>COUNTIFS(OutReach_Log!$A:$A,$A278,OutReach_Log!$E:$E,"Pending")
 +COUNTIFS(OutReach_Log!$A:$A,$A278,OutReach_Log!$E:$E,"Escalated")</f>
        <v>1</v>
      </c>
      <c r="N278">
        <f>COUNTIFS(Incident_Log!$A:$A,$A278,Incident_Log!$C:$C,"High",Incident_Log!$E:$E,"No")</f>
        <v>0</v>
      </c>
      <c r="O278" t="str">
        <f t="shared" ca="1" si="4"/>
        <v>High Attention Required</v>
      </c>
      <c r="P278">
        <f ca="1">($G278*40)+($H278*30)+($I278*10)+($N278*50)+IF($L278&gt;0,20,0)</f>
        <v>40</v>
      </c>
      <c r="Q278">
        <f ca="1">E278*(P278/100)</f>
        <v>845858</v>
      </c>
      <c r="R278">
        <f ca="1">_xlfn.RANK.EQ($Q278,$Q$2:$Q$401,0)</f>
        <v>53</v>
      </c>
    </row>
    <row r="279" spans="1:18">
      <c r="A279" t="str" cm="1">
        <f t="array" ref="A279">_xlfn._xlws.SORT(Vendor_Master!A279)</f>
        <v>VND-278</v>
      </c>
      <c r="B279" t="str">
        <f>_xlfn.XLOOKUP(Compliance_Sheet!A279,Vendor_Master!A279,Vendor_Master!B279,"")</f>
        <v>Vendor_278</v>
      </c>
      <c r="C279" t="str">
        <f>_xlfn.XLOOKUP(A279,Vendor_Master!A279,Vendor_Master!C279,"")</f>
        <v>Chemical Supply</v>
      </c>
      <c r="D279" t="str">
        <f>_xlfn.XLOOKUP(A279,Vendor_Master!A279,Vendor_Master!D279,"")</f>
        <v>West</v>
      </c>
      <c r="E279">
        <f>_xlfn.XLOOKUP(A279,Vendor_Master!A279,Vendor_Master!E279,0)</f>
        <v>2506502</v>
      </c>
      <c r="F279" t="str">
        <f>_xlfn.XLOOKUP(A279,Vendor_Master!A279,Vendor_Master!H279,"")</f>
        <v>contact278@vendor.com</v>
      </c>
      <c r="G279">
        <f ca="1">COUNTIFS(Sustainability_Documents!$A:$A,$A279,Sustainability_Documents!$H:$H,"Missing")</f>
        <v>0</v>
      </c>
      <c r="H279">
        <f ca="1">COUNTIFS(Sustainability_Documents!$A:$A,$A279,Sustainability_Documents!$H:$H,"Expired")</f>
        <v>0</v>
      </c>
      <c r="I279">
        <f ca="1">COUNTIFS(Sustainability_Documents!$A:$A,$A279,Sustainability_Documents!$H:$H,"Expiring Soon")</f>
        <v>4</v>
      </c>
      <c r="J279">
        <f>COUNTIFS(Sustainability_Documents!$A:$A,$A279,Sustainability_Documents!$C:$C,"Yes")</f>
        <v>4</v>
      </c>
      <c r="K279">
        <f ca="1">IF($J279=0,"",($J279-$G279-$H279)/$J279)</f>
        <v>1</v>
      </c>
      <c r="L279">
        <f ca="1">COUNTIFS(OutReach_Log!$A:$A,$A279,OutReach_Log!$G:$G,"Yes")</f>
        <v>0</v>
      </c>
      <c r="M279">
        <f>COUNTIFS(OutReach_Log!$A:$A,$A279,OutReach_Log!$E:$E,"Pending")
 +COUNTIFS(OutReach_Log!$A:$A,$A279,OutReach_Log!$E:$E,"Escalated")</f>
        <v>0</v>
      </c>
      <c r="N279">
        <f>COUNTIFS(Incident_Log!$A:$A,$A279,Incident_Log!$C:$C,"High",Incident_Log!$E:$E,"No")</f>
        <v>0</v>
      </c>
      <c r="O279" t="str">
        <f t="shared" ca="1" si="4"/>
        <v>High Attention Required</v>
      </c>
      <c r="P279">
        <f ca="1">($G279*40)+($H279*30)+($I279*10)+($N279*50)+IF($L279&gt;0,20,0)</f>
        <v>40</v>
      </c>
      <c r="Q279">
        <f ca="1">E279*(P279/100)</f>
        <v>1002600.8</v>
      </c>
      <c r="R279">
        <f ca="1">_xlfn.RANK.EQ($Q279,$Q$2:$Q$401,0)</f>
        <v>46</v>
      </c>
    </row>
    <row r="280" spans="1:18">
      <c r="A280" t="str" cm="1">
        <f t="array" ref="A280">_xlfn._xlws.SORT(Vendor_Master!A280)</f>
        <v>VND-279</v>
      </c>
      <c r="B280" t="str">
        <f>_xlfn.XLOOKUP(Compliance_Sheet!A280,Vendor_Master!A280,Vendor_Master!B280,"")</f>
        <v>Vendor_279</v>
      </c>
      <c r="C280" t="str">
        <f>_xlfn.XLOOKUP(A280,Vendor_Master!A280,Vendor_Master!C280,"")</f>
        <v>Chemical Supply</v>
      </c>
      <c r="D280" t="str">
        <f>_xlfn.XLOOKUP(A280,Vendor_Master!A280,Vendor_Master!D280,"")</f>
        <v>West</v>
      </c>
      <c r="E280">
        <f>_xlfn.XLOOKUP(A280,Vendor_Master!A280,Vendor_Master!E280,0)</f>
        <v>4813038</v>
      </c>
      <c r="F280" t="str">
        <f>_xlfn.XLOOKUP(A280,Vendor_Master!A280,Vendor_Master!H280,"")</f>
        <v>contact279@vendor.com</v>
      </c>
      <c r="G280">
        <f ca="1">COUNTIFS(Sustainability_Documents!$A:$A,$A280,Sustainability_Documents!$H:$H,"Missing")</f>
        <v>0</v>
      </c>
      <c r="H280">
        <f ca="1">COUNTIFS(Sustainability_Documents!$A:$A,$A280,Sustainability_Documents!$H:$H,"Expired")</f>
        <v>0</v>
      </c>
      <c r="I280">
        <f ca="1">COUNTIFS(Sustainability_Documents!$A:$A,$A280,Sustainability_Documents!$H:$H,"Expiring Soon")</f>
        <v>4</v>
      </c>
      <c r="J280">
        <f>COUNTIFS(Sustainability_Documents!$A:$A,$A280,Sustainability_Documents!$C:$C,"Yes")</f>
        <v>4</v>
      </c>
      <c r="K280">
        <f ca="1">IF($J280=0,"",($J280-$G280-$H280)/$J280)</f>
        <v>1</v>
      </c>
      <c r="L280">
        <f ca="1">COUNTIFS(OutReach_Log!$A:$A,$A280,OutReach_Log!$G:$G,"Yes")</f>
        <v>0</v>
      </c>
      <c r="M280">
        <f>COUNTIFS(OutReach_Log!$A:$A,$A280,OutReach_Log!$E:$E,"Pending")
 +COUNTIFS(OutReach_Log!$A:$A,$A280,OutReach_Log!$E:$E,"Escalated")</f>
        <v>1</v>
      </c>
      <c r="N280">
        <f>COUNTIFS(Incident_Log!$A:$A,$A280,Incident_Log!$C:$C,"High",Incident_Log!$E:$E,"No")</f>
        <v>0</v>
      </c>
      <c r="O280" t="str">
        <f t="shared" ca="1" si="4"/>
        <v>High Attention Required</v>
      </c>
      <c r="P280">
        <f ca="1">($G280*40)+($H280*30)+($I280*10)+($N280*50)+IF($L280&gt;0,20,0)</f>
        <v>40</v>
      </c>
      <c r="Q280">
        <f ca="1">E280*(P280/100)</f>
        <v>1925215.2000000002</v>
      </c>
      <c r="R280">
        <f ca="1">_xlfn.RANK.EQ($Q280,$Q$2:$Q$401,0)</f>
        <v>11</v>
      </c>
    </row>
    <row r="281" spans="1:18">
      <c r="A281" t="str" cm="1">
        <f t="array" ref="A281">_xlfn._xlws.SORT(Vendor_Master!A281)</f>
        <v>VND-280</v>
      </c>
      <c r="B281" t="str">
        <f>_xlfn.XLOOKUP(Compliance_Sheet!A281,Vendor_Master!A281,Vendor_Master!B281,"")</f>
        <v>Vendor_280</v>
      </c>
      <c r="C281" t="str">
        <f>_xlfn.XLOOKUP(A281,Vendor_Master!A281,Vendor_Master!C281,"")</f>
        <v>Chemical Supply</v>
      </c>
      <c r="D281" t="str">
        <f>_xlfn.XLOOKUP(A281,Vendor_Master!A281,Vendor_Master!D281,"")</f>
        <v>West</v>
      </c>
      <c r="E281">
        <f>_xlfn.XLOOKUP(A281,Vendor_Master!A281,Vendor_Master!E281,0)</f>
        <v>3824780</v>
      </c>
      <c r="F281" t="str">
        <f>_xlfn.XLOOKUP(A281,Vendor_Master!A281,Vendor_Master!H281,"")</f>
        <v>contact280@vendor.com</v>
      </c>
      <c r="G281">
        <f ca="1">COUNTIFS(Sustainability_Documents!$A:$A,$A281,Sustainability_Documents!$H:$H,"Missing")</f>
        <v>0</v>
      </c>
      <c r="H281">
        <f ca="1">COUNTIFS(Sustainability_Documents!$A:$A,$A281,Sustainability_Documents!$H:$H,"Expired")</f>
        <v>0</v>
      </c>
      <c r="I281">
        <f ca="1">COUNTIFS(Sustainability_Documents!$A:$A,$A281,Sustainability_Documents!$H:$H,"Expiring Soon")</f>
        <v>4</v>
      </c>
      <c r="J281">
        <f>COUNTIFS(Sustainability_Documents!$A:$A,$A281,Sustainability_Documents!$C:$C,"Yes")</f>
        <v>4</v>
      </c>
      <c r="K281">
        <f ca="1">IF($J281=0,"",($J281-$G281-$H281)/$J281)</f>
        <v>1</v>
      </c>
      <c r="L281">
        <f ca="1">COUNTIFS(OutReach_Log!$A:$A,$A281,OutReach_Log!$G:$G,"Yes")</f>
        <v>0</v>
      </c>
      <c r="M281">
        <f>COUNTIFS(OutReach_Log!$A:$A,$A281,OutReach_Log!$E:$E,"Pending")
 +COUNTIFS(OutReach_Log!$A:$A,$A281,OutReach_Log!$E:$E,"Escalated")</f>
        <v>0</v>
      </c>
      <c r="N281">
        <f>COUNTIFS(Incident_Log!$A:$A,$A281,Incident_Log!$C:$C,"High",Incident_Log!$E:$E,"No")</f>
        <v>0</v>
      </c>
      <c r="O281" t="str">
        <f t="shared" ca="1" si="4"/>
        <v>High Attention Required</v>
      </c>
      <c r="P281">
        <f ca="1">($G281*40)+($H281*30)+($I281*10)+($N281*50)+IF($L281&gt;0,20,0)</f>
        <v>40</v>
      </c>
      <c r="Q281">
        <f ca="1">E281*(P281/100)</f>
        <v>1529912</v>
      </c>
      <c r="R281">
        <f ca="1">_xlfn.RANK.EQ($Q281,$Q$2:$Q$401,0)</f>
        <v>23</v>
      </c>
    </row>
    <row r="282" spans="1:18">
      <c r="A282" t="str" cm="1">
        <f t="array" ref="A282">_xlfn._xlws.SORT(Vendor_Master!A282)</f>
        <v>VND-281</v>
      </c>
      <c r="B282" t="str">
        <f>_xlfn.XLOOKUP(Compliance_Sheet!A282,Vendor_Master!A282,Vendor_Master!B282,"")</f>
        <v>Vendor_281</v>
      </c>
      <c r="C282" t="str">
        <f>_xlfn.XLOOKUP(A282,Vendor_Master!A282,Vendor_Master!C282,"")</f>
        <v>Chemical Supply</v>
      </c>
      <c r="D282" t="str">
        <f>_xlfn.XLOOKUP(A282,Vendor_Master!A282,Vendor_Master!D282,"")</f>
        <v>West</v>
      </c>
      <c r="E282">
        <f>_xlfn.XLOOKUP(A282,Vendor_Master!A282,Vendor_Master!E282,0)</f>
        <v>4469254</v>
      </c>
      <c r="F282" t="str">
        <f>_xlfn.XLOOKUP(A282,Vendor_Master!A282,Vendor_Master!H282,"")</f>
        <v>contact281@vendor.com</v>
      </c>
      <c r="G282">
        <f ca="1">COUNTIFS(Sustainability_Documents!$A:$A,$A282,Sustainability_Documents!$H:$H,"Missing")</f>
        <v>0</v>
      </c>
      <c r="H282">
        <f ca="1">COUNTIFS(Sustainability_Documents!$A:$A,$A282,Sustainability_Documents!$H:$H,"Expired")</f>
        <v>0</v>
      </c>
      <c r="I282">
        <f ca="1">COUNTIFS(Sustainability_Documents!$A:$A,$A282,Sustainability_Documents!$H:$H,"Expiring Soon")</f>
        <v>4</v>
      </c>
      <c r="J282">
        <f>COUNTIFS(Sustainability_Documents!$A:$A,$A282,Sustainability_Documents!$C:$C,"Yes")</f>
        <v>4</v>
      </c>
      <c r="K282">
        <f ca="1">IF($J282=0,"",($J282-$G282-$H282)/$J282)</f>
        <v>1</v>
      </c>
      <c r="L282">
        <f ca="1">COUNTIFS(OutReach_Log!$A:$A,$A282,OutReach_Log!$G:$G,"Yes")</f>
        <v>0</v>
      </c>
      <c r="M282">
        <f>COUNTIFS(OutReach_Log!$A:$A,$A282,OutReach_Log!$E:$E,"Pending")
 +COUNTIFS(OutReach_Log!$A:$A,$A282,OutReach_Log!$E:$E,"Escalated")</f>
        <v>0</v>
      </c>
      <c r="N282">
        <f>COUNTIFS(Incident_Log!$A:$A,$A282,Incident_Log!$C:$C,"High",Incident_Log!$E:$E,"No")</f>
        <v>0</v>
      </c>
      <c r="O282" t="str">
        <f t="shared" ca="1" si="4"/>
        <v>High Attention Required</v>
      </c>
      <c r="P282">
        <f ca="1">($G282*40)+($H282*30)+($I282*10)+($N282*50)+IF($L282&gt;0,20,0)</f>
        <v>40</v>
      </c>
      <c r="Q282">
        <f ca="1">E282*(P282/100)</f>
        <v>1787701.6</v>
      </c>
      <c r="R282">
        <f ca="1">_xlfn.RANK.EQ($Q282,$Q$2:$Q$401,0)</f>
        <v>17</v>
      </c>
    </row>
    <row r="283" spans="1:18">
      <c r="A283" t="str" cm="1">
        <f t="array" ref="A283">_xlfn._xlws.SORT(Vendor_Master!A283)</f>
        <v>VND-282</v>
      </c>
      <c r="B283" t="str">
        <f>_xlfn.XLOOKUP(Compliance_Sheet!A283,Vendor_Master!A283,Vendor_Master!B283,"")</f>
        <v>Vendor_282</v>
      </c>
      <c r="C283" t="str">
        <f>_xlfn.XLOOKUP(A283,Vendor_Master!A283,Vendor_Master!C283,"")</f>
        <v>Chemical Supply</v>
      </c>
      <c r="D283" t="str">
        <f>_xlfn.XLOOKUP(A283,Vendor_Master!A283,Vendor_Master!D283,"")</f>
        <v>West</v>
      </c>
      <c r="E283">
        <f>_xlfn.XLOOKUP(A283,Vendor_Master!A283,Vendor_Master!E283,0)</f>
        <v>4283175</v>
      </c>
      <c r="F283" t="str">
        <f>_xlfn.XLOOKUP(A283,Vendor_Master!A283,Vendor_Master!H283,"")</f>
        <v>contact282@vendor.com</v>
      </c>
      <c r="G283">
        <f ca="1">COUNTIFS(Sustainability_Documents!$A:$A,$A283,Sustainability_Documents!$H:$H,"Missing")</f>
        <v>0</v>
      </c>
      <c r="H283">
        <f ca="1">COUNTIFS(Sustainability_Documents!$A:$A,$A283,Sustainability_Documents!$H:$H,"Expired")</f>
        <v>0</v>
      </c>
      <c r="I283">
        <f ca="1">COUNTIFS(Sustainability_Documents!$A:$A,$A283,Sustainability_Documents!$H:$H,"Expiring Soon")</f>
        <v>4</v>
      </c>
      <c r="J283">
        <f>COUNTIFS(Sustainability_Documents!$A:$A,$A283,Sustainability_Documents!$C:$C,"Yes")</f>
        <v>4</v>
      </c>
      <c r="K283">
        <f ca="1">IF($J283=0,"",($J283-$G283-$H283)/$J283)</f>
        <v>1</v>
      </c>
      <c r="L283">
        <f ca="1">COUNTIFS(OutReach_Log!$A:$A,$A283,OutReach_Log!$G:$G,"Yes")</f>
        <v>0</v>
      </c>
      <c r="M283">
        <f>COUNTIFS(OutReach_Log!$A:$A,$A283,OutReach_Log!$E:$E,"Pending")
 +COUNTIFS(OutReach_Log!$A:$A,$A283,OutReach_Log!$E:$E,"Escalated")</f>
        <v>1</v>
      </c>
      <c r="N283">
        <f>COUNTIFS(Incident_Log!$A:$A,$A283,Incident_Log!$C:$C,"High",Incident_Log!$E:$E,"No")</f>
        <v>0</v>
      </c>
      <c r="O283" t="str">
        <f t="shared" ca="1" si="4"/>
        <v>High Attention Required</v>
      </c>
      <c r="P283">
        <f ca="1">($G283*40)+($H283*30)+($I283*10)+($N283*50)+IF($L283&gt;0,20,0)</f>
        <v>40</v>
      </c>
      <c r="Q283">
        <f ca="1">E283*(P283/100)</f>
        <v>1713270</v>
      </c>
      <c r="R283">
        <f ca="1">_xlfn.RANK.EQ($Q283,$Q$2:$Q$401,0)</f>
        <v>19</v>
      </c>
    </row>
    <row r="284" spans="1:18">
      <c r="A284" t="str" cm="1">
        <f t="array" ref="A284">_xlfn._xlws.SORT(Vendor_Master!A284)</f>
        <v>VND-283</v>
      </c>
      <c r="B284" t="str">
        <f>_xlfn.XLOOKUP(Compliance_Sheet!A284,Vendor_Master!A284,Vendor_Master!B284,"")</f>
        <v>Vendor_283</v>
      </c>
      <c r="C284" t="str">
        <f>_xlfn.XLOOKUP(A284,Vendor_Master!A284,Vendor_Master!C284,"")</f>
        <v>Chemical Supply</v>
      </c>
      <c r="D284" t="str">
        <f>_xlfn.XLOOKUP(A284,Vendor_Master!A284,Vendor_Master!D284,"")</f>
        <v>West</v>
      </c>
      <c r="E284">
        <f>_xlfn.XLOOKUP(A284,Vendor_Master!A284,Vendor_Master!E284,0)</f>
        <v>2068569</v>
      </c>
      <c r="F284" t="str">
        <f>_xlfn.XLOOKUP(A284,Vendor_Master!A284,Vendor_Master!H284,"")</f>
        <v>contact283@vendor.com</v>
      </c>
      <c r="G284">
        <f ca="1">COUNTIFS(Sustainability_Documents!$A:$A,$A284,Sustainability_Documents!$H:$H,"Missing")</f>
        <v>0</v>
      </c>
      <c r="H284">
        <f ca="1">COUNTIFS(Sustainability_Documents!$A:$A,$A284,Sustainability_Documents!$H:$H,"Expired")</f>
        <v>0</v>
      </c>
      <c r="I284">
        <f ca="1">COUNTIFS(Sustainability_Documents!$A:$A,$A284,Sustainability_Documents!$H:$H,"Expiring Soon")</f>
        <v>4</v>
      </c>
      <c r="J284">
        <f>COUNTIFS(Sustainability_Documents!$A:$A,$A284,Sustainability_Documents!$C:$C,"Yes")</f>
        <v>4</v>
      </c>
      <c r="K284">
        <f ca="1">IF($J284=0,"",($J284-$G284-$H284)/$J284)</f>
        <v>1</v>
      </c>
      <c r="L284">
        <f ca="1">COUNTIFS(OutReach_Log!$A:$A,$A284,OutReach_Log!$G:$G,"Yes")</f>
        <v>0</v>
      </c>
      <c r="M284">
        <f>COUNTIFS(OutReach_Log!$A:$A,$A284,OutReach_Log!$E:$E,"Pending")
 +COUNTIFS(OutReach_Log!$A:$A,$A284,OutReach_Log!$E:$E,"Escalated")</f>
        <v>0</v>
      </c>
      <c r="N284">
        <f>COUNTIFS(Incident_Log!$A:$A,$A284,Incident_Log!$C:$C,"High",Incident_Log!$E:$E,"No")</f>
        <v>0</v>
      </c>
      <c r="O284" t="str">
        <f t="shared" ca="1" si="4"/>
        <v>High Attention Required</v>
      </c>
      <c r="P284">
        <f ca="1">($G284*40)+($H284*30)+($I284*10)+($N284*50)+IF($L284&gt;0,20,0)</f>
        <v>40</v>
      </c>
      <c r="Q284">
        <f ca="1">E284*(P284/100)</f>
        <v>827427.60000000009</v>
      </c>
      <c r="R284">
        <f ca="1">_xlfn.RANK.EQ($Q284,$Q$2:$Q$401,0)</f>
        <v>55</v>
      </c>
    </row>
    <row r="285" spans="1:18">
      <c r="A285" t="str" cm="1">
        <f t="array" ref="A285">_xlfn._xlws.SORT(Vendor_Master!A285)</f>
        <v>VND-284</v>
      </c>
      <c r="B285" t="str">
        <f>_xlfn.XLOOKUP(Compliance_Sheet!A285,Vendor_Master!A285,Vendor_Master!B285,"")</f>
        <v>Vendor_284</v>
      </c>
      <c r="C285" t="str">
        <f>_xlfn.XLOOKUP(A285,Vendor_Master!A285,Vendor_Master!C285,"")</f>
        <v>Chemical Supply</v>
      </c>
      <c r="D285" t="str">
        <f>_xlfn.XLOOKUP(A285,Vendor_Master!A285,Vendor_Master!D285,"")</f>
        <v>West</v>
      </c>
      <c r="E285">
        <f>_xlfn.XLOOKUP(A285,Vendor_Master!A285,Vendor_Master!E285,0)</f>
        <v>4803966</v>
      </c>
      <c r="F285" t="str">
        <f>_xlfn.XLOOKUP(A285,Vendor_Master!A285,Vendor_Master!H285,"")</f>
        <v>contact284@vendor.com</v>
      </c>
      <c r="G285">
        <f ca="1">COUNTIFS(Sustainability_Documents!$A:$A,$A285,Sustainability_Documents!$H:$H,"Missing")</f>
        <v>0</v>
      </c>
      <c r="H285">
        <f ca="1">COUNTIFS(Sustainability_Documents!$A:$A,$A285,Sustainability_Documents!$H:$H,"Expired")</f>
        <v>0</v>
      </c>
      <c r="I285">
        <f ca="1">COUNTIFS(Sustainability_Documents!$A:$A,$A285,Sustainability_Documents!$H:$H,"Expiring Soon")</f>
        <v>4</v>
      </c>
      <c r="J285">
        <f>COUNTIFS(Sustainability_Documents!$A:$A,$A285,Sustainability_Documents!$C:$C,"Yes")</f>
        <v>4</v>
      </c>
      <c r="K285">
        <f ca="1">IF($J285=0,"",($J285-$G285-$H285)/$J285)</f>
        <v>1</v>
      </c>
      <c r="L285">
        <f ca="1">COUNTIFS(OutReach_Log!$A:$A,$A285,OutReach_Log!$G:$G,"Yes")</f>
        <v>0</v>
      </c>
      <c r="M285">
        <f>COUNTIFS(OutReach_Log!$A:$A,$A285,OutReach_Log!$E:$E,"Pending")
 +COUNTIFS(OutReach_Log!$A:$A,$A285,OutReach_Log!$E:$E,"Escalated")</f>
        <v>1</v>
      </c>
      <c r="N285">
        <f>COUNTIFS(Incident_Log!$A:$A,$A285,Incident_Log!$C:$C,"High",Incident_Log!$E:$E,"No")</f>
        <v>0</v>
      </c>
      <c r="O285" t="str">
        <f t="shared" ca="1" si="4"/>
        <v>High Attention Required</v>
      </c>
      <c r="P285">
        <f ca="1">($G285*40)+($H285*30)+($I285*10)+($N285*50)+IF($L285&gt;0,20,0)</f>
        <v>40</v>
      </c>
      <c r="Q285">
        <f ca="1">E285*(P285/100)</f>
        <v>1921586.4000000001</v>
      </c>
      <c r="R285">
        <f ca="1">_xlfn.RANK.EQ($Q285,$Q$2:$Q$401,0)</f>
        <v>12</v>
      </c>
    </row>
    <row r="286" spans="1:18">
      <c r="A286" t="str" cm="1">
        <f t="array" ref="A286">_xlfn._xlws.SORT(Vendor_Master!A286)</f>
        <v>VND-285</v>
      </c>
      <c r="B286" t="str">
        <f>_xlfn.XLOOKUP(Compliance_Sheet!A286,Vendor_Master!A286,Vendor_Master!B286,"")</f>
        <v>Vendor_285</v>
      </c>
      <c r="C286" t="str">
        <f>_xlfn.XLOOKUP(A286,Vendor_Master!A286,Vendor_Master!C286,"")</f>
        <v>Chemical Supply</v>
      </c>
      <c r="D286" t="str">
        <f>_xlfn.XLOOKUP(A286,Vendor_Master!A286,Vendor_Master!D286,"")</f>
        <v>West</v>
      </c>
      <c r="E286">
        <f>_xlfn.XLOOKUP(A286,Vendor_Master!A286,Vendor_Master!E286,0)</f>
        <v>2804597</v>
      </c>
      <c r="F286" t="str">
        <f>_xlfn.XLOOKUP(A286,Vendor_Master!A286,Vendor_Master!H286,"")</f>
        <v>contact285@vendor.com</v>
      </c>
      <c r="G286">
        <f ca="1">COUNTIFS(Sustainability_Documents!$A:$A,$A286,Sustainability_Documents!$H:$H,"Missing")</f>
        <v>0</v>
      </c>
      <c r="H286">
        <f ca="1">COUNTIFS(Sustainability_Documents!$A:$A,$A286,Sustainability_Documents!$H:$H,"Expired")</f>
        <v>0</v>
      </c>
      <c r="I286">
        <f ca="1">COUNTIFS(Sustainability_Documents!$A:$A,$A286,Sustainability_Documents!$H:$H,"Expiring Soon")</f>
        <v>4</v>
      </c>
      <c r="J286">
        <f>COUNTIFS(Sustainability_Documents!$A:$A,$A286,Sustainability_Documents!$C:$C,"Yes")</f>
        <v>4</v>
      </c>
      <c r="K286">
        <f ca="1">IF($J286=0,"",($J286-$G286-$H286)/$J286)</f>
        <v>1</v>
      </c>
      <c r="L286">
        <f ca="1">COUNTIFS(OutReach_Log!$A:$A,$A286,OutReach_Log!$G:$G,"Yes")</f>
        <v>0</v>
      </c>
      <c r="M286">
        <f>COUNTIFS(OutReach_Log!$A:$A,$A286,OutReach_Log!$E:$E,"Pending")
 +COUNTIFS(OutReach_Log!$A:$A,$A286,OutReach_Log!$E:$E,"Escalated")</f>
        <v>0</v>
      </c>
      <c r="N286">
        <f>COUNTIFS(Incident_Log!$A:$A,$A286,Incident_Log!$C:$C,"High",Incident_Log!$E:$E,"No")</f>
        <v>0</v>
      </c>
      <c r="O286" t="str">
        <f t="shared" ca="1" si="4"/>
        <v>High Attention Required</v>
      </c>
      <c r="P286">
        <f ca="1">($G286*40)+($H286*30)+($I286*10)+($N286*50)+IF($L286&gt;0,20,0)</f>
        <v>40</v>
      </c>
      <c r="Q286">
        <f ca="1">E286*(P286/100)</f>
        <v>1121838.8</v>
      </c>
      <c r="R286">
        <f ca="1">_xlfn.RANK.EQ($Q286,$Q$2:$Q$401,0)</f>
        <v>44</v>
      </c>
    </row>
    <row r="287" spans="1:18">
      <c r="A287" t="str" cm="1">
        <f t="array" ref="A287">_xlfn._xlws.SORT(Vendor_Master!A287)</f>
        <v>VND-286</v>
      </c>
      <c r="B287" t="str">
        <f>_xlfn.XLOOKUP(Compliance_Sheet!A287,Vendor_Master!A287,Vendor_Master!B287,"")</f>
        <v>Vendor_286</v>
      </c>
      <c r="C287" t="str">
        <f>_xlfn.XLOOKUP(A287,Vendor_Master!A287,Vendor_Master!C287,"")</f>
        <v>Chemical Supply</v>
      </c>
      <c r="D287" t="str">
        <f>_xlfn.XLOOKUP(A287,Vendor_Master!A287,Vendor_Master!D287,"")</f>
        <v>West</v>
      </c>
      <c r="E287">
        <f>_xlfn.XLOOKUP(A287,Vendor_Master!A287,Vendor_Master!E287,0)</f>
        <v>2255113</v>
      </c>
      <c r="F287" t="str">
        <f>_xlfn.XLOOKUP(A287,Vendor_Master!A287,Vendor_Master!H287,"")</f>
        <v>contact286@vendor.com</v>
      </c>
      <c r="G287">
        <f ca="1">COUNTIFS(Sustainability_Documents!$A:$A,$A287,Sustainability_Documents!$H:$H,"Missing")</f>
        <v>0</v>
      </c>
      <c r="H287">
        <f ca="1">COUNTIFS(Sustainability_Documents!$A:$A,$A287,Sustainability_Documents!$H:$H,"Expired")</f>
        <v>0</v>
      </c>
      <c r="I287">
        <f ca="1">COUNTIFS(Sustainability_Documents!$A:$A,$A287,Sustainability_Documents!$H:$H,"Expiring Soon")</f>
        <v>4</v>
      </c>
      <c r="J287">
        <f>COUNTIFS(Sustainability_Documents!$A:$A,$A287,Sustainability_Documents!$C:$C,"Yes")</f>
        <v>4</v>
      </c>
      <c r="K287">
        <f ca="1">IF($J287=0,"",($J287-$G287-$H287)/$J287)</f>
        <v>1</v>
      </c>
      <c r="L287">
        <f ca="1">COUNTIFS(OutReach_Log!$A:$A,$A287,OutReach_Log!$G:$G,"Yes")</f>
        <v>0</v>
      </c>
      <c r="M287">
        <f>COUNTIFS(OutReach_Log!$A:$A,$A287,OutReach_Log!$E:$E,"Pending")
 +COUNTIFS(OutReach_Log!$A:$A,$A287,OutReach_Log!$E:$E,"Escalated")</f>
        <v>1</v>
      </c>
      <c r="N287">
        <f>COUNTIFS(Incident_Log!$A:$A,$A287,Incident_Log!$C:$C,"High",Incident_Log!$E:$E,"No")</f>
        <v>0</v>
      </c>
      <c r="O287" t="str">
        <f t="shared" ca="1" si="4"/>
        <v>High Attention Required</v>
      </c>
      <c r="P287">
        <f ca="1">($G287*40)+($H287*30)+($I287*10)+($N287*50)+IF($L287&gt;0,20,0)</f>
        <v>40</v>
      </c>
      <c r="Q287">
        <f ca="1">E287*(P287/100)</f>
        <v>902045.20000000007</v>
      </c>
      <c r="R287">
        <f ca="1">_xlfn.RANK.EQ($Q287,$Q$2:$Q$401,0)</f>
        <v>51</v>
      </c>
    </row>
    <row r="288" spans="1:18">
      <c r="A288" t="str" cm="1">
        <f t="array" ref="A288">_xlfn._xlws.SORT(Vendor_Master!A288)</f>
        <v>VND-287</v>
      </c>
      <c r="B288" t="str">
        <f>_xlfn.XLOOKUP(Compliance_Sheet!A288,Vendor_Master!A288,Vendor_Master!B288,"")</f>
        <v>Vendor_287</v>
      </c>
      <c r="C288" t="str">
        <f>_xlfn.XLOOKUP(A288,Vendor_Master!A288,Vendor_Master!C288,"")</f>
        <v>Chemical Supply</v>
      </c>
      <c r="D288" t="str">
        <f>_xlfn.XLOOKUP(A288,Vendor_Master!A288,Vendor_Master!D288,"")</f>
        <v>West</v>
      </c>
      <c r="E288">
        <f>_xlfn.XLOOKUP(A288,Vendor_Master!A288,Vendor_Master!E288,0)</f>
        <v>4616839</v>
      </c>
      <c r="F288" t="str">
        <f>_xlfn.XLOOKUP(A288,Vendor_Master!A288,Vendor_Master!H288,"")</f>
        <v>contact287@vendor.com</v>
      </c>
      <c r="G288">
        <f ca="1">COUNTIFS(Sustainability_Documents!$A:$A,$A288,Sustainability_Documents!$H:$H,"Missing")</f>
        <v>0</v>
      </c>
      <c r="H288">
        <f ca="1">COUNTIFS(Sustainability_Documents!$A:$A,$A288,Sustainability_Documents!$H:$H,"Expired")</f>
        <v>0</v>
      </c>
      <c r="I288">
        <f ca="1">COUNTIFS(Sustainability_Documents!$A:$A,$A288,Sustainability_Documents!$H:$H,"Expiring Soon")</f>
        <v>4</v>
      </c>
      <c r="J288">
        <f>COUNTIFS(Sustainability_Documents!$A:$A,$A288,Sustainability_Documents!$C:$C,"Yes")</f>
        <v>4</v>
      </c>
      <c r="K288">
        <f ca="1">IF($J288=0,"",($J288-$G288-$H288)/$J288)</f>
        <v>1</v>
      </c>
      <c r="L288">
        <f ca="1">COUNTIFS(OutReach_Log!$A:$A,$A288,OutReach_Log!$G:$G,"Yes")</f>
        <v>0</v>
      </c>
      <c r="M288">
        <f>COUNTIFS(OutReach_Log!$A:$A,$A288,OutReach_Log!$E:$E,"Pending")
 +COUNTIFS(OutReach_Log!$A:$A,$A288,OutReach_Log!$E:$E,"Escalated")</f>
        <v>1</v>
      </c>
      <c r="N288">
        <f>COUNTIFS(Incident_Log!$A:$A,$A288,Incident_Log!$C:$C,"High",Incident_Log!$E:$E,"No")</f>
        <v>0</v>
      </c>
      <c r="O288" t="str">
        <f t="shared" ca="1" si="4"/>
        <v>High Attention Required</v>
      </c>
      <c r="P288">
        <f ca="1">($G288*40)+($H288*30)+($I288*10)+($N288*50)+IF($L288&gt;0,20,0)</f>
        <v>40</v>
      </c>
      <c r="Q288">
        <f ca="1">E288*(P288/100)</f>
        <v>1846735.6</v>
      </c>
      <c r="R288">
        <f ca="1">_xlfn.RANK.EQ($Q288,$Q$2:$Q$401,0)</f>
        <v>14</v>
      </c>
    </row>
    <row r="289" spans="1:18">
      <c r="A289" t="str" cm="1">
        <f t="array" ref="A289">_xlfn._xlws.SORT(Vendor_Master!A289)</f>
        <v>VND-288</v>
      </c>
      <c r="B289" t="str">
        <f>_xlfn.XLOOKUP(Compliance_Sheet!A289,Vendor_Master!A289,Vendor_Master!B289,"")</f>
        <v>Vendor_288</v>
      </c>
      <c r="C289" t="str">
        <f>_xlfn.XLOOKUP(A289,Vendor_Master!A289,Vendor_Master!C289,"")</f>
        <v>Chemical Supply</v>
      </c>
      <c r="D289" t="str">
        <f>_xlfn.XLOOKUP(A289,Vendor_Master!A289,Vendor_Master!D289,"")</f>
        <v>West</v>
      </c>
      <c r="E289">
        <f>_xlfn.XLOOKUP(A289,Vendor_Master!A289,Vendor_Master!E289,0)</f>
        <v>1571840</v>
      </c>
      <c r="F289" t="str">
        <f>_xlfn.XLOOKUP(A289,Vendor_Master!A289,Vendor_Master!H289,"")</f>
        <v>contact288@vendor.com</v>
      </c>
      <c r="G289">
        <f ca="1">COUNTIFS(Sustainability_Documents!$A:$A,$A289,Sustainability_Documents!$H:$H,"Missing")</f>
        <v>0</v>
      </c>
      <c r="H289">
        <f ca="1">COUNTIFS(Sustainability_Documents!$A:$A,$A289,Sustainability_Documents!$H:$H,"Expired")</f>
        <v>0</v>
      </c>
      <c r="I289">
        <f ca="1">COUNTIFS(Sustainability_Documents!$A:$A,$A289,Sustainability_Documents!$H:$H,"Expiring Soon")</f>
        <v>4</v>
      </c>
      <c r="J289">
        <f>COUNTIFS(Sustainability_Documents!$A:$A,$A289,Sustainability_Documents!$C:$C,"Yes")</f>
        <v>4</v>
      </c>
      <c r="K289">
        <f ca="1">IF($J289=0,"",($J289-$G289-$H289)/$J289)</f>
        <v>1</v>
      </c>
      <c r="L289">
        <f ca="1">COUNTIFS(OutReach_Log!$A:$A,$A289,OutReach_Log!$G:$G,"Yes")</f>
        <v>0</v>
      </c>
      <c r="M289">
        <f>COUNTIFS(OutReach_Log!$A:$A,$A289,OutReach_Log!$E:$E,"Pending")
 +COUNTIFS(OutReach_Log!$A:$A,$A289,OutReach_Log!$E:$E,"Escalated")</f>
        <v>0</v>
      </c>
      <c r="N289">
        <f>COUNTIFS(Incident_Log!$A:$A,$A289,Incident_Log!$C:$C,"High",Incident_Log!$E:$E,"No")</f>
        <v>0</v>
      </c>
      <c r="O289" t="str">
        <f t="shared" ca="1" si="4"/>
        <v>High Attention Required</v>
      </c>
      <c r="P289">
        <f ca="1">($G289*40)+($H289*30)+($I289*10)+($N289*50)+IF($L289&gt;0,20,0)</f>
        <v>40</v>
      </c>
      <c r="Q289">
        <f ca="1">E289*(P289/100)</f>
        <v>628736</v>
      </c>
      <c r="R289">
        <f ca="1">_xlfn.RANK.EQ($Q289,$Q$2:$Q$401,0)</f>
        <v>66</v>
      </c>
    </row>
    <row r="290" spans="1:18">
      <c r="A290" t="str" cm="1">
        <f t="array" ref="A290">_xlfn._xlws.SORT(Vendor_Master!A290)</f>
        <v>VND-289</v>
      </c>
      <c r="B290" t="str">
        <f>_xlfn.XLOOKUP(Compliance_Sheet!A290,Vendor_Master!A290,Vendor_Master!B290,"")</f>
        <v>Vendor_289</v>
      </c>
      <c r="C290" t="str">
        <f>_xlfn.XLOOKUP(A290,Vendor_Master!A290,Vendor_Master!C290,"")</f>
        <v>Chemical Supply</v>
      </c>
      <c r="D290" t="str">
        <f>_xlfn.XLOOKUP(A290,Vendor_Master!A290,Vendor_Master!D290,"")</f>
        <v>West</v>
      </c>
      <c r="E290">
        <f>_xlfn.XLOOKUP(A290,Vendor_Master!A290,Vendor_Master!E290,0)</f>
        <v>1299355</v>
      </c>
      <c r="F290" t="str">
        <f>_xlfn.XLOOKUP(A290,Vendor_Master!A290,Vendor_Master!H290,"")</f>
        <v>contact289@vendor.com</v>
      </c>
      <c r="G290">
        <f ca="1">COUNTIFS(Sustainability_Documents!$A:$A,$A290,Sustainability_Documents!$H:$H,"Missing")</f>
        <v>0</v>
      </c>
      <c r="H290">
        <f ca="1">COUNTIFS(Sustainability_Documents!$A:$A,$A290,Sustainability_Documents!$H:$H,"Expired")</f>
        <v>4</v>
      </c>
      <c r="I290">
        <f ca="1">COUNTIFS(Sustainability_Documents!$A:$A,$A290,Sustainability_Documents!$H:$H,"Expiring Soon")</f>
        <v>0</v>
      </c>
      <c r="J290">
        <f>COUNTIFS(Sustainability_Documents!$A:$A,$A290,Sustainability_Documents!$C:$C,"Yes")</f>
        <v>4</v>
      </c>
      <c r="K290">
        <f ca="1">IF($J290=0,"",($J290-$G290-$H290)/$J290)</f>
        <v>0</v>
      </c>
      <c r="L290">
        <f ca="1">COUNTIFS(OutReach_Log!$A:$A,$A290,OutReach_Log!$G:$G,"Yes")</f>
        <v>1</v>
      </c>
      <c r="M290">
        <f>COUNTIFS(OutReach_Log!$A:$A,$A290,OutReach_Log!$E:$E,"Pending")
 +COUNTIFS(OutReach_Log!$A:$A,$A290,OutReach_Log!$E:$E,"Escalated")</f>
        <v>0</v>
      </c>
      <c r="N290">
        <f>COUNTIFS(Incident_Log!$A:$A,$A290,Incident_Log!$C:$C,"High",Incident_Log!$E:$E,"No")</f>
        <v>0</v>
      </c>
      <c r="O290" t="str">
        <f t="shared" ca="1" si="4"/>
        <v>High Attention Required</v>
      </c>
      <c r="P290">
        <f ca="1">($G290*40)+($H290*30)+($I290*10)+($N290*50)+IF($L290&gt;0,20,0)</f>
        <v>140</v>
      </c>
      <c r="Q290">
        <f ca="1">E290*(P290/100)</f>
        <v>1819097</v>
      </c>
      <c r="R290">
        <f ca="1">_xlfn.RANK.EQ($Q290,$Q$2:$Q$401,0)</f>
        <v>15</v>
      </c>
    </row>
    <row r="291" spans="1:18">
      <c r="A291" t="str" cm="1">
        <f t="array" ref="A291">_xlfn._xlws.SORT(Vendor_Master!A291)</f>
        <v>VND-290</v>
      </c>
      <c r="B291" t="str">
        <f>_xlfn.XLOOKUP(Compliance_Sheet!A291,Vendor_Master!A291,Vendor_Master!B291,"")</f>
        <v>Vendor_290</v>
      </c>
      <c r="C291" t="str">
        <f>_xlfn.XLOOKUP(A291,Vendor_Master!A291,Vendor_Master!C291,"")</f>
        <v>Chemical Supply</v>
      </c>
      <c r="D291" t="str">
        <f>_xlfn.XLOOKUP(A291,Vendor_Master!A291,Vendor_Master!D291,"")</f>
        <v>West</v>
      </c>
      <c r="E291">
        <f>_xlfn.XLOOKUP(A291,Vendor_Master!A291,Vendor_Master!E291,0)</f>
        <v>3926781</v>
      </c>
      <c r="F291" t="str">
        <f>_xlfn.XLOOKUP(A291,Vendor_Master!A291,Vendor_Master!H291,"")</f>
        <v>contact290@vendor.com</v>
      </c>
      <c r="G291">
        <f ca="1">COUNTIFS(Sustainability_Documents!$A:$A,$A291,Sustainability_Documents!$H:$H,"Missing")</f>
        <v>0</v>
      </c>
      <c r="H291">
        <f ca="1">COUNTIFS(Sustainability_Documents!$A:$A,$A291,Sustainability_Documents!$H:$H,"Expired")</f>
        <v>4</v>
      </c>
      <c r="I291">
        <f ca="1">COUNTIFS(Sustainability_Documents!$A:$A,$A291,Sustainability_Documents!$H:$H,"Expiring Soon")</f>
        <v>0</v>
      </c>
      <c r="J291">
        <f>COUNTIFS(Sustainability_Documents!$A:$A,$A291,Sustainability_Documents!$C:$C,"Yes")</f>
        <v>4</v>
      </c>
      <c r="K291">
        <f ca="1">IF($J291=0,"",($J291-$G291-$H291)/$J291)</f>
        <v>0</v>
      </c>
      <c r="L291">
        <f ca="1">COUNTIFS(OutReach_Log!$A:$A,$A291,OutReach_Log!$G:$G,"Yes")</f>
        <v>1</v>
      </c>
      <c r="M291">
        <f>COUNTIFS(OutReach_Log!$A:$A,$A291,OutReach_Log!$E:$E,"Pending")
 +COUNTIFS(OutReach_Log!$A:$A,$A291,OutReach_Log!$E:$E,"Escalated")</f>
        <v>0</v>
      </c>
      <c r="N291">
        <f>COUNTIFS(Incident_Log!$A:$A,$A291,Incident_Log!$C:$C,"High",Incident_Log!$E:$E,"No")</f>
        <v>0</v>
      </c>
      <c r="O291" t="str">
        <f t="shared" ca="1" si="4"/>
        <v>High Attention Required</v>
      </c>
      <c r="P291">
        <f ca="1">($G291*40)+($H291*30)+($I291*10)+($N291*50)+IF($L291&gt;0,20,0)</f>
        <v>140</v>
      </c>
      <c r="Q291">
        <f ca="1">E291*(P291/100)</f>
        <v>5497493.3999999994</v>
      </c>
      <c r="R291">
        <f ca="1">_xlfn.RANK.EQ($Q291,$Q$2:$Q$401,0)</f>
        <v>5</v>
      </c>
    </row>
    <row r="292" spans="1:18">
      <c r="A292" t="str" cm="1">
        <f t="array" ref="A292">_xlfn._xlws.SORT(Vendor_Master!A292)</f>
        <v>VND-291</v>
      </c>
      <c r="B292" t="str">
        <f>_xlfn.XLOOKUP(Compliance_Sheet!A292,Vendor_Master!A292,Vendor_Master!B292,"")</f>
        <v>Vendor_291</v>
      </c>
      <c r="C292" t="str">
        <f>_xlfn.XLOOKUP(A292,Vendor_Master!A292,Vendor_Master!C292,"")</f>
        <v>Chemical Supply</v>
      </c>
      <c r="D292" t="str">
        <f>_xlfn.XLOOKUP(A292,Vendor_Master!A292,Vendor_Master!D292,"")</f>
        <v>West</v>
      </c>
      <c r="E292">
        <f>_xlfn.XLOOKUP(A292,Vendor_Master!A292,Vendor_Master!E292,0)</f>
        <v>4386358</v>
      </c>
      <c r="F292" t="str">
        <f>_xlfn.XLOOKUP(A292,Vendor_Master!A292,Vendor_Master!H292,"")</f>
        <v>contact291@vendor.com</v>
      </c>
      <c r="G292">
        <f ca="1">COUNTIFS(Sustainability_Documents!$A:$A,$A292,Sustainability_Documents!$H:$H,"Missing")</f>
        <v>0</v>
      </c>
      <c r="H292">
        <f ca="1">COUNTIFS(Sustainability_Documents!$A:$A,$A292,Sustainability_Documents!$H:$H,"Expired")</f>
        <v>4</v>
      </c>
      <c r="I292">
        <f ca="1">COUNTIFS(Sustainability_Documents!$A:$A,$A292,Sustainability_Documents!$H:$H,"Expiring Soon")</f>
        <v>0</v>
      </c>
      <c r="J292">
        <f>COUNTIFS(Sustainability_Documents!$A:$A,$A292,Sustainability_Documents!$C:$C,"Yes")</f>
        <v>4</v>
      </c>
      <c r="K292">
        <f ca="1">IF($J292=0,"",($J292-$G292-$H292)/$J292)</f>
        <v>0</v>
      </c>
      <c r="L292">
        <f ca="1">COUNTIFS(OutReach_Log!$A:$A,$A292,OutReach_Log!$G:$G,"Yes")</f>
        <v>1</v>
      </c>
      <c r="M292">
        <f>COUNTIFS(OutReach_Log!$A:$A,$A292,OutReach_Log!$E:$E,"Pending")
 +COUNTIFS(OutReach_Log!$A:$A,$A292,OutReach_Log!$E:$E,"Escalated")</f>
        <v>1</v>
      </c>
      <c r="N292">
        <f>COUNTIFS(Incident_Log!$A:$A,$A292,Incident_Log!$C:$C,"High",Incident_Log!$E:$E,"No")</f>
        <v>0</v>
      </c>
      <c r="O292" t="str">
        <f t="shared" ca="1" si="4"/>
        <v>High Attention Required</v>
      </c>
      <c r="P292">
        <f ca="1">($G292*40)+($H292*30)+($I292*10)+($N292*50)+IF($L292&gt;0,20,0)</f>
        <v>140</v>
      </c>
      <c r="Q292">
        <f ca="1">E292*(P292/100)</f>
        <v>6140901.1999999993</v>
      </c>
      <c r="R292">
        <f ca="1">_xlfn.RANK.EQ($Q292,$Q$2:$Q$401,0)</f>
        <v>3</v>
      </c>
    </row>
    <row r="293" spans="1:18">
      <c r="A293" t="str" cm="1">
        <f t="array" ref="A293">_xlfn._xlws.SORT(Vendor_Master!A293)</f>
        <v>VND-292</v>
      </c>
      <c r="B293" t="str">
        <f>_xlfn.XLOOKUP(Compliance_Sheet!A293,Vendor_Master!A293,Vendor_Master!B293,"")</f>
        <v>Vendor_292</v>
      </c>
      <c r="C293" t="str">
        <f>_xlfn.XLOOKUP(A293,Vendor_Master!A293,Vendor_Master!C293,"")</f>
        <v>Chemical Supply</v>
      </c>
      <c r="D293" t="str">
        <f>_xlfn.XLOOKUP(A293,Vendor_Master!A293,Vendor_Master!D293,"")</f>
        <v>West</v>
      </c>
      <c r="E293">
        <f>_xlfn.XLOOKUP(A293,Vendor_Master!A293,Vendor_Master!E293,0)</f>
        <v>4634994</v>
      </c>
      <c r="F293" t="str">
        <f>_xlfn.XLOOKUP(A293,Vendor_Master!A293,Vendor_Master!H293,"")</f>
        <v>contact292@vendor.com</v>
      </c>
      <c r="G293">
        <f ca="1">COUNTIFS(Sustainability_Documents!$A:$A,$A293,Sustainability_Documents!$H:$H,"Missing")</f>
        <v>0</v>
      </c>
      <c r="H293">
        <f ca="1">COUNTIFS(Sustainability_Documents!$A:$A,$A293,Sustainability_Documents!$H:$H,"Expired")</f>
        <v>4</v>
      </c>
      <c r="I293">
        <f ca="1">COUNTIFS(Sustainability_Documents!$A:$A,$A293,Sustainability_Documents!$H:$H,"Expiring Soon")</f>
        <v>0</v>
      </c>
      <c r="J293">
        <f>COUNTIFS(Sustainability_Documents!$A:$A,$A293,Sustainability_Documents!$C:$C,"Yes")</f>
        <v>4</v>
      </c>
      <c r="K293">
        <f ca="1">IF($J293=0,"",($J293-$G293-$H293)/$J293)</f>
        <v>0</v>
      </c>
      <c r="L293">
        <f ca="1">COUNTIFS(OutReach_Log!$A:$A,$A293,OutReach_Log!$G:$G,"Yes")</f>
        <v>1</v>
      </c>
      <c r="M293">
        <f>COUNTIFS(OutReach_Log!$A:$A,$A293,OutReach_Log!$E:$E,"Pending")
 +COUNTIFS(OutReach_Log!$A:$A,$A293,OutReach_Log!$E:$E,"Escalated")</f>
        <v>0</v>
      </c>
      <c r="N293">
        <f>COUNTIFS(Incident_Log!$A:$A,$A293,Incident_Log!$C:$C,"High",Incident_Log!$E:$E,"No")</f>
        <v>0</v>
      </c>
      <c r="O293" t="str">
        <f t="shared" ca="1" si="4"/>
        <v>High Attention Required</v>
      </c>
      <c r="P293">
        <f ca="1">($G293*40)+($H293*30)+($I293*10)+($N293*50)+IF($L293&gt;0,20,0)</f>
        <v>140</v>
      </c>
      <c r="Q293">
        <f ca="1">E293*(P293/100)</f>
        <v>6488991.5999999996</v>
      </c>
      <c r="R293">
        <f ca="1">_xlfn.RANK.EQ($Q293,$Q$2:$Q$401,0)</f>
        <v>2</v>
      </c>
    </row>
    <row r="294" spans="1:18">
      <c r="A294" t="str" cm="1">
        <f t="array" ref="A294">_xlfn._xlws.SORT(Vendor_Master!A294)</f>
        <v>VND-293</v>
      </c>
      <c r="B294" t="str">
        <f>_xlfn.XLOOKUP(Compliance_Sheet!A294,Vendor_Master!A294,Vendor_Master!B294,"")</f>
        <v>Vendor_293</v>
      </c>
      <c r="C294" t="str">
        <f>_xlfn.XLOOKUP(A294,Vendor_Master!A294,Vendor_Master!C294,"")</f>
        <v>Chemical Supply</v>
      </c>
      <c r="D294" t="str">
        <f>_xlfn.XLOOKUP(A294,Vendor_Master!A294,Vendor_Master!D294,"")</f>
        <v>West</v>
      </c>
      <c r="E294">
        <f>_xlfn.XLOOKUP(A294,Vendor_Master!A294,Vendor_Master!E294,0)</f>
        <v>4952520</v>
      </c>
      <c r="F294" t="str">
        <f>_xlfn.XLOOKUP(A294,Vendor_Master!A294,Vendor_Master!H294,"")</f>
        <v>contact293@vendor.com</v>
      </c>
      <c r="G294">
        <f ca="1">COUNTIFS(Sustainability_Documents!$A:$A,$A294,Sustainability_Documents!$H:$H,"Missing")</f>
        <v>0</v>
      </c>
      <c r="H294">
        <f ca="1">COUNTIFS(Sustainability_Documents!$A:$A,$A294,Sustainability_Documents!$H:$H,"Expired")</f>
        <v>4</v>
      </c>
      <c r="I294">
        <f ca="1">COUNTIFS(Sustainability_Documents!$A:$A,$A294,Sustainability_Documents!$H:$H,"Expiring Soon")</f>
        <v>0</v>
      </c>
      <c r="J294">
        <f>COUNTIFS(Sustainability_Documents!$A:$A,$A294,Sustainability_Documents!$C:$C,"Yes")</f>
        <v>4</v>
      </c>
      <c r="K294">
        <f ca="1">IF($J294=0,"",($J294-$G294-$H294)/$J294)</f>
        <v>0</v>
      </c>
      <c r="L294">
        <f ca="1">COUNTIFS(OutReach_Log!$A:$A,$A294,OutReach_Log!$G:$G,"Yes")</f>
        <v>1</v>
      </c>
      <c r="M294">
        <f>COUNTIFS(OutReach_Log!$A:$A,$A294,OutReach_Log!$E:$E,"Pending")
 +COUNTIFS(OutReach_Log!$A:$A,$A294,OutReach_Log!$E:$E,"Escalated")</f>
        <v>1</v>
      </c>
      <c r="N294">
        <f>COUNTIFS(Incident_Log!$A:$A,$A294,Incident_Log!$C:$C,"High",Incident_Log!$E:$E,"No")</f>
        <v>0</v>
      </c>
      <c r="O294" t="str">
        <f t="shared" ca="1" si="4"/>
        <v>High Attention Required</v>
      </c>
      <c r="P294">
        <f ca="1">($G294*40)+($H294*30)+($I294*10)+($N294*50)+IF($L294&gt;0,20,0)</f>
        <v>140</v>
      </c>
      <c r="Q294">
        <f ca="1">E294*(P294/100)</f>
        <v>6933528</v>
      </c>
      <c r="R294">
        <f ca="1">_xlfn.RANK.EQ($Q294,$Q$2:$Q$401,0)</f>
        <v>1</v>
      </c>
    </row>
    <row r="295" spans="1:18">
      <c r="A295" t="str" cm="1">
        <f t="array" ref="A295">_xlfn._xlws.SORT(Vendor_Master!A295)</f>
        <v>VND-294</v>
      </c>
      <c r="B295" t="str">
        <f>_xlfn.XLOOKUP(Compliance_Sheet!A295,Vendor_Master!A295,Vendor_Master!B295,"")</f>
        <v>Vendor_294</v>
      </c>
      <c r="C295" t="str">
        <f>_xlfn.XLOOKUP(A295,Vendor_Master!A295,Vendor_Master!C295,"")</f>
        <v>Chemical Supply</v>
      </c>
      <c r="D295" t="str">
        <f>_xlfn.XLOOKUP(A295,Vendor_Master!A295,Vendor_Master!D295,"")</f>
        <v>West</v>
      </c>
      <c r="E295">
        <f>_xlfn.XLOOKUP(A295,Vendor_Master!A295,Vendor_Master!E295,0)</f>
        <v>3276946</v>
      </c>
      <c r="F295" t="str">
        <f>_xlfn.XLOOKUP(A295,Vendor_Master!A295,Vendor_Master!H295,"")</f>
        <v>contact294@vendor.com</v>
      </c>
      <c r="G295">
        <f ca="1">COUNTIFS(Sustainability_Documents!$A:$A,$A295,Sustainability_Documents!$H:$H,"Missing")</f>
        <v>0</v>
      </c>
      <c r="H295">
        <f ca="1">COUNTIFS(Sustainability_Documents!$A:$A,$A295,Sustainability_Documents!$H:$H,"Expired")</f>
        <v>4</v>
      </c>
      <c r="I295">
        <f ca="1">COUNTIFS(Sustainability_Documents!$A:$A,$A295,Sustainability_Documents!$H:$H,"Expiring Soon")</f>
        <v>0</v>
      </c>
      <c r="J295">
        <f>COUNTIFS(Sustainability_Documents!$A:$A,$A295,Sustainability_Documents!$C:$C,"Yes")</f>
        <v>4</v>
      </c>
      <c r="K295">
        <f ca="1">IF($J295=0,"",($J295-$G295-$H295)/$J295)</f>
        <v>0</v>
      </c>
      <c r="L295">
        <f ca="1">COUNTIFS(OutReach_Log!$A:$A,$A295,OutReach_Log!$G:$G,"Yes")</f>
        <v>1</v>
      </c>
      <c r="M295">
        <f>COUNTIFS(OutReach_Log!$A:$A,$A295,OutReach_Log!$E:$E,"Pending")
 +COUNTIFS(OutReach_Log!$A:$A,$A295,OutReach_Log!$E:$E,"Escalated")</f>
        <v>1</v>
      </c>
      <c r="N295">
        <f>COUNTIFS(Incident_Log!$A:$A,$A295,Incident_Log!$C:$C,"High",Incident_Log!$E:$E,"No")</f>
        <v>0</v>
      </c>
      <c r="O295" t="str">
        <f t="shared" ca="1" si="4"/>
        <v>High Attention Required</v>
      </c>
      <c r="P295">
        <f ca="1">($G295*40)+($H295*30)+($I295*10)+($N295*50)+IF($L295&gt;0,20,0)</f>
        <v>140</v>
      </c>
      <c r="Q295">
        <f ca="1">E295*(P295/100)</f>
        <v>4587724.3999999994</v>
      </c>
      <c r="R295">
        <f ca="1">_xlfn.RANK.EQ($Q295,$Q$2:$Q$401,0)</f>
        <v>9</v>
      </c>
    </row>
    <row r="296" spans="1:18">
      <c r="A296" t="str" cm="1">
        <f t="array" ref="A296">_xlfn._xlws.SORT(Vendor_Master!A296)</f>
        <v>VND-295</v>
      </c>
      <c r="B296" t="str">
        <f>_xlfn.XLOOKUP(Compliance_Sheet!A296,Vendor_Master!A296,Vendor_Master!B296,"")</f>
        <v>Vendor_295</v>
      </c>
      <c r="C296" t="str">
        <f>_xlfn.XLOOKUP(A296,Vendor_Master!A296,Vendor_Master!C296,"")</f>
        <v>Chemical Supply</v>
      </c>
      <c r="D296" t="str">
        <f>_xlfn.XLOOKUP(A296,Vendor_Master!A296,Vendor_Master!D296,"")</f>
        <v>West</v>
      </c>
      <c r="E296">
        <f>_xlfn.XLOOKUP(A296,Vendor_Master!A296,Vendor_Master!E296,0)</f>
        <v>1024288</v>
      </c>
      <c r="F296" t="str">
        <f>_xlfn.XLOOKUP(A296,Vendor_Master!A296,Vendor_Master!H296,"")</f>
        <v>contact295@vendor.com</v>
      </c>
      <c r="G296">
        <f ca="1">COUNTIFS(Sustainability_Documents!$A:$A,$A296,Sustainability_Documents!$H:$H,"Missing")</f>
        <v>0</v>
      </c>
      <c r="H296">
        <f ca="1">COUNTIFS(Sustainability_Documents!$A:$A,$A296,Sustainability_Documents!$H:$H,"Expired")</f>
        <v>4</v>
      </c>
      <c r="I296">
        <f ca="1">COUNTIFS(Sustainability_Documents!$A:$A,$A296,Sustainability_Documents!$H:$H,"Expiring Soon")</f>
        <v>0</v>
      </c>
      <c r="J296">
        <f>COUNTIFS(Sustainability_Documents!$A:$A,$A296,Sustainability_Documents!$C:$C,"Yes")</f>
        <v>4</v>
      </c>
      <c r="K296">
        <f ca="1">IF($J296=0,"",($J296-$G296-$H296)/$J296)</f>
        <v>0</v>
      </c>
      <c r="L296">
        <f ca="1">COUNTIFS(OutReach_Log!$A:$A,$A296,OutReach_Log!$G:$G,"Yes")</f>
        <v>1</v>
      </c>
      <c r="M296">
        <f>COUNTIFS(OutReach_Log!$A:$A,$A296,OutReach_Log!$E:$E,"Pending")
 +COUNTIFS(OutReach_Log!$A:$A,$A296,OutReach_Log!$E:$E,"Escalated")</f>
        <v>1</v>
      </c>
      <c r="N296">
        <f>COUNTIFS(Incident_Log!$A:$A,$A296,Incident_Log!$C:$C,"High",Incident_Log!$E:$E,"No")</f>
        <v>0</v>
      </c>
      <c r="O296" t="str">
        <f t="shared" ca="1" si="4"/>
        <v>High Attention Required</v>
      </c>
      <c r="P296">
        <f ca="1">($G296*40)+($H296*30)+($I296*10)+($N296*50)+IF($L296&gt;0,20,0)</f>
        <v>140</v>
      </c>
      <c r="Q296">
        <f ca="1">E296*(P296/100)</f>
        <v>1434003.2</v>
      </c>
      <c r="R296">
        <f ca="1">_xlfn.RANK.EQ($Q296,$Q$2:$Q$401,0)</f>
        <v>29</v>
      </c>
    </row>
    <row r="297" spans="1:18">
      <c r="A297" t="str" cm="1">
        <f t="array" ref="A297">_xlfn._xlws.SORT(Vendor_Master!A297)</f>
        <v>VND-296</v>
      </c>
      <c r="B297" t="str">
        <f>_xlfn.XLOOKUP(Compliance_Sheet!A297,Vendor_Master!A297,Vendor_Master!B297,"")</f>
        <v>Vendor_296</v>
      </c>
      <c r="C297" t="str">
        <f>_xlfn.XLOOKUP(A297,Vendor_Master!A297,Vendor_Master!C297,"")</f>
        <v>Chemical Supply</v>
      </c>
      <c r="D297" t="str">
        <f>_xlfn.XLOOKUP(A297,Vendor_Master!A297,Vendor_Master!D297,"")</f>
        <v>West</v>
      </c>
      <c r="E297">
        <f>_xlfn.XLOOKUP(A297,Vendor_Master!A297,Vendor_Master!E297,0)</f>
        <v>716142</v>
      </c>
      <c r="F297" t="str">
        <f>_xlfn.XLOOKUP(A297,Vendor_Master!A297,Vendor_Master!H297,"")</f>
        <v>contact296@vendor.com</v>
      </c>
      <c r="G297">
        <f ca="1">COUNTIFS(Sustainability_Documents!$A:$A,$A297,Sustainability_Documents!$H:$H,"Missing")</f>
        <v>0</v>
      </c>
      <c r="H297">
        <f ca="1">COUNTIFS(Sustainability_Documents!$A:$A,$A297,Sustainability_Documents!$H:$H,"Expired")</f>
        <v>4</v>
      </c>
      <c r="I297">
        <f ca="1">COUNTIFS(Sustainability_Documents!$A:$A,$A297,Sustainability_Documents!$H:$H,"Expiring Soon")</f>
        <v>0</v>
      </c>
      <c r="J297">
        <f>COUNTIFS(Sustainability_Documents!$A:$A,$A297,Sustainability_Documents!$C:$C,"Yes")</f>
        <v>4</v>
      </c>
      <c r="K297">
        <f ca="1">IF($J297=0,"",($J297-$G297-$H297)/$J297)</f>
        <v>0</v>
      </c>
      <c r="L297">
        <f ca="1">COUNTIFS(OutReach_Log!$A:$A,$A297,OutReach_Log!$G:$G,"Yes")</f>
        <v>1</v>
      </c>
      <c r="M297">
        <f>COUNTIFS(OutReach_Log!$A:$A,$A297,OutReach_Log!$E:$E,"Pending")
 +COUNTIFS(OutReach_Log!$A:$A,$A297,OutReach_Log!$E:$E,"Escalated")</f>
        <v>0</v>
      </c>
      <c r="N297">
        <f>COUNTIFS(Incident_Log!$A:$A,$A297,Incident_Log!$C:$C,"High",Incident_Log!$E:$E,"No")</f>
        <v>0</v>
      </c>
      <c r="O297" t="str">
        <f t="shared" ca="1" si="4"/>
        <v>High Attention Required</v>
      </c>
      <c r="P297">
        <f ca="1">($G297*40)+($H297*30)+($I297*10)+($N297*50)+IF($L297&gt;0,20,0)</f>
        <v>140</v>
      </c>
      <c r="Q297">
        <f ca="1">E297*(P297/100)</f>
        <v>1002598.7999999999</v>
      </c>
      <c r="R297">
        <f ca="1">_xlfn.RANK.EQ($Q297,$Q$2:$Q$401,0)</f>
        <v>47</v>
      </c>
    </row>
    <row r="298" spans="1:18">
      <c r="A298" t="str" cm="1">
        <f t="array" ref="A298">_xlfn._xlws.SORT(Vendor_Master!A298)</f>
        <v>VND-297</v>
      </c>
      <c r="B298" t="str">
        <f>_xlfn.XLOOKUP(Compliance_Sheet!A298,Vendor_Master!A298,Vendor_Master!B298,"")</f>
        <v>Vendor_297</v>
      </c>
      <c r="C298" t="str">
        <f>_xlfn.XLOOKUP(A298,Vendor_Master!A298,Vendor_Master!C298,"")</f>
        <v>Chemical Supply</v>
      </c>
      <c r="D298" t="str">
        <f>_xlfn.XLOOKUP(A298,Vendor_Master!A298,Vendor_Master!D298,"")</f>
        <v>West</v>
      </c>
      <c r="E298">
        <f>_xlfn.XLOOKUP(A298,Vendor_Master!A298,Vendor_Master!E298,0)</f>
        <v>526558</v>
      </c>
      <c r="F298" t="str">
        <f>_xlfn.XLOOKUP(A298,Vendor_Master!A298,Vendor_Master!H298,"")</f>
        <v>contact297@vendor.com</v>
      </c>
      <c r="G298">
        <f ca="1">COUNTIFS(Sustainability_Documents!$A:$A,$A298,Sustainability_Documents!$H:$H,"Missing")</f>
        <v>0</v>
      </c>
      <c r="H298">
        <f ca="1">COUNTIFS(Sustainability_Documents!$A:$A,$A298,Sustainability_Documents!$H:$H,"Expired")</f>
        <v>4</v>
      </c>
      <c r="I298">
        <f ca="1">COUNTIFS(Sustainability_Documents!$A:$A,$A298,Sustainability_Documents!$H:$H,"Expiring Soon")</f>
        <v>0</v>
      </c>
      <c r="J298">
        <f>COUNTIFS(Sustainability_Documents!$A:$A,$A298,Sustainability_Documents!$C:$C,"Yes")</f>
        <v>4</v>
      </c>
      <c r="K298">
        <f ca="1">IF($J298=0,"",($J298-$G298-$H298)/$J298)</f>
        <v>0</v>
      </c>
      <c r="L298">
        <f ca="1">COUNTIFS(OutReach_Log!$A:$A,$A298,OutReach_Log!$G:$G,"Yes")</f>
        <v>1</v>
      </c>
      <c r="M298">
        <f>COUNTIFS(OutReach_Log!$A:$A,$A298,OutReach_Log!$E:$E,"Pending")
 +COUNTIFS(OutReach_Log!$A:$A,$A298,OutReach_Log!$E:$E,"Escalated")</f>
        <v>1</v>
      </c>
      <c r="N298">
        <f>COUNTIFS(Incident_Log!$A:$A,$A298,Incident_Log!$C:$C,"High",Incident_Log!$E:$E,"No")</f>
        <v>0</v>
      </c>
      <c r="O298" t="str">
        <f t="shared" ca="1" si="4"/>
        <v>High Attention Required</v>
      </c>
      <c r="P298">
        <f ca="1">($G298*40)+($H298*30)+($I298*10)+($N298*50)+IF($L298&gt;0,20,0)</f>
        <v>140</v>
      </c>
      <c r="Q298">
        <f ca="1">E298*(P298/100)</f>
        <v>737181.2</v>
      </c>
      <c r="R298">
        <f ca="1">_xlfn.RANK.EQ($Q298,$Q$2:$Q$401,0)</f>
        <v>60</v>
      </c>
    </row>
    <row r="299" spans="1:18">
      <c r="A299" t="str" cm="1">
        <f t="array" ref="A299">_xlfn._xlws.SORT(Vendor_Master!A299)</f>
        <v>VND-298</v>
      </c>
      <c r="B299" t="str">
        <f>_xlfn.XLOOKUP(Compliance_Sheet!A299,Vendor_Master!A299,Vendor_Master!B299,"")</f>
        <v>Vendor_298</v>
      </c>
      <c r="C299" t="str">
        <f>_xlfn.XLOOKUP(A299,Vendor_Master!A299,Vendor_Master!C299,"")</f>
        <v>Chemical Supply</v>
      </c>
      <c r="D299" t="str">
        <f>_xlfn.XLOOKUP(A299,Vendor_Master!A299,Vendor_Master!D299,"")</f>
        <v>West</v>
      </c>
      <c r="E299">
        <f>_xlfn.XLOOKUP(A299,Vendor_Master!A299,Vendor_Master!E299,0)</f>
        <v>856049</v>
      </c>
      <c r="F299" t="str">
        <f>_xlfn.XLOOKUP(A299,Vendor_Master!A299,Vendor_Master!H299,"")</f>
        <v>contact298@vendor.com</v>
      </c>
      <c r="G299">
        <f ca="1">COUNTIFS(Sustainability_Documents!$A:$A,$A299,Sustainability_Documents!$H:$H,"Missing")</f>
        <v>0</v>
      </c>
      <c r="H299">
        <f ca="1">COUNTIFS(Sustainability_Documents!$A:$A,$A299,Sustainability_Documents!$H:$H,"Expired")</f>
        <v>4</v>
      </c>
      <c r="I299">
        <f ca="1">COUNTIFS(Sustainability_Documents!$A:$A,$A299,Sustainability_Documents!$H:$H,"Expiring Soon")</f>
        <v>0</v>
      </c>
      <c r="J299">
        <f>COUNTIFS(Sustainability_Documents!$A:$A,$A299,Sustainability_Documents!$C:$C,"Yes")</f>
        <v>4</v>
      </c>
      <c r="K299">
        <f ca="1">IF($J299=0,"",($J299-$G299-$H299)/$J299)</f>
        <v>0</v>
      </c>
      <c r="L299">
        <f ca="1">COUNTIFS(OutReach_Log!$A:$A,$A299,OutReach_Log!$G:$G,"Yes")</f>
        <v>1</v>
      </c>
      <c r="M299">
        <f>COUNTIFS(OutReach_Log!$A:$A,$A299,OutReach_Log!$E:$E,"Pending")
 +COUNTIFS(OutReach_Log!$A:$A,$A299,OutReach_Log!$E:$E,"Escalated")</f>
        <v>1</v>
      </c>
      <c r="N299">
        <f>COUNTIFS(Incident_Log!$A:$A,$A299,Incident_Log!$C:$C,"High",Incident_Log!$E:$E,"No")</f>
        <v>0</v>
      </c>
      <c r="O299" t="str">
        <f t="shared" ca="1" si="4"/>
        <v>High Attention Required</v>
      </c>
      <c r="P299">
        <f ca="1">($G299*40)+($H299*30)+($I299*10)+($N299*50)+IF($L299&gt;0,20,0)</f>
        <v>140</v>
      </c>
      <c r="Q299">
        <f ca="1">E299*(P299/100)</f>
        <v>1198468.5999999999</v>
      </c>
      <c r="R299">
        <f ca="1">_xlfn.RANK.EQ($Q299,$Q$2:$Q$401,0)</f>
        <v>41</v>
      </c>
    </row>
    <row r="300" spans="1:18">
      <c r="A300" t="str" cm="1">
        <f t="array" ref="A300">_xlfn._xlws.SORT(Vendor_Master!A300)</f>
        <v>VND-299</v>
      </c>
      <c r="B300" t="str">
        <f>_xlfn.XLOOKUP(Compliance_Sheet!A300,Vendor_Master!A300,Vendor_Master!B300,"")</f>
        <v>Vendor_299</v>
      </c>
      <c r="C300" t="str">
        <f>_xlfn.XLOOKUP(A300,Vendor_Master!A300,Vendor_Master!C300,"")</f>
        <v>Chemical Supply</v>
      </c>
      <c r="D300" t="str">
        <f>_xlfn.XLOOKUP(A300,Vendor_Master!A300,Vendor_Master!D300,"")</f>
        <v>West</v>
      </c>
      <c r="E300">
        <f>_xlfn.XLOOKUP(A300,Vendor_Master!A300,Vendor_Master!E300,0)</f>
        <v>971701</v>
      </c>
      <c r="F300" t="str">
        <f>_xlfn.XLOOKUP(A300,Vendor_Master!A300,Vendor_Master!H300,"")</f>
        <v>contact299@vendor.com</v>
      </c>
      <c r="G300">
        <f ca="1">COUNTIFS(Sustainability_Documents!$A:$A,$A300,Sustainability_Documents!$H:$H,"Missing")</f>
        <v>0</v>
      </c>
      <c r="H300">
        <f ca="1">COUNTIFS(Sustainability_Documents!$A:$A,$A300,Sustainability_Documents!$H:$H,"Expired")</f>
        <v>4</v>
      </c>
      <c r="I300">
        <f ca="1">COUNTIFS(Sustainability_Documents!$A:$A,$A300,Sustainability_Documents!$H:$H,"Expiring Soon")</f>
        <v>0</v>
      </c>
      <c r="J300">
        <f>COUNTIFS(Sustainability_Documents!$A:$A,$A300,Sustainability_Documents!$C:$C,"Yes")</f>
        <v>4</v>
      </c>
      <c r="K300">
        <f ca="1">IF($J300=0,"",($J300-$G300-$H300)/$J300)</f>
        <v>0</v>
      </c>
      <c r="L300">
        <f ca="1">COUNTIFS(OutReach_Log!$A:$A,$A300,OutReach_Log!$G:$G,"Yes")</f>
        <v>1</v>
      </c>
      <c r="M300">
        <f>COUNTIFS(OutReach_Log!$A:$A,$A300,OutReach_Log!$E:$E,"Pending")
 +COUNTIFS(OutReach_Log!$A:$A,$A300,OutReach_Log!$E:$E,"Escalated")</f>
        <v>0</v>
      </c>
      <c r="N300">
        <f>COUNTIFS(Incident_Log!$A:$A,$A300,Incident_Log!$C:$C,"High",Incident_Log!$E:$E,"No")</f>
        <v>0</v>
      </c>
      <c r="O300" t="str">
        <f t="shared" ca="1" si="4"/>
        <v>High Attention Required</v>
      </c>
      <c r="P300">
        <f ca="1">($G300*40)+($H300*30)+($I300*10)+($N300*50)+IF($L300&gt;0,20,0)</f>
        <v>140</v>
      </c>
      <c r="Q300">
        <f ca="1">E300*(P300/100)</f>
        <v>1360381.4</v>
      </c>
      <c r="R300">
        <f ca="1">_xlfn.RANK.EQ($Q300,$Q$2:$Q$401,0)</f>
        <v>30</v>
      </c>
    </row>
    <row r="301" spans="1:18">
      <c r="A301" t="str" cm="1">
        <f t="array" ref="A301">_xlfn._xlws.SORT(Vendor_Master!A301)</f>
        <v>VND-300</v>
      </c>
      <c r="B301" t="str">
        <f>_xlfn.XLOOKUP(Compliance_Sheet!A301,Vendor_Master!A301,Vendor_Master!B301,"")</f>
        <v>Vendor_300</v>
      </c>
      <c r="C301" t="str">
        <f>_xlfn.XLOOKUP(A301,Vendor_Master!A301,Vendor_Master!C301,"")</f>
        <v>Chemical Supply</v>
      </c>
      <c r="D301" t="str">
        <f>_xlfn.XLOOKUP(A301,Vendor_Master!A301,Vendor_Master!D301,"")</f>
        <v>West</v>
      </c>
      <c r="E301">
        <f>_xlfn.XLOOKUP(A301,Vendor_Master!A301,Vendor_Master!E301,0)</f>
        <v>691138</v>
      </c>
      <c r="F301" t="str">
        <f>_xlfn.XLOOKUP(A301,Vendor_Master!A301,Vendor_Master!H301,"")</f>
        <v>contact300@vendor.com</v>
      </c>
      <c r="G301">
        <f ca="1">COUNTIFS(Sustainability_Documents!$A:$A,$A301,Sustainability_Documents!$H:$H,"Missing")</f>
        <v>0</v>
      </c>
      <c r="H301">
        <f ca="1">COUNTIFS(Sustainability_Documents!$A:$A,$A301,Sustainability_Documents!$H:$H,"Expired")</f>
        <v>4</v>
      </c>
      <c r="I301">
        <f ca="1">COUNTIFS(Sustainability_Documents!$A:$A,$A301,Sustainability_Documents!$H:$H,"Expiring Soon")</f>
        <v>0</v>
      </c>
      <c r="J301">
        <f>COUNTIFS(Sustainability_Documents!$A:$A,$A301,Sustainability_Documents!$C:$C,"Yes")</f>
        <v>4</v>
      </c>
      <c r="K301">
        <f ca="1">IF($J301=0,"",($J301-$G301-$H301)/$J301)</f>
        <v>0</v>
      </c>
      <c r="L301">
        <f ca="1">COUNTIFS(OutReach_Log!$A:$A,$A301,OutReach_Log!$G:$G,"Yes")</f>
        <v>1</v>
      </c>
      <c r="M301">
        <f>COUNTIFS(OutReach_Log!$A:$A,$A301,OutReach_Log!$E:$E,"Pending")
 +COUNTIFS(OutReach_Log!$A:$A,$A301,OutReach_Log!$E:$E,"Escalated")</f>
        <v>1</v>
      </c>
      <c r="N301">
        <f>COUNTIFS(Incident_Log!$A:$A,$A301,Incident_Log!$C:$C,"High",Incident_Log!$E:$E,"No")</f>
        <v>0</v>
      </c>
      <c r="O301" t="str">
        <f t="shared" ca="1" si="4"/>
        <v>High Attention Required</v>
      </c>
      <c r="P301">
        <f ca="1">($G301*40)+($H301*30)+($I301*10)+($N301*50)+IF($L301&gt;0,20,0)</f>
        <v>140</v>
      </c>
      <c r="Q301">
        <f ca="1">E301*(P301/100)</f>
        <v>967593.2</v>
      </c>
      <c r="R301">
        <f ca="1">_xlfn.RANK.EQ($Q301,$Q$2:$Q$401,0)</f>
        <v>49</v>
      </c>
    </row>
    <row r="302" spans="1:18">
      <c r="A302" t="str" cm="1">
        <f t="array" ref="A302">_xlfn._xlws.SORT(Vendor_Master!A302)</f>
        <v>VND-301</v>
      </c>
      <c r="B302" t="str">
        <f>_xlfn.XLOOKUP(Compliance_Sheet!A302,Vendor_Master!A302,Vendor_Master!B302,"")</f>
        <v>Vendor_301</v>
      </c>
      <c r="C302" t="str">
        <f>_xlfn.XLOOKUP(A302,Vendor_Master!A302,Vendor_Master!C302,"")</f>
        <v>Chemical Supply</v>
      </c>
      <c r="D302" t="str">
        <f>_xlfn.XLOOKUP(A302,Vendor_Master!A302,Vendor_Master!D302,"")</f>
        <v>North</v>
      </c>
      <c r="E302">
        <f>_xlfn.XLOOKUP(A302,Vendor_Master!A302,Vendor_Master!E302,0)</f>
        <v>303801</v>
      </c>
      <c r="F302" t="str">
        <f>_xlfn.XLOOKUP(A302,Vendor_Master!A302,Vendor_Master!H302,"")</f>
        <v>contact301@vendor.com</v>
      </c>
      <c r="G302">
        <f ca="1">COUNTIFS(Sustainability_Documents!$A:$A,$A302,Sustainability_Documents!$H:$H,"Missing")</f>
        <v>0</v>
      </c>
      <c r="H302">
        <f ca="1">COUNTIFS(Sustainability_Documents!$A:$A,$A302,Sustainability_Documents!$H:$H,"Expired")</f>
        <v>4</v>
      </c>
      <c r="I302">
        <f ca="1">COUNTIFS(Sustainability_Documents!$A:$A,$A302,Sustainability_Documents!$H:$H,"Expiring Soon")</f>
        <v>0</v>
      </c>
      <c r="J302">
        <f>COUNTIFS(Sustainability_Documents!$A:$A,$A302,Sustainability_Documents!$C:$C,"Yes")</f>
        <v>4</v>
      </c>
      <c r="K302">
        <f ca="1">IF($J302=0,"",($J302-$G302-$H302)/$J302)</f>
        <v>0</v>
      </c>
      <c r="L302">
        <f ca="1">COUNTIFS(OutReach_Log!$A:$A,$A302,OutReach_Log!$G:$G,"Yes")</f>
        <v>1</v>
      </c>
      <c r="M302">
        <f>COUNTIFS(OutReach_Log!$A:$A,$A302,OutReach_Log!$E:$E,"Pending")
 +COUNTIFS(OutReach_Log!$A:$A,$A302,OutReach_Log!$E:$E,"Escalated")</f>
        <v>1</v>
      </c>
      <c r="N302">
        <f>COUNTIFS(Incident_Log!$A:$A,$A302,Incident_Log!$C:$C,"High",Incident_Log!$E:$E,"No")</f>
        <v>0</v>
      </c>
      <c r="O302" t="str">
        <f t="shared" ca="1" si="4"/>
        <v>High Attention Required</v>
      </c>
      <c r="P302">
        <f ca="1">($G302*40)+($H302*30)+($I302*10)+($N302*50)+IF($L302&gt;0,20,0)</f>
        <v>140</v>
      </c>
      <c r="Q302">
        <f ca="1">E302*(P302/100)</f>
        <v>425321.39999999997</v>
      </c>
      <c r="R302">
        <f ca="1">_xlfn.RANK.EQ($Q302,$Q$2:$Q$401,0)</f>
        <v>78</v>
      </c>
    </row>
    <row r="303" spans="1:18">
      <c r="A303" t="str" cm="1">
        <f t="array" ref="A303">_xlfn._xlws.SORT(Vendor_Master!A303)</f>
        <v>VND-302</v>
      </c>
      <c r="B303" t="str">
        <f>_xlfn.XLOOKUP(Compliance_Sheet!A303,Vendor_Master!A303,Vendor_Master!B303,"")</f>
        <v>Vendor_302</v>
      </c>
      <c r="C303" t="str">
        <f>_xlfn.XLOOKUP(A303,Vendor_Master!A303,Vendor_Master!C303,"")</f>
        <v>Chemical Supply</v>
      </c>
      <c r="D303" t="str">
        <f>_xlfn.XLOOKUP(A303,Vendor_Master!A303,Vendor_Master!D303,"")</f>
        <v>North</v>
      </c>
      <c r="E303">
        <f>_xlfn.XLOOKUP(A303,Vendor_Master!A303,Vendor_Master!E303,0)</f>
        <v>378900</v>
      </c>
      <c r="F303" t="str">
        <f>_xlfn.XLOOKUP(A303,Vendor_Master!A303,Vendor_Master!H303,"")</f>
        <v>contact302@vendor.com</v>
      </c>
      <c r="G303">
        <f ca="1">COUNTIFS(Sustainability_Documents!$A:$A,$A303,Sustainability_Documents!$H:$H,"Missing")</f>
        <v>0</v>
      </c>
      <c r="H303">
        <f ca="1">COUNTIFS(Sustainability_Documents!$A:$A,$A303,Sustainability_Documents!$H:$H,"Expired")</f>
        <v>4</v>
      </c>
      <c r="I303">
        <f ca="1">COUNTIFS(Sustainability_Documents!$A:$A,$A303,Sustainability_Documents!$H:$H,"Expiring Soon")</f>
        <v>0</v>
      </c>
      <c r="J303">
        <f>COUNTIFS(Sustainability_Documents!$A:$A,$A303,Sustainability_Documents!$C:$C,"Yes")</f>
        <v>4</v>
      </c>
      <c r="K303">
        <f ca="1">IF($J303=0,"",($J303-$G303-$H303)/$J303)</f>
        <v>0</v>
      </c>
      <c r="L303">
        <f ca="1">COUNTIFS(OutReach_Log!$A:$A,$A303,OutReach_Log!$G:$G,"Yes")</f>
        <v>1</v>
      </c>
      <c r="M303">
        <f>COUNTIFS(OutReach_Log!$A:$A,$A303,OutReach_Log!$E:$E,"Pending")
 +COUNTIFS(OutReach_Log!$A:$A,$A303,OutReach_Log!$E:$E,"Escalated")</f>
        <v>1</v>
      </c>
      <c r="N303">
        <f>COUNTIFS(Incident_Log!$A:$A,$A303,Incident_Log!$C:$C,"High",Incident_Log!$E:$E,"No")</f>
        <v>0</v>
      </c>
      <c r="O303" t="str">
        <f t="shared" ca="1" si="4"/>
        <v>High Attention Required</v>
      </c>
      <c r="P303">
        <f ca="1">($G303*40)+($H303*30)+($I303*10)+($N303*50)+IF($L303&gt;0,20,0)</f>
        <v>140</v>
      </c>
      <c r="Q303">
        <f ca="1">E303*(P303/100)</f>
        <v>530460</v>
      </c>
      <c r="R303">
        <f ca="1">_xlfn.RANK.EQ($Q303,$Q$2:$Q$401,0)</f>
        <v>70</v>
      </c>
    </row>
    <row r="304" spans="1:18">
      <c r="A304" t="str" cm="1">
        <f t="array" ref="A304">_xlfn._xlws.SORT(Vendor_Master!A304)</f>
        <v>VND-303</v>
      </c>
      <c r="B304" t="str">
        <f>_xlfn.XLOOKUP(Compliance_Sheet!A304,Vendor_Master!A304,Vendor_Master!B304,"")</f>
        <v>Vendor_303</v>
      </c>
      <c r="C304" t="str">
        <f>_xlfn.XLOOKUP(A304,Vendor_Master!A304,Vendor_Master!C304,"")</f>
        <v>Chemical Supply</v>
      </c>
      <c r="D304" t="str">
        <f>_xlfn.XLOOKUP(A304,Vendor_Master!A304,Vendor_Master!D304,"")</f>
        <v>North</v>
      </c>
      <c r="E304">
        <f>_xlfn.XLOOKUP(A304,Vendor_Master!A304,Vendor_Master!E304,0)</f>
        <v>414850</v>
      </c>
      <c r="F304" t="str">
        <f>_xlfn.XLOOKUP(A304,Vendor_Master!A304,Vendor_Master!H304,"")</f>
        <v>contact303@vendor.com</v>
      </c>
      <c r="G304">
        <f ca="1">COUNTIFS(Sustainability_Documents!$A:$A,$A304,Sustainability_Documents!$H:$H,"Missing")</f>
        <v>0</v>
      </c>
      <c r="H304">
        <f ca="1">COUNTIFS(Sustainability_Documents!$A:$A,$A304,Sustainability_Documents!$H:$H,"Expired")</f>
        <v>4</v>
      </c>
      <c r="I304">
        <f ca="1">COUNTIFS(Sustainability_Documents!$A:$A,$A304,Sustainability_Documents!$H:$H,"Expiring Soon")</f>
        <v>0</v>
      </c>
      <c r="J304">
        <f>COUNTIFS(Sustainability_Documents!$A:$A,$A304,Sustainability_Documents!$C:$C,"Yes")</f>
        <v>4</v>
      </c>
      <c r="K304">
        <f ca="1">IF($J304=0,"",($J304-$G304-$H304)/$J304)</f>
        <v>0</v>
      </c>
      <c r="L304">
        <f ca="1">COUNTIFS(OutReach_Log!$A:$A,$A304,OutReach_Log!$G:$G,"Yes")</f>
        <v>1</v>
      </c>
      <c r="M304">
        <f>COUNTIFS(OutReach_Log!$A:$A,$A304,OutReach_Log!$E:$E,"Pending")
 +COUNTIFS(OutReach_Log!$A:$A,$A304,OutReach_Log!$E:$E,"Escalated")</f>
        <v>0</v>
      </c>
      <c r="N304">
        <f>COUNTIFS(Incident_Log!$A:$A,$A304,Incident_Log!$C:$C,"High",Incident_Log!$E:$E,"No")</f>
        <v>0</v>
      </c>
      <c r="O304" t="str">
        <f t="shared" ca="1" si="4"/>
        <v>High Attention Required</v>
      </c>
      <c r="P304">
        <f ca="1">($G304*40)+($H304*30)+($I304*10)+($N304*50)+IF($L304&gt;0,20,0)</f>
        <v>140</v>
      </c>
      <c r="Q304">
        <f ca="1">E304*(P304/100)</f>
        <v>580790</v>
      </c>
      <c r="R304">
        <f ca="1">_xlfn.RANK.EQ($Q304,$Q$2:$Q$401,0)</f>
        <v>68</v>
      </c>
    </row>
    <row r="305" spans="1:18">
      <c r="A305" t="str" cm="1">
        <f t="array" ref="A305">_xlfn._xlws.SORT(Vendor_Master!A305)</f>
        <v>VND-304</v>
      </c>
      <c r="B305" t="str">
        <f>_xlfn.XLOOKUP(Compliance_Sheet!A305,Vendor_Master!A305,Vendor_Master!B305,"")</f>
        <v>Vendor_304</v>
      </c>
      <c r="C305" t="str">
        <f>_xlfn.XLOOKUP(A305,Vendor_Master!A305,Vendor_Master!C305,"")</f>
        <v>Chemical Supply</v>
      </c>
      <c r="D305" t="str">
        <f>_xlfn.XLOOKUP(A305,Vendor_Master!A305,Vendor_Master!D305,"")</f>
        <v>North</v>
      </c>
      <c r="E305">
        <f>_xlfn.XLOOKUP(A305,Vendor_Master!A305,Vendor_Master!E305,0)</f>
        <v>810902</v>
      </c>
      <c r="F305" t="str">
        <f>_xlfn.XLOOKUP(A305,Vendor_Master!A305,Vendor_Master!H305,"")</f>
        <v>contact304@vendor.com</v>
      </c>
      <c r="G305">
        <f ca="1">COUNTIFS(Sustainability_Documents!$A:$A,$A305,Sustainability_Documents!$H:$H,"Missing")</f>
        <v>0</v>
      </c>
      <c r="H305">
        <f ca="1">COUNTIFS(Sustainability_Documents!$A:$A,$A305,Sustainability_Documents!$H:$H,"Expired")</f>
        <v>4</v>
      </c>
      <c r="I305">
        <f ca="1">COUNTIFS(Sustainability_Documents!$A:$A,$A305,Sustainability_Documents!$H:$H,"Expiring Soon")</f>
        <v>0</v>
      </c>
      <c r="J305">
        <f>COUNTIFS(Sustainability_Documents!$A:$A,$A305,Sustainability_Documents!$C:$C,"Yes")</f>
        <v>4</v>
      </c>
      <c r="K305">
        <f ca="1">IF($J305=0,"",($J305-$G305-$H305)/$J305)</f>
        <v>0</v>
      </c>
      <c r="L305">
        <f ca="1">COUNTIFS(OutReach_Log!$A:$A,$A305,OutReach_Log!$G:$G,"Yes")</f>
        <v>1</v>
      </c>
      <c r="M305">
        <f>COUNTIFS(OutReach_Log!$A:$A,$A305,OutReach_Log!$E:$E,"Pending")
 +COUNTIFS(OutReach_Log!$A:$A,$A305,OutReach_Log!$E:$E,"Escalated")</f>
        <v>1</v>
      </c>
      <c r="N305">
        <f>COUNTIFS(Incident_Log!$A:$A,$A305,Incident_Log!$C:$C,"High",Incident_Log!$E:$E,"No")</f>
        <v>0</v>
      </c>
      <c r="O305" t="str">
        <f t="shared" ca="1" si="4"/>
        <v>High Attention Required</v>
      </c>
      <c r="P305">
        <f ca="1">($G305*40)+($H305*30)+($I305*10)+($N305*50)+IF($L305&gt;0,20,0)</f>
        <v>140</v>
      </c>
      <c r="Q305">
        <f ca="1">E305*(P305/100)</f>
        <v>1135262.7999999998</v>
      </c>
      <c r="R305">
        <f ca="1">_xlfn.RANK.EQ($Q305,$Q$2:$Q$401,0)</f>
        <v>43</v>
      </c>
    </row>
    <row r="306" spans="1:18">
      <c r="A306" t="str" cm="1">
        <f t="array" ref="A306">_xlfn._xlws.SORT(Vendor_Master!A306)</f>
        <v>VND-305</v>
      </c>
      <c r="B306" t="str">
        <f>_xlfn.XLOOKUP(Compliance_Sheet!A306,Vendor_Master!A306,Vendor_Master!B306,"")</f>
        <v>Vendor_305</v>
      </c>
      <c r="C306" t="str">
        <f>_xlfn.XLOOKUP(A306,Vendor_Master!A306,Vendor_Master!C306,"")</f>
        <v>Chemical Supply</v>
      </c>
      <c r="D306" t="str">
        <f>_xlfn.XLOOKUP(A306,Vendor_Master!A306,Vendor_Master!D306,"")</f>
        <v>North</v>
      </c>
      <c r="E306">
        <f>_xlfn.XLOOKUP(A306,Vendor_Master!A306,Vendor_Master!E306,0)</f>
        <v>816674</v>
      </c>
      <c r="F306" t="str">
        <f>_xlfn.XLOOKUP(A306,Vendor_Master!A306,Vendor_Master!H306,"")</f>
        <v>contact305@vendor.com</v>
      </c>
      <c r="G306">
        <f ca="1">COUNTIFS(Sustainability_Documents!$A:$A,$A306,Sustainability_Documents!$H:$H,"Missing")</f>
        <v>0</v>
      </c>
      <c r="H306">
        <f ca="1">COUNTIFS(Sustainability_Documents!$A:$A,$A306,Sustainability_Documents!$H:$H,"Expired")</f>
        <v>4</v>
      </c>
      <c r="I306">
        <f ca="1">COUNTIFS(Sustainability_Documents!$A:$A,$A306,Sustainability_Documents!$H:$H,"Expiring Soon")</f>
        <v>0</v>
      </c>
      <c r="J306">
        <f>COUNTIFS(Sustainability_Documents!$A:$A,$A306,Sustainability_Documents!$C:$C,"Yes")</f>
        <v>4</v>
      </c>
      <c r="K306">
        <f ca="1">IF($J306=0,"",($J306-$G306-$H306)/$J306)</f>
        <v>0</v>
      </c>
      <c r="L306">
        <f ca="1">COUNTIFS(OutReach_Log!$A:$A,$A306,OutReach_Log!$G:$G,"Yes")</f>
        <v>1</v>
      </c>
      <c r="M306">
        <f>COUNTIFS(OutReach_Log!$A:$A,$A306,OutReach_Log!$E:$E,"Pending")
 +COUNTIFS(OutReach_Log!$A:$A,$A306,OutReach_Log!$E:$E,"Escalated")</f>
        <v>0</v>
      </c>
      <c r="N306">
        <f>COUNTIFS(Incident_Log!$A:$A,$A306,Incident_Log!$C:$C,"High",Incident_Log!$E:$E,"No")</f>
        <v>0</v>
      </c>
      <c r="O306" t="str">
        <f t="shared" ca="1" si="4"/>
        <v>High Attention Required</v>
      </c>
      <c r="P306">
        <f ca="1">($G306*40)+($H306*30)+($I306*10)+($N306*50)+IF($L306&gt;0,20,0)</f>
        <v>140</v>
      </c>
      <c r="Q306">
        <f ca="1">E306*(P306/100)</f>
        <v>1143343.5999999999</v>
      </c>
      <c r="R306">
        <f ca="1">_xlfn.RANK.EQ($Q306,$Q$2:$Q$401,0)</f>
        <v>42</v>
      </c>
    </row>
    <row r="307" spans="1:18">
      <c r="A307" t="str" cm="1">
        <f t="array" ref="A307">_xlfn._xlws.SORT(Vendor_Master!A307)</f>
        <v>VND-306</v>
      </c>
      <c r="B307" t="str">
        <f>_xlfn.XLOOKUP(Compliance_Sheet!A307,Vendor_Master!A307,Vendor_Master!B307,"")</f>
        <v>Vendor_306</v>
      </c>
      <c r="C307" t="str">
        <f>_xlfn.XLOOKUP(A307,Vendor_Master!A307,Vendor_Master!C307,"")</f>
        <v>Chemical Supply</v>
      </c>
      <c r="D307" t="str">
        <f>_xlfn.XLOOKUP(A307,Vendor_Master!A307,Vendor_Master!D307,"")</f>
        <v>North</v>
      </c>
      <c r="E307">
        <f>_xlfn.XLOOKUP(A307,Vendor_Master!A307,Vendor_Master!E307,0)</f>
        <v>910567</v>
      </c>
      <c r="F307" t="str">
        <f>_xlfn.XLOOKUP(A307,Vendor_Master!A307,Vendor_Master!H307,"")</f>
        <v>contact306@vendor.com</v>
      </c>
      <c r="G307">
        <f ca="1">COUNTIFS(Sustainability_Documents!$A:$A,$A307,Sustainability_Documents!$H:$H,"Missing")</f>
        <v>0</v>
      </c>
      <c r="H307">
        <f ca="1">COUNTIFS(Sustainability_Documents!$A:$A,$A307,Sustainability_Documents!$H:$H,"Expired")</f>
        <v>4</v>
      </c>
      <c r="I307">
        <f ca="1">COUNTIFS(Sustainability_Documents!$A:$A,$A307,Sustainability_Documents!$H:$H,"Expiring Soon")</f>
        <v>0</v>
      </c>
      <c r="J307">
        <f>COUNTIFS(Sustainability_Documents!$A:$A,$A307,Sustainability_Documents!$C:$C,"Yes")</f>
        <v>4</v>
      </c>
      <c r="K307">
        <f ca="1">IF($J307=0,"",($J307-$G307-$H307)/$J307)</f>
        <v>0</v>
      </c>
      <c r="L307">
        <f ca="1">COUNTIFS(OutReach_Log!$A:$A,$A307,OutReach_Log!$G:$G,"Yes")</f>
        <v>1</v>
      </c>
      <c r="M307">
        <f>COUNTIFS(OutReach_Log!$A:$A,$A307,OutReach_Log!$E:$E,"Pending")
 +COUNTIFS(OutReach_Log!$A:$A,$A307,OutReach_Log!$E:$E,"Escalated")</f>
        <v>0</v>
      </c>
      <c r="N307">
        <f>COUNTIFS(Incident_Log!$A:$A,$A307,Incident_Log!$C:$C,"High",Incident_Log!$E:$E,"No")</f>
        <v>0</v>
      </c>
      <c r="O307" t="str">
        <f t="shared" ca="1" si="4"/>
        <v>High Attention Required</v>
      </c>
      <c r="P307">
        <f ca="1">($G307*40)+($H307*30)+($I307*10)+($N307*50)+IF($L307&gt;0,20,0)</f>
        <v>140</v>
      </c>
      <c r="Q307">
        <f ca="1">E307*(P307/100)</f>
        <v>1274793.7999999998</v>
      </c>
      <c r="R307">
        <f ca="1">_xlfn.RANK.EQ($Q307,$Q$2:$Q$401,0)</f>
        <v>35</v>
      </c>
    </row>
    <row r="308" spans="1:18">
      <c r="A308" t="str" cm="1">
        <f t="array" ref="A308">_xlfn._xlws.SORT(Vendor_Master!A308)</f>
        <v>VND-307</v>
      </c>
      <c r="B308" t="str">
        <f>_xlfn.XLOOKUP(Compliance_Sheet!A308,Vendor_Master!A308,Vendor_Master!B308,"")</f>
        <v>Vendor_307</v>
      </c>
      <c r="C308" t="str">
        <f>_xlfn.XLOOKUP(A308,Vendor_Master!A308,Vendor_Master!C308,"")</f>
        <v>Chemical Supply</v>
      </c>
      <c r="D308" t="str">
        <f>_xlfn.XLOOKUP(A308,Vendor_Master!A308,Vendor_Master!D308,"")</f>
        <v>North</v>
      </c>
      <c r="E308">
        <f>_xlfn.XLOOKUP(A308,Vendor_Master!A308,Vendor_Master!E308,0)</f>
        <v>495321</v>
      </c>
      <c r="F308" t="str">
        <f>_xlfn.XLOOKUP(A308,Vendor_Master!A308,Vendor_Master!H308,"")</f>
        <v>contact307@vendor.com</v>
      </c>
      <c r="G308">
        <f ca="1">COUNTIFS(Sustainability_Documents!$A:$A,$A308,Sustainability_Documents!$H:$H,"Missing")</f>
        <v>0</v>
      </c>
      <c r="H308">
        <f ca="1">COUNTIFS(Sustainability_Documents!$A:$A,$A308,Sustainability_Documents!$H:$H,"Expired")</f>
        <v>4</v>
      </c>
      <c r="I308">
        <f ca="1">COUNTIFS(Sustainability_Documents!$A:$A,$A308,Sustainability_Documents!$H:$H,"Expiring Soon")</f>
        <v>0</v>
      </c>
      <c r="J308">
        <f>COUNTIFS(Sustainability_Documents!$A:$A,$A308,Sustainability_Documents!$C:$C,"Yes")</f>
        <v>4</v>
      </c>
      <c r="K308">
        <f ca="1">IF($J308=0,"",($J308-$G308-$H308)/$J308)</f>
        <v>0</v>
      </c>
      <c r="L308">
        <f ca="1">COUNTIFS(OutReach_Log!$A:$A,$A308,OutReach_Log!$G:$G,"Yes")</f>
        <v>1</v>
      </c>
      <c r="M308">
        <f>COUNTIFS(OutReach_Log!$A:$A,$A308,OutReach_Log!$E:$E,"Pending")
 +COUNTIFS(OutReach_Log!$A:$A,$A308,OutReach_Log!$E:$E,"Escalated")</f>
        <v>1</v>
      </c>
      <c r="N308">
        <f>COUNTIFS(Incident_Log!$A:$A,$A308,Incident_Log!$C:$C,"High",Incident_Log!$E:$E,"No")</f>
        <v>0</v>
      </c>
      <c r="O308" t="str">
        <f t="shared" ca="1" si="4"/>
        <v>High Attention Required</v>
      </c>
      <c r="P308">
        <f ca="1">($G308*40)+($H308*30)+($I308*10)+($N308*50)+IF($L308&gt;0,20,0)</f>
        <v>140</v>
      </c>
      <c r="Q308">
        <f ca="1">E308*(P308/100)</f>
        <v>693449.39999999991</v>
      </c>
      <c r="R308">
        <f ca="1">_xlfn.RANK.EQ($Q308,$Q$2:$Q$401,0)</f>
        <v>64</v>
      </c>
    </row>
    <row r="309" spans="1:18">
      <c r="A309" t="str" cm="1">
        <f t="array" ref="A309">_xlfn._xlws.SORT(Vendor_Master!A309)</f>
        <v>VND-308</v>
      </c>
      <c r="B309" t="str">
        <f>_xlfn.XLOOKUP(Compliance_Sheet!A309,Vendor_Master!A309,Vendor_Master!B309,"")</f>
        <v>Vendor_308</v>
      </c>
      <c r="C309" t="str">
        <f>_xlfn.XLOOKUP(A309,Vendor_Master!A309,Vendor_Master!C309,"")</f>
        <v>Chemical Supply</v>
      </c>
      <c r="D309" t="str">
        <f>_xlfn.XLOOKUP(A309,Vendor_Master!A309,Vendor_Master!D309,"")</f>
        <v>North</v>
      </c>
      <c r="E309">
        <f>_xlfn.XLOOKUP(A309,Vendor_Master!A309,Vendor_Master!E309,0)</f>
        <v>577273</v>
      </c>
      <c r="F309" t="str">
        <f>_xlfn.XLOOKUP(A309,Vendor_Master!A309,Vendor_Master!H309,"")</f>
        <v>contact308@vendor.com</v>
      </c>
      <c r="G309">
        <f ca="1">COUNTIFS(Sustainability_Documents!$A:$A,$A309,Sustainability_Documents!$H:$H,"Missing")</f>
        <v>0</v>
      </c>
      <c r="H309">
        <f ca="1">COUNTIFS(Sustainability_Documents!$A:$A,$A309,Sustainability_Documents!$H:$H,"Expired")</f>
        <v>4</v>
      </c>
      <c r="I309">
        <f ca="1">COUNTIFS(Sustainability_Documents!$A:$A,$A309,Sustainability_Documents!$H:$H,"Expiring Soon")</f>
        <v>0</v>
      </c>
      <c r="J309">
        <f>COUNTIFS(Sustainability_Documents!$A:$A,$A309,Sustainability_Documents!$C:$C,"Yes")</f>
        <v>4</v>
      </c>
      <c r="K309">
        <f ca="1">IF($J309=0,"",($J309-$G309-$H309)/$J309)</f>
        <v>0</v>
      </c>
      <c r="L309">
        <f ca="1">COUNTIFS(OutReach_Log!$A:$A,$A309,OutReach_Log!$G:$G,"Yes")</f>
        <v>1</v>
      </c>
      <c r="M309">
        <f>COUNTIFS(OutReach_Log!$A:$A,$A309,OutReach_Log!$E:$E,"Pending")
 +COUNTIFS(OutReach_Log!$A:$A,$A309,OutReach_Log!$E:$E,"Escalated")</f>
        <v>0</v>
      </c>
      <c r="N309">
        <f>COUNTIFS(Incident_Log!$A:$A,$A309,Incident_Log!$C:$C,"High",Incident_Log!$E:$E,"No")</f>
        <v>0</v>
      </c>
      <c r="O309" t="str">
        <f t="shared" ca="1" si="4"/>
        <v>High Attention Required</v>
      </c>
      <c r="P309">
        <f ca="1">($G309*40)+($H309*30)+($I309*10)+($N309*50)+IF($L309&gt;0,20,0)</f>
        <v>140</v>
      </c>
      <c r="Q309">
        <f ca="1">E309*(P309/100)</f>
        <v>808182.2</v>
      </c>
      <c r="R309">
        <f ca="1">_xlfn.RANK.EQ($Q309,$Q$2:$Q$401,0)</f>
        <v>57</v>
      </c>
    </row>
    <row r="310" spans="1:18">
      <c r="A310" t="str" cm="1">
        <f t="array" ref="A310">_xlfn._xlws.SORT(Vendor_Master!A310)</f>
        <v>VND-309</v>
      </c>
      <c r="B310" t="str">
        <f>_xlfn.XLOOKUP(Compliance_Sheet!A310,Vendor_Master!A310,Vendor_Master!B310,"")</f>
        <v>Vendor_309</v>
      </c>
      <c r="C310" t="str">
        <f>_xlfn.XLOOKUP(A310,Vendor_Master!A310,Vendor_Master!C310,"")</f>
        <v>Chemical Supply</v>
      </c>
      <c r="D310" t="str">
        <f>_xlfn.XLOOKUP(A310,Vendor_Master!A310,Vendor_Master!D310,"")</f>
        <v>North</v>
      </c>
      <c r="E310">
        <f>_xlfn.XLOOKUP(A310,Vendor_Master!A310,Vendor_Master!E310,0)</f>
        <v>915082</v>
      </c>
      <c r="F310" t="str">
        <f>_xlfn.XLOOKUP(A310,Vendor_Master!A310,Vendor_Master!H310,"")</f>
        <v>contact309@vendor.com</v>
      </c>
      <c r="G310">
        <f ca="1">COUNTIFS(Sustainability_Documents!$A:$A,$A310,Sustainability_Documents!$H:$H,"Missing")</f>
        <v>0</v>
      </c>
      <c r="H310">
        <f ca="1">COUNTIFS(Sustainability_Documents!$A:$A,$A310,Sustainability_Documents!$H:$H,"Expired")</f>
        <v>4</v>
      </c>
      <c r="I310">
        <f ca="1">COUNTIFS(Sustainability_Documents!$A:$A,$A310,Sustainability_Documents!$H:$H,"Expiring Soon")</f>
        <v>0</v>
      </c>
      <c r="J310">
        <f>COUNTIFS(Sustainability_Documents!$A:$A,$A310,Sustainability_Documents!$C:$C,"Yes")</f>
        <v>4</v>
      </c>
      <c r="K310">
        <f ca="1">IF($J310=0,"",($J310-$G310-$H310)/$J310)</f>
        <v>0</v>
      </c>
      <c r="L310">
        <f ca="1">COUNTIFS(OutReach_Log!$A:$A,$A310,OutReach_Log!$G:$G,"Yes")</f>
        <v>1</v>
      </c>
      <c r="M310">
        <f>COUNTIFS(OutReach_Log!$A:$A,$A310,OutReach_Log!$E:$E,"Pending")
 +COUNTIFS(OutReach_Log!$A:$A,$A310,OutReach_Log!$E:$E,"Escalated")</f>
        <v>1</v>
      </c>
      <c r="N310">
        <f>COUNTIFS(Incident_Log!$A:$A,$A310,Incident_Log!$C:$C,"High",Incident_Log!$E:$E,"No")</f>
        <v>0</v>
      </c>
      <c r="O310" t="str">
        <f t="shared" ca="1" si="4"/>
        <v>High Attention Required</v>
      </c>
      <c r="P310">
        <f ca="1">($G310*40)+($H310*30)+($I310*10)+($N310*50)+IF($L310&gt;0,20,0)</f>
        <v>140</v>
      </c>
      <c r="Q310">
        <f ca="1">E310*(P310/100)</f>
        <v>1281114.7999999998</v>
      </c>
      <c r="R310">
        <f ca="1">_xlfn.RANK.EQ($Q310,$Q$2:$Q$401,0)</f>
        <v>34</v>
      </c>
    </row>
    <row r="311" spans="1:18">
      <c r="A311" t="str" cm="1">
        <f t="array" ref="A311">_xlfn._xlws.SORT(Vendor_Master!A311)</f>
        <v>VND-310</v>
      </c>
      <c r="B311" t="str">
        <f>_xlfn.XLOOKUP(Compliance_Sheet!A311,Vendor_Master!A311,Vendor_Master!B311,"")</f>
        <v>Vendor_310</v>
      </c>
      <c r="C311" t="str">
        <f>_xlfn.XLOOKUP(A311,Vendor_Master!A311,Vendor_Master!C311,"")</f>
        <v>Chemical Supply</v>
      </c>
      <c r="D311" t="str">
        <f>_xlfn.XLOOKUP(A311,Vendor_Master!A311,Vendor_Master!D311,"")</f>
        <v>North</v>
      </c>
      <c r="E311">
        <f>_xlfn.XLOOKUP(A311,Vendor_Master!A311,Vendor_Master!E311,0)</f>
        <v>438553</v>
      </c>
      <c r="F311" t="str">
        <f>_xlfn.XLOOKUP(A311,Vendor_Master!A311,Vendor_Master!H311,"")</f>
        <v>contact310@vendor.com</v>
      </c>
      <c r="G311">
        <f ca="1">COUNTIFS(Sustainability_Documents!$A:$A,$A311,Sustainability_Documents!$H:$H,"Missing")</f>
        <v>0</v>
      </c>
      <c r="H311">
        <f ca="1">COUNTIFS(Sustainability_Documents!$A:$A,$A311,Sustainability_Documents!$H:$H,"Expired")</f>
        <v>4</v>
      </c>
      <c r="I311">
        <f ca="1">COUNTIFS(Sustainability_Documents!$A:$A,$A311,Sustainability_Documents!$H:$H,"Expiring Soon")</f>
        <v>0</v>
      </c>
      <c r="J311">
        <f>COUNTIFS(Sustainability_Documents!$A:$A,$A311,Sustainability_Documents!$C:$C,"Yes")</f>
        <v>4</v>
      </c>
      <c r="K311">
        <f ca="1">IF($J311=0,"",($J311-$G311-$H311)/$J311)</f>
        <v>0</v>
      </c>
      <c r="L311">
        <f ca="1">COUNTIFS(OutReach_Log!$A:$A,$A311,OutReach_Log!$G:$G,"Yes")</f>
        <v>1</v>
      </c>
      <c r="M311">
        <f>COUNTIFS(OutReach_Log!$A:$A,$A311,OutReach_Log!$E:$E,"Pending")
 +COUNTIFS(OutReach_Log!$A:$A,$A311,OutReach_Log!$E:$E,"Escalated")</f>
        <v>0</v>
      </c>
      <c r="N311">
        <f>COUNTIFS(Incident_Log!$A:$A,$A311,Incident_Log!$C:$C,"High",Incident_Log!$E:$E,"No")</f>
        <v>0</v>
      </c>
      <c r="O311" t="str">
        <f t="shared" ca="1" si="4"/>
        <v>High Attention Required</v>
      </c>
      <c r="P311">
        <f ca="1">($G311*40)+($H311*30)+($I311*10)+($N311*50)+IF($L311&gt;0,20,0)</f>
        <v>140</v>
      </c>
      <c r="Q311">
        <f ca="1">E311*(P311/100)</f>
        <v>613974.19999999995</v>
      </c>
      <c r="R311">
        <f ca="1">_xlfn.RANK.EQ($Q311,$Q$2:$Q$401,0)</f>
        <v>67</v>
      </c>
    </row>
    <row r="312" spans="1:18">
      <c r="A312" t="str" cm="1">
        <f t="array" ref="A312">_xlfn._xlws.SORT(Vendor_Master!A312)</f>
        <v>VND-311</v>
      </c>
      <c r="B312" t="str">
        <f>_xlfn.XLOOKUP(Compliance_Sheet!A312,Vendor_Master!A312,Vendor_Master!B312,"")</f>
        <v>Vendor_311</v>
      </c>
      <c r="C312" t="str">
        <f>_xlfn.XLOOKUP(A312,Vendor_Master!A312,Vendor_Master!C312,"")</f>
        <v>Chemical Supply</v>
      </c>
      <c r="D312" t="str">
        <f>_xlfn.XLOOKUP(A312,Vendor_Master!A312,Vendor_Master!D312,"")</f>
        <v>North</v>
      </c>
      <c r="E312">
        <f>_xlfn.XLOOKUP(A312,Vendor_Master!A312,Vendor_Master!E312,0)</f>
        <v>709446</v>
      </c>
      <c r="F312" t="str">
        <f>_xlfn.XLOOKUP(A312,Vendor_Master!A312,Vendor_Master!H312,"")</f>
        <v>contact311@vendor.com</v>
      </c>
      <c r="G312">
        <f ca="1">COUNTIFS(Sustainability_Documents!$A:$A,$A312,Sustainability_Documents!$H:$H,"Missing")</f>
        <v>0</v>
      </c>
      <c r="H312">
        <f ca="1">COUNTIFS(Sustainability_Documents!$A:$A,$A312,Sustainability_Documents!$H:$H,"Expired")</f>
        <v>4</v>
      </c>
      <c r="I312">
        <f ca="1">COUNTIFS(Sustainability_Documents!$A:$A,$A312,Sustainability_Documents!$H:$H,"Expiring Soon")</f>
        <v>0</v>
      </c>
      <c r="J312">
        <f>COUNTIFS(Sustainability_Documents!$A:$A,$A312,Sustainability_Documents!$C:$C,"Yes")</f>
        <v>4</v>
      </c>
      <c r="K312">
        <f ca="1">IF($J312=0,"",($J312-$G312-$H312)/$J312)</f>
        <v>0</v>
      </c>
      <c r="L312">
        <f ca="1">COUNTIFS(OutReach_Log!$A:$A,$A312,OutReach_Log!$G:$G,"Yes")</f>
        <v>1</v>
      </c>
      <c r="M312">
        <f>COUNTIFS(OutReach_Log!$A:$A,$A312,OutReach_Log!$E:$E,"Pending")
 +COUNTIFS(OutReach_Log!$A:$A,$A312,OutReach_Log!$E:$E,"Escalated")</f>
        <v>1</v>
      </c>
      <c r="N312">
        <f>COUNTIFS(Incident_Log!$A:$A,$A312,Incident_Log!$C:$C,"High",Incident_Log!$E:$E,"No")</f>
        <v>0</v>
      </c>
      <c r="O312" t="str">
        <f t="shared" ca="1" si="4"/>
        <v>High Attention Required</v>
      </c>
      <c r="P312">
        <f ca="1">($G312*40)+($H312*30)+($I312*10)+($N312*50)+IF($L312&gt;0,20,0)</f>
        <v>140</v>
      </c>
      <c r="Q312">
        <f ca="1">E312*(P312/100)</f>
        <v>993224.39999999991</v>
      </c>
      <c r="R312">
        <f ca="1">_xlfn.RANK.EQ($Q312,$Q$2:$Q$401,0)</f>
        <v>48</v>
      </c>
    </row>
    <row r="313" spans="1:18">
      <c r="A313" t="str" cm="1">
        <f t="array" ref="A313">_xlfn._xlws.SORT(Vendor_Master!A313)</f>
        <v>VND-312</v>
      </c>
      <c r="B313" t="str">
        <f>_xlfn.XLOOKUP(Compliance_Sheet!A313,Vendor_Master!A313,Vendor_Master!B313,"")</f>
        <v>Vendor_312</v>
      </c>
      <c r="C313" t="str">
        <f>_xlfn.XLOOKUP(A313,Vendor_Master!A313,Vendor_Master!C313,"")</f>
        <v>Chemical Supply</v>
      </c>
      <c r="D313" t="str">
        <f>_xlfn.XLOOKUP(A313,Vendor_Master!A313,Vendor_Master!D313,"")</f>
        <v>North</v>
      </c>
      <c r="E313">
        <f>_xlfn.XLOOKUP(A313,Vendor_Master!A313,Vendor_Master!E313,0)</f>
        <v>533434</v>
      </c>
      <c r="F313" t="str">
        <f>_xlfn.XLOOKUP(A313,Vendor_Master!A313,Vendor_Master!H313,"")</f>
        <v>contact312@vendor.com</v>
      </c>
      <c r="G313">
        <f ca="1">COUNTIFS(Sustainability_Documents!$A:$A,$A313,Sustainability_Documents!$H:$H,"Missing")</f>
        <v>0</v>
      </c>
      <c r="H313">
        <f ca="1">COUNTIFS(Sustainability_Documents!$A:$A,$A313,Sustainability_Documents!$H:$H,"Expired")</f>
        <v>4</v>
      </c>
      <c r="I313">
        <f ca="1">COUNTIFS(Sustainability_Documents!$A:$A,$A313,Sustainability_Documents!$H:$H,"Expiring Soon")</f>
        <v>0</v>
      </c>
      <c r="J313">
        <f>COUNTIFS(Sustainability_Documents!$A:$A,$A313,Sustainability_Documents!$C:$C,"Yes")</f>
        <v>4</v>
      </c>
      <c r="K313">
        <f ca="1">IF($J313=0,"",($J313-$G313-$H313)/$J313)</f>
        <v>0</v>
      </c>
      <c r="L313">
        <f ca="1">COUNTIFS(OutReach_Log!$A:$A,$A313,OutReach_Log!$G:$G,"Yes")</f>
        <v>1</v>
      </c>
      <c r="M313">
        <f>COUNTIFS(OutReach_Log!$A:$A,$A313,OutReach_Log!$E:$E,"Pending")
 +COUNTIFS(OutReach_Log!$A:$A,$A313,OutReach_Log!$E:$E,"Escalated")</f>
        <v>1</v>
      </c>
      <c r="N313">
        <f>COUNTIFS(Incident_Log!$A:$A,$A313,Incident_Log!$C:$C,"High",Incident_Log!$E:$E,"No")</f>
        <v>1</v>
      </c>
      <c r="O313" t="str">
        <f t="shared" ca="1" si="4"/>
        <v>High Attention Required</v>
      </c>
      <c r="P313">
        <f ca="1">($G313*40)+($H313*30)+($I313*10)+($N313*50)+IF($L313&gt;0,20,0)</f>
        <v>190</v>
      </c>
      <c r="Q313">
        <f ca="1">E313*(P313/100)</f>
        <v>1013524.6</v>
      </c>
      <c r="R313">
        <f ca="1">_xlfn.RANK.EQ($Q313,$Q$2:$Q$401,0)</f>
        <v>45</v>
      </c>
    </row>
    <row r="314" spans="1:18">
      <c r="A314" t="str" cm="1">
        <f t="array" ref="A314">_xlfn._xlws.SORT(Vendor_Master!A314)</f>
        <v>VND-313</v>
      </c>
      <c r="B314" t="str">
        <f>_xlfn.XLOOKUP(Compliance_Sheet!A314,Vendor_Master!A314,Vendor_Master!B314,"")</f>
        <v>Vendor_313</v>
      </c>
      <c r="C314" t="str">
        <f>_xlfn.XLOOKUP(A314,Vendor_Master!A314,Vendor_Master!C314,"")</f>
        <v>Chemical Supply</v>
      </c>
      <c r="D314" t="str">
        <f>_xlfn.XLOOKUP(A314,Vendor_Master!A314,Vendor_Master!D314,"")</f>
        <v>North</v>
      </c>
      <c r="E314">
        <f>_xlfn.XLOOKUP(A314,Vendor_Master!A314,Vendor_Master!E314,0)</f>
        <v>966410</v>
      </c>
      <c r="F314" t="str">
        <f>_xlfn.XLOOKUP(A314,Vendor_Master!A314,Vendor_Master!H314,"")</f>
        <v>contact313@vendor.com</v>
      </c>
      <c r="G314">
        <f ca="1">COUNTIFS(Sustainability_Documents!$A:$A,$A314,Sustainability_Documents!$H:$H,"Missing")</f>
        <v>0</v>
      </c>
      <c r="H314">
        <f ca="1">COUNTIFS(Sustainability_Documents!$A:$A,$A314,Sustainability_Documents!$H:$H,"Expired")</f>
        <v>4</v>
      </c>
      <c r="I314">
        <f ca="1">COUNTIFS(Sustainability_Documents!$A:$A,$A314,Sustainability_Documents!$H:$H,"Expiring Soon")</f>
        <v>0</v>
      </c>
      <c r="J314">
        <f>COUNTIFS(Sustainability_Documents!$A:$A,$A314,Sustainability_Documents!$C:$C,"Yes")</f>
        <v>4</v>
      </c>
      <c r="K314">
        <f ca="1">IF($J314=0,"",($J314-$G314-$H314)/$J314)</f>
        <v>0</v>
      </c>
      <c r="L314">
        <f ca="1">COUNTIFS(OutReach_Log!$A:$A,$A314,OutReach_Log!$G:$G,"Yes")</f>
        <v>1</v>
      </c>
      <c r="M314">
        <f>COUNTIFS(OutReach_Log!$A:$A,$A314,OutReach_Log!$E:$E,"Pending")
 +COUNTIFS(OutReach_Log!$A:$A,$A314,OutReach_Log!$E:$E,"Escalated")</f>
        <v>0</v>
      </c>
      <c r="N314">
        <f>COUNTIFS(Incident_Log!$A:$A,$A314,Incident_Log!$C:$C,"High",Incident_Log!$E:$E,"No")</f>
        <v>0</v>
      </c>
      <c r="O314" t="str">
        <f t="shared" ca="1" si="4"/>
        <v>High Attention Required</v>
      </c>
      <c r="P314">
        <f ca="1">($G314*40)+($H314*30)+($I314*10)+($N314*50)+IF($L314&gt;0,20,0)</f>
        <v>140</v>
      </c>
      <c r="Q314">
        <f ca="1">E314*(P314/100)</f>
        <v>1352974</v>
      </c>
      <c r="R314">
        <f ca="1">_xlfn.RANK.EQ($Q314,$Q$2:$Q$401,0)</f>
        <v>31</v>
      </c>
    </row>
    <row r="315" spans="1:18">
      <c r="A315" t="str" cm="1">
        <f t="array" ref="A315">_xlfn._xlws.SORT(Vendor_Master!A315)</f>
        <v>VND-314</v>
      </c>
      <c r="B315" t="str">
        <f>_xlfn.XLOOKUP(Compliance_Sheet!A315,Vendor_Master!A315,Vendor_Master!B315,"")</f>
        <v>Vendor_314</v>
      </c>
      <c r="C315" t="str">
        <f>_xlfn.XLOOKUP(A315,Vendor_Master!A315,Vendor_Master!C315,"")</f>
        <v>Chemical Supply</v>
      </c>
      <c r="D315" t="str">
        <f>_xlfn.XLOOKUP(A315,Vendor_Master!A315,Vendor_Master!D315,"")</f>
        <v>North</v>
      </c>
      <c r="E315">
        <f>_xlfn.XLOOKUP(A315,Vendor_Master!A315,Vendor_Master!E315,0)</f>
        <v>886916</v>
      </c>
      <c r="F315" t="str">
        <f>_xlfn.XLOOKUP(A315,Vendor_Master!A315,Vendor_Master!H315,"")</f>
        <v>contact314@vendor.com</v>
      </c>
      <c r="G315">
        <f ca="1">COUNTIFS(Sustainability_Documents!$A:$A,$A315,Sustainability_Documents!$H:$H,"Missing")</f>
        <v>0</v>
      </c>
      <c r="H315">
        <f ca="1">COUNTIFS(Sustainability_Documents!$A:$A,$A315,Sustainability_Documents!$H:$H,"Expired")</f>
        <v>4</v>
      </c>
      <c r="I315">
        <f ca="1">COUNTIFS(Sustainability_Documents!$A:$A,$A315,Sustainability_Documents!$H:$H,"Expiring Soon")</f>
        <v>0</v>
      </c>
      <c r="J315">
        <f>COUNTIFS(Sustainability_Documents!$A:$A,$A315,Sustainability_Documents!$C:$C,"Yes")</f>
        <v>4</v>
      </c>
      <c r="K315">
        <f ca="1">IF($J315=0,"",($J315-$G315-$H315)/$J315)</f>
        <v>0</v>
      </c>
      <c r="L315">
        <f ca="1">COUNTIFS(OutReach_Log!$A:$A,$A315,OutReach_Log!$G:$G,"Yes")</f>
        <v>1</v>
      </c>
      <c r="M315">
        <f>COUNTIFS(OutReach_Log!$A:$A,$A315,OutReach_Log!$E:$E,"Pending")
 +COUNTIFS(OutReach_Log!$A:$A,$A315,OutReach_Log!$E:$E,"Escalated")</f>
        <v>0</v>
      </c>
      <c r="N315">
        <f>COUNTIFS(Incident_Log!$A:$A,$A315,Incident_Log!$C:$C,"High",Incident_Log!$E:$E,"No")</f>
        <v>0</v>
      </c>
      <c r="O315" t="str">
        <f t="shared" ca="1" si="4"/>
        <v>High Attention Required</v>
      </c>
      <c r="P315">
        <f ca="1">($G315*40)+($H315*30)+($I315*10)+($N315*50)+IF($L315&gt;0,20,0)</f>
        <v>140</v>
      </c>
      <c r="Q315">
        <f ca="1">E315*(P315/100)</f>
        <v>1241682.3999999999</v>
      </c>
      <c r="R315">
        <f ca="1">_xlfn.RANK.EQ($Q315,$Q$2:$Q$401,0)</f>
        <v>40</v>
      </c>
    </row>
    <row r="316" spans="1:18">
      <c r="A316" t="str" cm="1">
        <f t="array" ref="A316">_xlfn._xlws.SORT(Vendor_Master!A316)</f>
        <v>VND-315</v>
      </c>
      <c r="B316" t="str">
        <f>_xlfn.XLOOKUP(Compliance_Sheet!A316,Vendor_Master!A316,Vendor_Master!B316,"")</f>
        <v>Vendor_315</v>
      </c>
      <c r="C316" t="str">
        <f>_xlfn.XLOOKUP(A316,Vendor_Master!A316,Vendor_Master!C316,"")</f>
        <v>Chemical Supply</v>
      </c>
      <c r="D316" t="str">
        <f>_xlfn.XLOOKUP(A316,Vendor_Master!A316,Vendor_Master!D316,"")</f>
        <v>North</v>
      </c>
      <c r="E316">
        <f>_xlfn.XLOOKUP(A316,Vendor_Master!A316,Vendor_Master!E316,0)</f>
        <v>560165</v>
      </c>
      <c r="F316" t="str">
        <f>_xlfn.XLOOKUP(A316,Vendor_Master!A316,Vendor_Master!H316,"")</f>
        <v>contact315@vendor.com</v>
      </c>
      <c r="G316">
        <f ca="1">COUNTIFS(Sustainability_Documents!$A:$A,$A316,Sustainability_Documents!$H:$H,"Missing")</f>
        <v>0</v>
      </c>
      <c r="H316">
        <f ca="1">COUNTIFS(Sustainability_Documents!$A:$A,$A316,Sustainability_Documents!$H:$H,"Expired")</f>
        <v>4</v>
      </c>
      <c r="I316">
        <f ca="1">COUNTIFS(Sustainability_Documents!$A:$A,$A316,Sustainability_Documents!$H:$H,"Expiring Soon")</f>
        <v>0</v>
      </c>
      <c r="J316">
        <f>COUNTIFS(Sustainability_Documents!$A:$A,$A316,Sustainability_Documents!$C:$C,"Yes")</f>
        <v>4</v>
      </c>
      <c r="K316">
        <f ca="1">IF($J316=0,"",($J316-$G316-$H316)/$J316)</f>
        <v>0</v>
      </c>
      <c r="L316">
        <f ca="1">COUNTIFS(OutReach_Log!$A:$A,$A316,OutReach_Log!$G:$G,"Yes")</f>
        <v>1</v>
      </c>
      <c r="M316">
        <f>COUNTIFS(OutReach_Log!$A:$A,$A316,OutReach_Log!$E:$E,"Pending")
 +COUNTIFS(OutReach_Log!$A:$A,$A316,OutReach_Log!$E:$E,"Escalated")</f>
        <v>1</v>
      </c>
      <c r="N316">
        <f>COUNTIFS(Incident_Log!$A:$A,$A316,Incident_Log!$C:$C,"High",Incident_Log!$E:$E,"No")</f>
        <v>0</v>
      </c>
      <c r="O316" t="str">
        <f t="shared" ca="1" si="4"/>
        <v>High Attention Required</v>
      </c>
      <c r="P316">
        <f ca="1">($G316*40)+($H316*30)+($I316*10)+($N316*50)+IF($L316&gt;0,20,0)</f>
        <v>140</v>
      </c>
      <c r="Q316">
        <f ca="1">E316*(P316/100)</f>
        <v>784231</v>
      </c>
      <c r="R316">
        <f ca="1">_xlfn.RANK.EQ($Q316,$Q$2:$Q$401,0)</f>
        <v>58</v>
      </c>
    </row>
    <row r="317" spans="1:18">
      <c r="A317" t="str" cm="1">
        <f t="array" ref="A317">_xlfn._xlws.SORT(Vendor_Master!A317)</f>
        <v>VND-316</v>
      </c>
      <c r="B317" t="str">
        <f>_xlfn.XLOOKUP(Compliance_Sheet!A317,Vendor_Master!A317,Vendor_Master!B317,"")</f>
        <v>Vendor_316</v>
      </c>
      <c r="C317" t="str">
        <f>_xlfn.XLOOKUP(A317,Vendor_Master!A317,Vendor_Master!C317,"")</f>
        <v>Chemical Supply</v>
      </c>
      <c r="D317" t="str">
        <f>_xlfn.XLOOKUP(A317,Vendor_Master!A317,Vendor_Master!D317,"")</f>
        <v>North</v>
      </c>
      <c r="E317">
        <f>_xlfn.XLOOKUP(A317,Vendor_Master!A317,Vendor_Master!E317,0)</f>
        <v>888296</v>
      </c>
      <c r="F317" t="str">
        <f>_xlfn.XLOOKUP(A317,Vendor_Master!A317,Vendor_Master!H317,"")</f>
        <v>contact316@vendor.com</v>
      </c>
      <c r="G317">
        <f ca="1">COUNTIFS(Sustainability_Documents!$A:$A,$A317,Sustainability_Documents!$H:$H,"Missing")</f>
        <v>0</v>
      </c>
      <c r="H317">
        <f ca="1">COUNTIFS(Sustainability_Documents!$A:$A,$A317,Sustainability_Documents!$H:$H,"Expired")</f>
        <v>4</v>
      </c>
      <c r="I317">
        <f ca="1">COUNTIFS(Sustainability_Documents!$A:$A,$A317,Sustainability_Documents!$H:$H,"Expiring Soon")</f>
        <v>0</v>
      </c>
      <c r="J317">
        <f>COUNTIFS(Sustainability_Documents!$A:$A,$A317,Sustainability_Documents!$C:$C,"Yes")</f>
        <v>4</v>
      </c>
      <c r="K317">
        <f ca="1">IF($J317=0,"",($J317-$G317-$H317)/$J317)</f>
        <v>0</v>
      </c>
      <c r="L317">
        <f ca="1">COUNTIFS(OutReach_Log!$A:$A,$A317,OutReach_Log!$G:$G,"Yes")</f>
        <v>1</v>
      </c>
      <c r="M317">
        <f>COUNTIFS(OutReach_Log!$A:$A,$A317,OutReach_Log!$E:$E,"Pending")
 +COUNTIFS(OutReach_Log!$A:$A,$A317,OutReach_Log!$E:$E,"Escalated")</f>
        <v>0</v>
      </c>
      <c r="N317">
        <f>COUNTIFS(Incident_Log!$A:$A,$A317,Incident_Log!$C:$C,"High",Incident_Log!$E:$E,"No")</f>
        <v>0</v>
      </c>
      <c r="O317" t="str">
        <f t="shared" ca="1" si="4"/>
        <v>High Attention Required</v>
      </c>
      <c r="P317">
        <f ca="1">($G317*40)+($H317*30)+($I317*10)+($N317*50)+IF($L317&gt;0,20,0)</f>
        <v>140</v>
      </c>
      <c r="Q317">
        <f ca="1">E317*(P317/100)</f>
        <v>1243614.3999999999</v>
      </c>
      <c r="R317">
        <f ca="1">_xlfn.RANK.EQ($Q317,$Q$2:$Q$401,0)</f>
        <v>39</v>
      </c>
    </row>
    <row r="318" spans="1:18">
      <c r="A318" t="str" cm="1">
        <f t="array" ref="A318">_xlfn._xlws.SORT(Vendor_Master!A318)</f>
        <v>VND-317</v>
      </c>
      <c r="B318" t="str">
        <f>_xlfn.XLOOKUP(Compliance_Sheet!A318,Vendor_Master!A318,Vendor_Master!B318,"")</f>
        <v>Vendor_317</v>
      </c>
      <c r="C318" t="str">
        <f>_xlfn.XLOOKUP(A318,Vendor_Master!A318,Vendor_Master!C318,"")</f>
        <v>Chemical Supply</v>
      </c>
      <c r="D318" t="str">
        <f>_xlfn.XLOOKUP(A318,Vendor_Master!A318,Vendor_Master!D318,"")</f>
        <v>North</v>
      </c>
      <c r="E318">
        <f>_xlfn.XLOOKUP(A318,Vendor_Master!A318,Vendor_Master!E318,0)</f>
        <v>896848</v>
      </c>
      <c r="F318" t="str">
        <f>_xlfn.XLOOKUP(A318,Vendor_Master!A318,Vendor_Master!H318,"")</f>
        <v>contact317@vendor.com</v>
      </c>
      <c r="G318">
        <f ca="1">COUNTIFS(Sustainability_Documents!$A:$A,$A318,Sustainability_Documents!$H:$H,"Missing")</f>
        <v>0</v>
      </c>
      <c r="H318">
        <f ca="1">COUNTIFS(Sustainability_Documents!$A:$A,$A318,Sustainability_Documents!$H:$H,"Expired")</f>
        <v>4</v>
      </c>
      <c r="I318">
        <f ca="1">COUNTIFS(Sustainability_Documents!$A:$A,$A318,Sustainability_Documents!$H:$H,"Expiring Soon")</f>
        <v>0</v>
      </c>
      <c r="J318">
        <f>COUNTIFS(Sustainability_Documents!$A:$A,$A318,Sustainability_Documents!$C:$C,"Yes")</f>
        <v>4</v>
      </c>
      <c r="K318">
        <f ca="1">IF($J318=0,"",($J318-$G318-$H318)/$J318)</f>
        <v>0</v>
      </c>
      <c r="L318">
        <f ca="1">COUNTIFS(OutReach_Log!$A:$A,$A318,OutReach_Log!$G:$G,"Yes")</f>
        <v>1</v>
      </c>
      <c r="M318">
        <f>COUNTIFS(OutReach_Log!$A:$A,$A318,OutReach_Log!$E:$E,"Pending")
 +COUNTIFS(OutReach_Log!$A:$A,$A318,OutReach_Log!$E:$E,"Escalated")</f>
        <v>0</v>
      </c>
      <c r="N318">
        <f>COUNTIFS(Incident_Log!$A:$A,$A318,Incident_Log!$C:$C,"High",Incident_Log!$E:$E,"No")</f>
        <v>0</v>
      </c>
      <c r="O318" t="str">
        <f t="shared" ca="1" si="4"/>
        <v>High Attention Required</v>
      </c>
      <c r="P318">
        <f ca="1">($G318*40)+($H318*30)+($I318*10)+($N318*50)+IF($L318&gt;0,20,0)</f>
        <v>140</v>
      </c>
      <c r="Q318">
        <f ca="1">E318*(P318/100)</f>
        <v>1255587.2</v>
      </c>
      <c r="R318">
        <f ca="1">_xlfn.RANK.EQ($Q318,$Q$2:$Q$401,0)</f>
        <v>37</v>
      </c>
    </row>
    <row r="319" spans="1:18">
      <c r="A319" t="str" cm="1">
        <f t="array" ref="A319">_xlfn._xlws.SORT(Vendor_Master!A319)</f>
        <v>VND-318</v>
      </c>
      <c r="B319" t="str">
        <f>_xlfn.XLOOKUP(Compliance_Sheet!A319,Vendor_Master!A319,Vendor_Master!B319,"")</f>
        <v>Vendor_318</v>
      </c>
      <c r="C319" t="str">
        <f>_xlfn.XLOOKUP(A319,Vendor_Master!A319,Vendor_Master!C319,"")</f>
        <v>Chemical Supply</v>
      </c>
      <c r="D319" t="str">
        <f>_xlfn.XLOOKUP(A319,Vendor_Master!A319,Vendor_Master!D319,"")</f>
        <v>North</v>
      </c>
      <c r="E319">
        <f>_xlfn.XLOOKUP(A319,Vendor_Master!A319,Vendor_Master!E319,0)</f>
        <v>276979</v>
      </c>
      <c r="F319" t="str">
        <f>_xlfn.XLOOKUP(A319,Vendor_Master!A319,Vendor_Master!H319,"")</f>
        <v>contact318@vendor.com</v>
      </c>
      <c r="G319">
        <f ca="1">COUNTIFS(Sustainability_Documents!$A:$A,$A319,Sustainability_Documents!$H:$H,"Missing")</f>
        <v>0</v>
      </c>
      <c r="H319">
        <f ca="1">COUNTIFS(Sustainability_Documents!$A:$A,$A319,Sustainability_Documents!$H:$H,"Expired")</f>
        <v>4</v>
      </c>
      <c r="I319">
        <f ca="1">COUNTIFS(Sustainability_Documents!$A:$A,$A319,Sustainability_Documents!$H:$H,"Expiring Soon")</f>
        <v>0</v>
      </c>
      <c r="J319">
        <f>COUNTIFS(Sustainability_Documents!$A:$A,$A319,Sustainability_Documents!$C:$C,"Yes")</f>
        <v>4</v>
      </c>
      <c r="K319">
        <f ca="1">IF($J319=0,"",($J319-$G319-$H319)/$J319)</f>
        <v>0</v>
      </c>
      <c r="L319">
        <f ca="1">COUNTIFS(OutReach_Log!$A:$A,$A319,OutReach_Log!$G:$G,"Yes")</f>
        <v>1</v>
      </c>
      <c r="M319">
        <f>COUNTIFS(OutReach_Log!$A:$A,$A319,OutReach_Log!$E:$E,"Pending")
 +COUNTIFS(OutReach_Log!$A:$A,$A319,OutReach_Log!$E:$E,"Escalated")</f>
        <v>1</v>
      </c>
      <c r="N319">
        <f>COUNTIFS(Incident_Log!$A:$A,$A319,Incident_Log!$C:$C,"High",Incident_Log!$E:$E,"No")</f>
        <v>0</v>
      </c>
      <c r="O319" t="str">
        <f t="shared" ca="1" si="4"/>
        <v>High Attention Required</v>
      </c>
      <c r="P319">
        <f ca="1">($G319*40)+($H319*30)+($I319*10)+($N319*50)+IF($L319&gt;0,20,0)</f>
        <v>140</v>
      </c>
      <c r="Q319">
        <f ca="1">E319*(P319/100)</f>
        <v>387770.6</v>
      </c>
      <c r="R319">
        <f ca="1">_xlfn.RANK.EQ($Q319,$Q$2:$Q$401,0)</f>
        <v>86</v>
      </c>
    </row>
    <row r="320" spans="1:18">
      <c r="A320" t="str" cm="1">
        <f t="array" ref="A320">_xlfn._xlws.SORT(Vendor_Master!A320)</f>
        <v>VND-319</v>
      </c>
      <c r="B320" t="str">
        <f>_xlfn.XLOOKUP(Compliance_Sheet!A320,Vendor_Master!A320,Vendor_Master!B320,"")</f>
        <v>Vendor_319</v>
      </c>
      <c r="C320" t="str">
        <f>_xlfn.XLOOKUP(A320,Vendor_Master!A320,Vendor_Master!C320,"")</f>
        <v>Chemical Supply</v>
      </c>
      <c r="D320" t="str">
        <f>_xlfn.XLOOKUP(A320,Vendor_Master!A320,Vendor_Master!D320,"")</f>
        <v>North</v>
      </c>
      <c r="E320">
        <f>_xlfn.XLOOKUP(A320,Vendor_Master!A320,Vendor_Master!E320,0)</f>
        <v>519432</v>
      </c>
      <c r="F320" t="str">
        <f>_xlfn.XLOOKUP(A320,Vendor_Master!A320,Vendor_Master!H320,"")</f>
        <v>contact319@vendor.com</v>
      </c>
      <c r="G320">
        <f ca="1">COUNTIFS(Sustainability_Documents!$A:$A,$A320,Sustainability_Documents!$H:$H,"Missing")</f>
        <v>0</v>
      </c>
      <c r="H320">
        <f ca="1">COUNTIFS(Sustainability_Documents!$A:$A,$A320,Sustainability_Documents!$H:$H,"Expired")</f>
        <v>4</v>
      </c>
      <c r="I320">
        <f ca="1">COUNTIFS(Sustainability_Documents!$A:$A,$A320,Sustainability_Documents!$H:$H,"Expiring Soon")</f>
        <v>0</v>
      </c>
      <c r="J320">
        <f>COUNTIFS(Sustainability_Documents!$A:$A,$A320,Sustainability_Documents!$C:$C,"Yes")</f>
        <v>4</v>
      </c>
      <c r="K320">
        <f ca="1">IF($J320=0,"",($J320-$G320-$H320)/$J320)</f>
        <v>0</v>
      </c>
      <c r="L320">
        <f ca="1">COUNTIFS(OutReach_Log!$A:$A,$A320,OutReach_Log!$G:$G,"Yes")</f>
        <v>1</v>
      </c>
      <c r="M320">
        <f>COUNTIFS(OutReach_Log!$A:$A,$A320,OutReach_Log!$E:$E,"Pending")
 +COUNTIFS(OutReach_Log!$A:$A,$A320,OutReach_Log!$E:$E,"Escalated")</f>
        <v>0</v>
      </c>
      <c r="N320">
        <f>COUNTIFS(Incident_Log!$A:$A,$A320,Incident_Log!$C:$C,"High",Incident_Log!$E:$E,"No")</f>
        <v>0</v>
      </c>
      <c r="O320" t="str">
        <f t="shared" ca="1" si="4"/>
        <v>High Attention Required</v>
      </c>
      <c r="P320">
        <f ca="1">($G320*40)+($H320*30)+($I320*10)+($N320*50)+IF($L320&gt;0,20,0)</f>
        <v>140</v>
      </c>
      <c r="Q320">
        <f ca="1">E320*(P320/100)</f>
        <v>727204.79999999993</v>
      </c>
      <c r="R320">
        <f ca="1">_xlfn.RANK.EQ($Q320,$Q$2:$Q$401,0)</f>
        <v>62</v>
      </c>
    </row>
    <row r="321" spans="1:18">
      <c r="A321" t="str" cm="1">
        <f t="array" ref="A321">_xlfn._xlws.SORT(Vendor_Master!A321)</f>
        <v>VND-320</v>
      </c>
      <c r="B321" t="str">
        <f>_xlfn.XLOOKUP(Compliance_Sheet!A321,Vendor_Master!A321,Vendor_Master!B321,"")</f>
        <v>Vendor_320</v>
      </c>
      <c r="C321" t="str">
        <f>_xlfn.XLOOKUP(A321,Vendor_Master!A321,Vendor_Master!C321,"")</f>
        <v>Equipment Maintenance</v>
      </c>
      <c r="D321" t="str">
        <f>_xlfn.XLOOKUP(A321,Vendor_Master!A321,Vendor_Master!D321,"")</f>
        <v>North</v>
      </c>
      <c r="E321">
        <f>_xlfn.XLOOKUP(A321,Vendor_Master!A321,Vendor_Master!E321,0)</f>
        <v>288638</v>
      </c>
      <c r="F321" t="str">
        <f>_xlfn.XLOOKUP(A321,Vendor_Master!A321,Vendor_Master!H321,"")</f>
        <v>contact320@vendor.com</v>
      </c>
      <c r="G321">
        <f ca="1">COUNTIFS(Sustainability_Documents!$A:$A,$A321,Sustainability_Documents!$H:$H,"Missing")</f>
        <v>0</v>
      </c>
      <c r="H321">
        <f ca="1">COUNTIFS(Sustainability_Documents!$A:$A,$A321,Sustainability_Documents!$H:$H,"Expired")</f>
        <v>4</v>
      </c>
      <c r="I321">
        <f ca="1">COUNTIFS(Sustainability_Documents!$A:$A,$A321,Sustainability_Documents!$H:$H,"Expiring Soon")</f>
        <v>0</v>
      </c>
      <c r="J321">
        <f>COUNTIFS(Sustainability_Documents!$A:$A,$A321,Sustainability_Documents!$C:$C,"Yes")</f>
        <v>4</v>
      </c>
      <c r="K321">
        <f ca="1">IF($J321=0,"",($J321-$G321-$H321)/$J321)</f>
        <v>0</v>
      </c>
      <c r="L321">
        <f ca="1">COUNTIFS(OutReach_Log!$A:$A,$A321,OutReach_Log!$G:$G,"Yes")</f>
        <v>1</v>
      </c>
      <c r="M321">
        <f>COUNTIFS(OutReach_Log!$A:$A,$A321,OutReach_Log!$E:$E,"Pending")
 +COUNTIFS(OutReach_Log!$A:$A,$A321,OutReach_Log!$E:$E,"Escalated")</f>
        <v>1</v>
      </c>
      <c r="N321">
        <f>COUNTIFS(Incident_Log!$A:$A,$A321,Incident_Log!$C:$C,"High",Incident_Log!$E:$E,"No")</f>
        <v>0</v>
      </c>
      <c r="O321" t="str">
        <f t="shared" ca="1" si="4"/>
        <v>High Attention Required</v>
      </c>
      <c r="P321">
        <f ca="1">($G321*40)+($H321*30)+($I321*10)+($N321*50)+IF($L321&gt;0,20,0)</f>
        <v>140</v>
      </c>
      <c r="Q321">
        <f ca="1">E321*(P321/100)</f>
        <v>404093.19999999995</v>
      </c>
      <c r="R321">
        <f ca="1">_xlfn.RANK.EQ($Q321,$Q$2:$Q$401,0)</f>
        <v>82</v>
      </c>
    </row>
    <row r="322" spans="1:18">
      <c r="A322" t="str" cm="1">
        <f t="array" ref="A322">_xlfn._xlws.SORT(Vendor_Master!A322)</f>
        <v>VND-321</v>
      </c>
      <c r="B322" t="str">
        <f>_xlfn.XLOOKUP(Compliance_Sheet!A322,Vendor_Master!A322,Vendor_Master!B322,"")</f>
        <v>Vendor_321</v>
      </c>
      <c r="C322" t="str">
        <f>_xlfn.XLOOKUP(A322,Vendor_Master!A322,Vendor_Master!C322,"")</f>
        <v>Equipment Maintenance</v>
      </c>
      <c r="D322" t="str">
        <f>_xlfn.XLOOKUP(A322,Vendor_Master!A322,Vendor_Master!D322,"")</f>
        <v>North</v>
      </c>
      <c r="E322">
        <f>_xlfn.XLOOKUP(A322,Vendor_Master!A322,Vendor_Master!E322,0)</f>
        <v>803436</v>
      </c>
      <c r="F322" t="str">
        <f>_xlfn.XLOOKUP(A322,Vendor_Master!A322,Vendor_Master!H322,"")</f>
        <v>contact321@vendor.com</v>
      </c>
      <c r="G322">
        <f ca="1">COUNTIFS(Sustainability_Documents!$A:$A,$A322,Sustainability_Documents!$H:$H,"Missing")</f>
        <v>4</v>
      </c>
      <c r="H322">
        <f ca="1">COUNTIFS(Sustainability_Documents!$A:$A,$A322,Sustainability_Documents!$H:$H,"Expired")</f>
        <v>0</v>
      </c>
      <c r="I322">
        <f ca="1">COUNTIFS(Sustainability_Documents!$A:$A,$A322,Sustainability_Documents!$H:$H,"Expiring Soon")</f>
        <v>0</v>
      </c>
      <c r="J322">
        <f>COUNTIFS(Sustainability_Documents!$A:$A,$A322,Sustainability_Documents!$C:$C,"Yes")</f>
        <v>4</v>
      </c>
      <c r="K322">
        <f ca="1">IF($J322=0,"",($J322-$G322-$H322)/$J322)</f>
        <v>0</v>
      </c>
      <c r="L322">
        <f ca="1">COUNTIFS(OutReach_Log!$A:$A,$A322,OutReach_Log!$G:$G,"Yes")</f>
        <v>1</v>
      </c>
      <c r="M322">
        <f>COUNTIFS(OutReach_Log!$A:$A,$A322,OutReach_Log!$E:$E,"Pending")
 +COUNTIFS(OutReach_Log!$A:$A,$A322,OutReach_Log!$E:$E,"Escalated")</f>
        <v>1</v>
      </c>
      <c r="N322">
        <f>COUNTIFS(Incident_Log!$A:$A,$A322,Incident_Log!$C:$C,"High",Incident_Log!$E:$E,"No")</f>
        <v>0</v>
      </c>
      <c r="O322" t="str">
        <f t="shared" ca="1" si="4"/>
        <v>Attention Required</v>
      </c>
      <c r="P322">
        <f ca="1">($G322*40)+($H322*30)+($I322*10)+($N322*50)+IF($L322&gt;0,20,0)</f>
        <v>180</v>
      </c>
      <c r="Q322">
        <f ca="1">E322*(P322/100)</f>
        <v>1446184.8</v>
      </c>
      <c r="R322">
        <f ca="1">_xlfn.RANK.EQ($Q322,$Q$2:$Q$401,0)</f>
        <v>28</v>
      </c>
    </row>
    <row r="323" spans="1:18">
      <c r="A323" t="str" cm="1">
        <f t="array" ref="A323">_xlfn._xlws.SORT(Vendor_Master!A323)</f>
        <v>VND-322</v>
      </c>
      <c r="B323" t="str">
        <f>_xlfn.XLOOKUP(Compliance_Sheet!A323,Vendor_Master!A323,Vendor_Master!B323,"")</f>
        <v>Vendor_322</v>
      </c>
      <c r="C323" t="str">
        <f>_xlfn.XLOOKUP(A323,Vendor_Master!A323,Vendor_Master!C323,"")</f>
        <v>Equipment Maintenance</v>
      </c>
      <c r="D323" t="str">
        <f>_xlfn.XLOOKUP(A323,Vendor_Master!A323,Vendor_Master!D323,"")</f>
        <v>North</v>
      </c>
      <c r="E323">
        <f>_xlfn.XLOOKUP(A323,Vendor_Master!A323,Vendor_Master!E323,0)</f>
        <v>807591</v>
      </c>
      <c r="F323" t="str">
        <f>_xlfn.XLOOKUP(A323,Vendor_Master!A323,Vendor_Master!H323,"")</f>
        <v>contact322@vendor.com</v>
      </c>
      <c r="G323">
        <f ca="1">COUNTIFS(Sustainability_Documents!$A:$A,$A323,Sustainability_Documents!$H:$H,"Missing")</f>
        <v>4</v>
      </c>
      <c r="H323">
        <f ca="1">COUNTIFS(Sustainability_Documents!$A:$A,$A323,Sustainability_Documents!$H:$H,"Expired")</f>
        <v>0</v>
      </c>
      <c r="I323">
        <f ca="1">COUNTIFS(Sustainability_Documents!$A:$A,$A323,Sustainability_Documents!$H:$H,"Expiring Soon")</f>
        <v>0</v>
      </c>
      <c r="J323">
        <f>COUNTIFS(Sustainability_Documents!$A:$A,$A323,Sustainability_Documents!$C:$C,"Yes")</f>
        <v>4</v>
      </c>
      <c r="K323">
        <f ca="1">IF($J323=0,"",($J323-$G323-$H323)/$J323)</f>
        <v>0</v>
      </c>
      <c r="L323">
        <f ca="1">COUNTIFS(OutReach_Log!$A:$A,$A323,OutReach_Log!$G:$G,"Yes")</f>
        <v>1</v>
      </c>
      <c r="M323">
        <f>COUNTIFS(OutReach_Log!$A:$A,$A323,OutReach_Log!$E:$E,"Pending")
 +COUNTIFS(OutReach_Log!$A:$A,$A323,OutReach_Log!$E:$E,"Escalated")</f>
        <v>1</v>
      </c>
      <c r="N323">
        <f>COUNTIFS(Incident_Log!$A:$A,$A323,Incident_Log!$C:$C,"High",Incident_Log!$E:$E,"No")</f>
        <v>0</v>
      </c>
      <c r="O323" t="str">
        <f t="shared" ref="O323:O386" ca="1" si="5">IF(OR(H323&gt;0,I323&gt;0,N323&gt;0),
   "High Attention Required",
   IF(J323&gt;0,
      "Attention Required",
      "Fully Compliant"
   )
)</f>
        <v>Attention Required</v>
      </c>
      <c r="P323">
        <f ca="1">($G323*40)+($H323*30)+($I323*10)+($N323*50)+IF($L323&gt;0,20,0)</f>
        <v>180</v>
      </c>
      <c r="Q323">
        <f ca="1">E323*(P323/100)</f>
        <v>1453663.8</v>
      </c>
      <c r="R323">
        <f ca="1">_xlfn.RANK.EQ($Q323,$Q$2:$Q$401,0)</f>
        <v>27</v>
      </c>
    </row>
    <row r="324" spans="1:18">
      <c r="A324" t="str" cm="1">
        <f t="array" ref="A324">_xlfn._xlws.SORT(Vendor_Master!A324)</f>
        <v>VND-323</v>
      </c>
      <c r="B324" t="str">
        <f>_xlfn.XLOOKUP(Compliance_Sheet!A324,Vendor_Master!A324,Vendor_Master!B324,"")</f>
        <v>Vendor_323</v>
      </c>
      <c r="C324" t="str">
        <f>_xlfn.XLOOKUP(A324,Vendor_Master!A324,Vendor_Master!C324,"")</f>
        <v>Equipment Maintenance</v>
      </c>
      <c r="D324" t="str">
        <f>_xlfn.XLOOKUP(A324,Vendor_Master!A324,Vendor_Master!D324,"")</f>
        <v>North</v>
      </c>
      <c r="E324">
        <f>_xlfn.XLOOKUP(A324,Vendor_Master!A324,Vendor_Master!E324,0)</f>
        <v>409455</v>
      </c>
      <c r="F324" t="str">
        <f>_xlfn.XLOOKUP(A324,Vendor_Master!A324,Vendor_Master!H324,"")</f>
        <v>contact323@vendor.com</v>
      </c>
      <c r="G324">
        <f ca="1">COUNTIFS(Sustainability_Documents!$A:$A,$A324,Sustainability_Documents!$H:$H,"Missing")</f>
        <v>4</v>
      </c>
      <c r="H324">
        <f ca="1">COUNTIFS(Sustainability_Documents!$A:$A,$A324,Sustainability_Documents!$H:$H,"Expired")</f>
        <v>0</v>
      </c>
      <c r="I324">
        <f ca="1">COUNTIFS(Sustainability_Documents!$A:$A,$A324,Sustainability_Documents!$H:$H,"Expiring Soon")</f>
        <v>0</v>
      </c>
      <c r="J324">
        <f>COUNTIFS(Sustainability_Documents!$A:$A,$A324,Sustainability_Documents!$C:$C,"Yes")</f>
        <v>4</v>
      </c>
      <c r="K324">
        <f ca="1">IF($J324=0,"",($J324-$G324-$H324)/$J324)</f>
        <v>0</v>
      </c>
      <c r="L324">
        <f ca="1">COUNTIFS(OutReach_Log!$A:$A,$A324,OutReach_Log!$G:$G,"Yes")</f>
        <v>1</v>
      </c>
      <c r="M324">
        <f>COUNTIFS(OutReach_Log!$A:$A,$A324,OutReach_Log!$E:$E,"Pending")
 +COUNTIFS(OutReach_Log!$A:$A,$A324,OutReach_Log!$E:$E,"Escalated")</f>
        <v>1</v>
      </c>
      <c r="N324">
        <f>COUNTIFS(Incident_Log!$A:$A,$A324,Incident_Log!$C:$C,"High",Incident_Log!$E:$E,"No")</f>
        <v>0</v>
      </c>
      <c r="O324" t="str">
        <f t="shared" ca="1" si="5"/>
        <v>Attention Required</v>
      </c>
      <c r="P324">
        <f ca="1">($G324*40)+($H324*30)+($I324*10)+($N324*50)+IF($L324&gt;0,20,0)</f>
        <v>180</v>
      </c>
      <c r="Q324">
        <f ca="1">E324*(P324/100)</f>
        <v>737019</v>
      </c>
      <c r="R324">
        <f ca="1">_xlfn.RANK.EQ($Q324,$Q$2:$Q$401,0)</f>
        <v>61</v>
      </c>
    </row>
    <row r="325" spans="1:18">
      <c r="A325" t="str" cm="1">
        <f t="array" ref="A325">_xlfn._xlws.SORT(Vendor_Master!A325)</f>
        <v>VND-324</v>
      </c>
      <c r="B325" t="str">
        <f>_xlfn.XLOOKUP(Compliance_Sheet!A325,Vendor_Master!A325,Vendor_Master!B325,"")</f>
        <v>Vendor_324</v>
      </c>
      <c r="C325" t="str">
        <f>_xlfn.XLOOKUP(A325,Vendor_Master!A325,Vendor_Master!C325,"")</f>
        <v>Equipment Maintenance</v>
      </c>
      <c r="D325" t="str">
        <f>_xlfn.XLOOKUP(A325,Vendor_Master!A325,Vendor_Master!D325,"")</f>
        <v>North</v>
      </c>
      <c r="E325">
        <f>_xlfn.XLOOKUP(A325,Vendor_Master!A325,Vendor_Master!E325,0)</f>
        <v>938630</v>
      </c>
      <c r="F325" t="str">
        <f>_xlfn.XLOOKUP(A325,Vendor_Master!A325,Vendor_Master!H325,"")</f>
        <v>contact324@vendor.com</v>
      </c>
      <c r="G325">
        <f ca="1">COUNTIFS(Sustainability_Documents!$A:$A,$A325,Sustainability_Documents!$H:$H,"Missing")</f>
        <v>4</v>
      </c>
      <c r="H325">
        <f ca="1">COUNTIFS(Sustainability_Documents!$A:$A,$A325,Sustainability_Documents!$H:$H,"Expired")</f>
        <v>0</v>
      </c>
      <c r="I325">
        <f ca="1">COUNTIFS(Sustainability_Documents!$A:$A,$A325,Sustainability_Documents!$H:$H,"Expiring Soon")</f>
        <v>0</v>
      </c>
      <c r="J325">
        <f>COUNTIFS(Sustainability_Documents!$A:$A,$A325,Sustainability_Documents!$C:$C,"Yes")</f>
        <v>4</v>
      </c>
      <c r="K325">
        <f ca="1">IF($J325=0,"",($J325-$G325-$H325)/$J325)</f>
        <v>0</v>
      </c>
      <c r="L325">
        <f ca="1">COUNTIFS(OutReach_Log!$A:$A,$A325,OutReach_Log!$G:$G,"Yes")</f>
        <v>1</v>
      </c>
      <c r="M325">
        <f>COUNTIFS(OutReach_Log!$A:$A,$A325,OutReach_Log!$E:$E,"Pending")
 +COUNTIFS(OutReach_Log!$A:$A,$A325,OutReach_Log!$E:$E,"Escalated")</f>
        <v>1</v>
      </c>
      <c r="N325">
        <f>COUNTIFS(Incident_Log!$A:$A,$A325,Incident_Log!$C:$C,"High",Incident_Log!$E:$E,"No")</f>
        <v>0</v>
      </c>
      <c r="O325" t="str">
        <f t="shared" ca="1" si="5"/>
        <v>Attention Required</v>
      </c>
      <c r="P325">
        <f ca="1">($G325*40)+($H325*30)+($I325*10)+($N325*50)+IF($L325&gt;0,20,0)</f>
        <v>180</v>
      </c>
      <c r="Q325">
        <f ca="1">E325*(P325/100)</f>
        <v>1689534</v>
      </c>
      <c r="R325">
        <f ca="1">_xlfn.RANK.EQ($Q325,$Q$2:$Q$401,0)</f>
        <v>21</v>
      </c>
    </row>
    <row r="326" spans="1:18">
      <c r="A326" t="str" cm="1">
        <f t="array" ref="A326">_xlfn._xlws.SORT(Vendor_Master!A326)</f>
        <v>VND-325</v>
      </c>
      <c r="B326" t="str">
        <f>_xlfn.XLOOKUP(Compliance_Sheet!A326,Vendor_Master!A326,Vendor_Master!B326,"")</f>
        <v>Vendor_325</v>
      </c>
      <c r="C326" t="str">
        <f>_xlfn.XLOOKUP(A326,Vendor_Master!A326,Vendor_Master!C326,"")</f>
        <v>Equipment Maintenance</v>
      </c>
      <c r="D326" t="str">
        <f>_xlfn.XLOOKUP(A326,Vendor_Master!A326,Vendor_Master!D326,"")</f>
        <v>North</v>
      </c>
      <c r="E326">
        <f>_xlfn.XLOOKUP(A326,Vendor_Master!A326,Vendor_Master!E326,0)</f>
        <v>456833</v>
      </c>
      <c r="F326" t="str">
        <f>_xlfn.XLOOKUP(A326,Vendor_Master!A326,Vendor_Master!H326,"")</f>
        <v>contact325@vendor.com</v>
      </c>
      <c r="G326">
        <f ca="1">COUNTIFS(Sustainability_Documents!$A:$A,$A326,Sustainability_Documents!$H:$H,"Missing")</f>
        <v>4</v>
      </c>
      <c r="H326">
        <f ca="1">COUNTIFS(Sustainability_Documents!$A:$A,$A326,Sustainability_Documents!$H:$H,"Expired")</f>
        <v>0</v>
      </c>
      <c r="I326">
        <f ca="1">COUNTIFS(Sustainability_Documents!$A:$A,$A326,Sustainability_Documents!$H:$H,"Expiring Soon")</f>
        <v>0</v>
      </c>
      <c r="J326">
        <f>COUNTIFS(Sustainability_Documents!$A:$A,$A326,Sustainability_Documents!$C:$C,"Yes")</f>
        <v>4</v>
      </c>
      <c r="K326">
        <f ca="1">IF($J326=0,"",($J326-$G326-$H326)/$J326)</f>
        <v>0</v>
      </c>
      <c r="L326">
        <f ca="1">COUNTIFS(OutReach_Log!$A:$A,$A326,OutReach_Log!$G:$G,"Yes")</f>
        <v>1</v>
      </c>
      <c r="M326">
        <f>COUNTIFS(OutReach_Log!$A:$A,$A326,OutReach_Log!$E:$E,"Pending")
 +COUNTIFS(OutReach_Log!$A:$A,$A326,OutReach_Log!$E:$E,"Escalated")</f>
        <v>0</v>
      </c>
      <c r="N326">
        <f>COUNTIFS(Incident_Log!$A:$A,$A326,Incident_Log!$C:$C,"High",Incident_Log!$E:$E,"No")</f>
        <v>0</v>
      </c>
      <c r="O326" t="str">
        <f t="shared" ca="1" si="5"/>
        <v>Attention Required</v>
      </c>
      <c r="P326">
        <f ca="1">($G326*40)+($H326*30)+($I326*10)+($N326*50)+IF($L326&gt;0,20,0)</f>
        <v>180</v>
      </c>
      <c r="Q326">
        <f ca="1">E326*(P326/100)</f>
        <v>822299.4</v>
      </c>
      <c r="R326">
        <f ca="1">_xlfn.RANK.EQ($Q326,$Q$2:$Q$401,0)</f>
        <v>56</v>
      </c>
    </row>
    <row r="327" spans="1:18">
      <c r="A327" t="str" cm="1">
        <f t="array" ref="A327">_xlfn._xlws.SORT(Vendor_Master!A327)</f>
        <v>VND-326</v>
      </c>
      <c r="B327" t="str">
        <f>_xlfn.XLOOKUP(Compliance_Sheet!A327,Vendor_Master!A327,Vendor_Master!B327,"")</f>
        <v>Vendor_326</v>
      </c>
      <c r="C327" t="str">
        <f>_xlfn.XLOOKUP(A327,Vendor_Master!A327,Vendor_Master!C327,"")</f>
        <v>Equipment Maintenance</v>
      </c>
      <c r="D327" t="str">
        <f>_xlfn.XLOOKUP(A327,Vendor_Master!A327,Vendor_Master!D327,"")</f>
        <v>North</v>
      </c>
      <c r="E327">
        <f>_xlfn.XLOOKUP(A327,Vendor_Master!A327,Vendor_Master!E327,0)</f>
        <v>957178</v>
      </c>
      <c r="F327" t="str">
        <f>_xlfn.XLOOKUP(A327,Vendor_Master!A327,Vendor_Master!H327,"")</f>
        <v>contact326@vendor.com</v>
      </c>
      <c r="G327">
        <f ca="1">COUNTIFS(Sustainability_Documents!$A:$A,$A327,Sustainability_Documents!$H:$H,"Missing")</f>
        <v>4</v>
      </c>
      <c r="H327">
        <f ca="1">COUNTIFS(Sustainability_Documents!$A:$A,$A327,Sustainability_Documents!$H:$H,"Expired")</f>
        <v>0</v>
      </c>
      <c r="I327">
        <f ca="1">COUNTIFS(Sustainability_Documents!$A:$A,$A327,Sustainability_Documents!$H:$H,"Expiring Soon")</f>
        <v>0</v>
      </c>
      <c r="J327">
        <f>COUNTIFS(Sustainability_Documents!$A:$A,$A327,Sustainability_Documents!$C:$C,"Yes")</f>
        <v>4</v>
      </c>
      <c r="K327">
        <f ca="1">IF($J327=0,"",($J327-$G327-$H327)/$J327)</f>
        <v>0</v>
      </c>
      <c r="L327">
        <f ca="1">COUNTIFS(OutReach_Log!$A:$A,$A327,OutReach_Log!$G:$G,"Yes")</f>
        <v>1</v>
      </c>
      <c r="M327">
        <f>COUNTIFS(OutReach_Log!$A:$A,$A327,OutReach_Log!$E:$E,"Pending")
 +COUNTIFS(OutReach_Log!$A:$A,$A327,OutReach_Log!$E:$E,"Escalated")</f>
        <v>1</v>
      </c>
      <c r="N327">
        <f>COUNTIFS(Incident_Log!$A:$A,$A327,Incident_Log!$C:$C,"High",Incident_Log!$E:$E,"No")</f>
        <v>0</v>
      </c>
      <c r="O327" t="str">
        <f t="shared" ca="1" si="5"/>
        <v>Attention Required</v>
      </c>
      <c r="P327">
        <f ca="1">($G327*40)+($H327*30)+($I327*10)+($N327*50)+IF($L327&gt;0,20,0)</f>
        <v>180</v>
      </c>
      <c r="Q327">
        <f ca="1">E327*(P327/100)</f>
        <v>1722920.4000000001</v>
      </c>
      <c r="R327">
        <f ca="1">_xlfn.RANK.EQ($Q327,$Q$2:$Q$401,0)</f>
        <v>18</v>
      </c>
    </row>
    <row r="328" spans="1:18">
      <c r="A328" t="str" cm="1">
        <f t="array" ref="A328">_xlfn._xlws.SORT(Vendor_Master!A328)</f>
        <v>VND-327</v>
      </c>
      <c r="B328" t="str">
        <f>_xlfn.XLOOKUP(Compliance_Sheet!A328,Vendor_Master!A328,Vendor_Master!B328,"")</f>
        <v>Vendor_327</v>
      </c>
      <c r="C328" t="str">
        <f>_xlfn.XLOOKUP(A328,Vendor_Master!A328,Vendor_Master!C328,"")</f>
        <v>Equipment Maintenance</v>
      </c>
      <c r="D328" t="str">
        <f>_xlfn.XLOOKUP(A328,Vendor_Master!A328,Vendor_Master!D328,"")</f>
        <v>North</v>
      </c>
      <c r="E328">
        <f>_xlfn.XLOOKUP(A328,Vendor_Master!A328,Vendor_Master!E328,0)</f>
        <v>747282</v>
      </c>
      <c r="F328" t="str">
        <f>_xlfn.XLOOKUP(A328,Vendor_Master!A328,Vendor_Master!H328,"")</f>
        <v>contact327@vendor.com</v>
      </c>
      <c r="G328">
        <f ca="1">COUNTIFS(Sustainability_Documents!$A:$A,$A328,Sustainability_Documents!$H:$H,"Missing")</f>
        <v>4</v>
      </c>
      <c r="H328">
        <f ca="1">COUNTIFS(Sustainability_Documents!$A:$A,$A328,Sustainability_Documents!$H:$H,"Expired")</f>
        <v>0</v>
      </c>
      <c r="I328">
        <f ca="1">COUNTIFS(Sustainability_Documents!$A:$A,$A328,Sustainability_Documents!$H:$H,"Expiring Soon")</f>
        <v>0</v>
      </c>
      <c r="J328">
        <f>COUNTIFS(Sustainability_Documents!$A:$A,$A328,Sustainability_Documents!$C:$C,"Yes")</f>
        <v>4</v>
      </c>
      <c r="K328">
        <f ca="1">IF($J328=0,"",($J328-$G328-$H328)/$J328)</f>
        <v>0</v>
      </c>
      <c r="L328">
        <f ca="1">COUNTIFS(OutReach_Log!$A:$A,$A328,OutReach_Log!$G:$G,"Yes")</f>
        <v>1</v>
      </c>
      <c r="M328">
        <f>COUNTIFS(OutReach_Log!$A:$A,$A328,OutReach_Log!$E:$E,"Pending")
 +COUNTIFS(OutReach_Log!$A:$A,$A328,OutReach_Log!$E:$E,"Escalated")</f>
        <v>1</v>
      </c>
      <c r="N328">
        <f>COUNTIFS(Incident_Log!$A:$A,$A328,Incident_Log!$C:$C,"High",Incident_Log!$E:$E,"No")</f>
        <v>0</v>
      </c>
      <c r="O328" t="str">
        <f t="shared" ca="1" si="5"/>
        <v>Attention Required</v>
      </c>
      <c r="P328">
        <f ca="1">($G328*40)+($H328*30)+($I328*10)+($N328*50)+IF($L328&gt;0,20,0)</f>
        <v>180</v>
      </c>
      <c r="Q328">
        <f ca="1">E328*(P328/100)</f>
        <v>1345107.6</v>
      </c>
      <c r="R328">
        <f ca="1">_xlfn.RANK.EQ($Q328,$Q$2:$Q$401,0)</f>
        <v>32</v>
      </c>
    </row>
    <row r="329" spans="1:18">
      <c r="A329" t="str" cm="1">
        <f t="array" ref="A329">_xlfn._xlws.SORT(Vendor_Master!A329)</f>
        <v>VND-328</v>
      </c>
      <c r="B329" t="str">
        <f>_xlfn.XLOOKUP(Compliance_Sheet!A329,Vendor_Master!A329,Vendor_Master!B329,"")</f>
        <v>Vendor_328</v>
      </c>
      <c r="C329" t="str">
        <f>_xlfn.XLOOKUP(A329,Vendor_Master!A329,Vendor_Master!C329,"")</f>
        <v>Equipment Maintenance</v>
      </c>
      <c r="D329" t="str">
        <f>_xlfn.XLOOKUP(A329,Vendor_Master!A329,Vendor_Master!D329,"")</f>
        <v>North</v>
      </c>
      <c r="E329">
        <f>_xlfn.XLOOKUP(A329,Vendor_Master!A329,Vendor_Master!E329,0)</f>
        <v>90128</v>
      </c>
      <c r="F329" t="str">
        <f>_xlfn.XLOOKUP(A329,Vendor_Master!A329,Vendor_Master!H329,"")</f>
        <v>contact328@vendor.com</v>
      </c>
      <c r="G329">
        <f ca="1">COUNTIFS(Sustainability_Documents!$A:$A,$A329,Sustainability_Documents!$H:$H,"Missing")</f>
        <v>4</v>
      </c>
      <c r="H329">
        <f ca="1">COUNTIFS(Sustainability_Documents!$A:$A,$A329,Sustainability_Documents!$H:$H,"Expired")</f>
        <v>0</v>
      </c>
      <c r="I329">
        <f ca="1">COUNTIFS(Sustainability_Documents!$A:$A,$A329,Sustainability_Documents!$H:$H,"Expiring Soon")</f>
        <v>0</v>
      </c>
      <c r="J329">
        <f>COUNTIFS(Sustainability_Documents!$A:$A,$A329,Sustainability_Documents!$C:$C,"Yes")</f>
        <v>4</v>
      </c>
      <c r="K329">
        <f ca="1">IF($J329=0,"",($J329-$G329-$H329)/$J329)</f>
        <v>0</v>
      </c>
      <c r="L329">
        <f ca="1">COUNTIFS(OutReach_Log!$A:$A,$A329,OutReach_Log!$G:$G,"Yes")</f>
        <v>1</v>
      </c>
      <c r="M329">
        <f>COUNTIFS(OutReach_Log!$A:$A,$A329,OutReach_Log!$E:$E,"Pending")
 +COUNTIFS(OutReach_Log!$A:$A,$A329,OutReach_Log!$E:$E,"Escalated")</f>
        <v>0</v>
      </c>
      <c r="N329">
        <f>COUNTIFS(Incident_Log!$A:$A,$A329,Incident_Log!$C:$C,"High",Incident_Log!$E:$E,"No")</f>
        <v>0</v>
      </c>
      <c r="O329" t="str">
        <f t="shared" ca="1" si="5"/>
        <v>Attention Required</v>
      </c>
      <c r="P329">
        <f ca="1">($G329*40)+($H329*30)+($I329*10)+($N329*50)+IF($L329&gt;0,20,0)</f>
        <v>180</v>
      </c>
      <c r="Q329">
        <f ca="1">E329*(P329/100)</f>
        <v>162230.39999999999</v>
      </c>
      <c r="R329">
        <f ca="1">_xlfn.RANK.EQ($Q329,$Q$2:$Q$401,0)</f>
        <v>135</v>
      </c>
    </row>
    <row r="330" spans="1:18">
      <c r="A330" t="str" cm="1">
        <f t="array" ref="A330">_xlfn._xlws.SORT(Vendor_Master!A330)</f>
        <v>VND-329</v>
      </c>
      <c r="B330" t="str">
        <f>_xlfn.XLOOKUP(Compliance_Sheet!A330,Vendor_Master!A330,Vendor_Master!B330,"")</f>
        <v>Vendor_329</v>
      </c>
      <c r="C330" t="str">
        <f>_xlfn.XLOOKUP(A330,Vendor_Master!A330,Vendor_Master!C330,"")</f>
        <v>Equipment Maintenance</v>
      </c>
      <c r="D330" t="str">
        <f>_xlfn.XLOOKUP(A330,Vendor_Master!A330,Vendor_Master!D330,"")</f>
        <v>North</v>
      </c>
      <c r="E330">
        <f>_xlfn.XLOOKUP(A330,Vendor_Master!A330,Vendor_Master!E330,0)</f>
        <v>185475</v>
      </c>
      <c r="F330" t="str">
        <f>_xlfn.XLOOKUP(A330,Vendor_Master!A330,Vendor_Master!H330,"")</f>
        <v>contact329@vendor.com</v>
      </c>
      <c r="G330">
        <f ca="1">COUNTIFS(Sustainability_Documents!$A:$A,$A330,Sustainability_Documents!$H:$H,"Missing")</f>
        <v>4</v>
      </c>
      <c r="H330">
        <f ca="1">COUNTIFS(Sustainability_Documents!$A:$A,$A330,Sustainability_Documents!$H:$H,"Expired")</f>
        <v>0</v>
      </c>
      <c r="I330">
        <f ca="1">COUNTIFS(Sustainability_Documents!$A:$A,$A330,Sustainability_Documents!$H:$H,"Expiring Soon")</f>
        <v>0</v>
      </c>
      <c r="J330">
        <f>COUNTIFS(Sustainability_Documents!$A:$A,$A330,Sustainability_Documents!$C:$C,"Yes")</f>
        <v>4</v>
      </c>
      <c r="K330">
        <f ca="1">IF($J330=0,"",($J330-$G330-$H330)/$J330)</f>
        <v>0</v>
      </c>
      <c r="L330">
        <f ca="1">COUNTIFS(OutReach_Log!$A:$A,$A330,OutReach_Log!$G:$G,"Yes")</f>
        <v>1</v>
      </c>
      <c r="M330">
        <f>COUNTIFS(OutReach_Log!$A:$A,$A330,OutReach_Log!$E:$E,"Pending")
 +COUNTIFS(OutReach_Log!$A:$A,$A330,OutReach_Log!$E:$E,"Escalated")</f>
        <v>1</v>
      </c>
      <c r="N330">
        <f>COUNTIFS(Incident_Log!$A:$A,$A330,Incident_Log!$C:$C,"High",Incident_Log!$E:$E,"No")</f>
        <v>0</v>
      </c>
      <c r="O330" t="str">
        <f t="shared" ca="1" si="5"/>
        <v>Attention Required</v>
      </c>
      <c r="P330">
        <f ca="1">($G330*40)+($H330*30)+($I330*10)+($N330*50)+IF($L330&gt;0,20,0)</f>
        <v>180</v>
      </c>
      <c r="Q330">
        <f ca="1">E330*(P330/100)</f>
        <v>333855</v>
      </c>
      <c r="R330">
        <f ca="1">_xlfn.RANK.EQ($Q330,$Q$2:$Q$401,0)</f>
        <v>101</v>
      </c>
    </row>
    <row r="331" spans="1:18">
      <c r="A331" t="str" cm="1">
        <f t="array" ref="A331">_xlfn._xlws.SORT(Vendor_Master!A331)</f>
        <v>VND-330</v>
      </c>
      <c r="B331" t="str">
        <f>_xlfn.XLOOKUP(Compliance_Sheet!A331,Vendor_Master!A331,Vendor_Master!B331,"")</f>
        <v>Vendor_330</v>
      </c>
      <c r="C331" t="str">
        <f>_xlfn.XLOOKUP(A331,Vendor_Master!A331,Vendor_Master!C331,"")</f>
        <v>Equipment Maintenance</v>
      </c>
      <c r="D331" t="str">
        <f>_xlfn.XLOOKUP(A331,Vendor_Master!A331,Vendor_Master!D331,"")</f>
        <v>North</v>
      </c>
      <c r="E331">
        <f>_xlfn.XLOOKUP(A331,Vendor_Master!A331,Vendor_Master!E331,0)</f>
        <v>239251</v>
      </c>
      <c r="F331" t="str">
        <f>_xlfn.XLOOKUP(A331,Vendor_Master!A331,Vendor_Master!H331,"")</f>
        <v>contact330@vendor.com</v>
      </c>
      <c r="G331">
        <f ca="1">COUNTIFS(Sustainability_Documents!$A:$A,$A331,Sustainability_Documents!$H:$H,"Missing")</f>
        <v>4</v>
      </c>
      <c r="H331">
        <f ca="1">COUNTIFS(Sustainability_Documents!$A:$A,$A331,Sustainability_Documents!$H:$H,"Expired")</f>
        <v>0</v>
      </c>
      <c r="I331">
        <f ca="1">COUNTIFS(Sustainability_Documents!$A:$A,$A331,Sustainability_Documents!$H:$H,"Expiring Soon")</f>
        <v>0</v>
      </c>
      <c r="J331">
        <f>COUNTIFS(Sustainability_Documents!$A:$A,$A331,Sustainability_Documents!$C:$C,"Yes")</f>
        <v>4</v>
      </c>
      <c r="K331">
        <f ca="1">IF($J331=0,"",($J331-$G331-$H331)/$J331)</f>
        <v>0</v>
      </c>
      <c r="L331">
        <f ca="1">COUNTIFS(OutReach_Log!$A:$A,$A331,OutReach_Log!$G:$G,"Yes")</f>
        <v>1</v>
      </c>
      <c r="M331">
        <f>COUNTIFS(OutReach_Log!$A:$A,$A331,OutReach_Log!$E:$E,"Pending")
 +COUNTIFS(OutReach_Log!$A:$A,$A331,OutReach_Log!$E:$E,"Escalated")</f>
        <v>1</v>
      </c>
      <c r="N331">
        <f>COUNTIFS(Incident_Log!$A:$A,$A331,Incident_Log!$C:$C,"High",Incident_Log!$E:$E,"No")</f>
        <v>0</v>
      </c>
      <c r="O331" t="str">
        <f t="shared" ca="1" si="5"/>
        <v>Attention Required</v>
      </c>
      <c r="P331">
        <f ca="1">($G331*40)+($H331*30)+($I331*10)+($N331*50)+IF($L331&gt;0,20,0)</f>
        <v>180</v>
      </c>
      <c r="Q331">
        <f ca="1">E331*(P331/100)</f>
        <v>430651.8</v>
      </c>
      <c r="R331">
        <f ca="1">_xlfn.RANK.EQ($Q331,$Q$2:$Q$401,0)</f>
        <v>76</v>
      </c>
    </row>
    <row r="332" spans="1:18">
      <c r="A332" t="str" cm="1">
        <f t="array" ref="A332">_xlfn._xlws.SORT(Vendor_Master!A332)</f>
        <v>VND-331</v>
      </c>
      <c r="B332" t="str">
        <f>_xlfn.XLOOKUP(Compliance_Sheet!A332,Vendor_Master!A332,Vendor_Master!B332,"")</f>
        <v>Vendor_331</v>
      </c>
      <c r="C332" t="str">
        <f>_xlfn.XLOOKUP(A332,Vendor_Master!A332,Vendor_Master!C332,"")</f>
        <v>Equipment Maintenance</v>
      </c>
      <c r="D332" t="str">
        <f>_xlfn.XLOOKUP(A332,Vendor_Master!A332,Vendor_Master!D332,"")</f>
        <v>North</v>
      </c>
      <c r="E332">
        <f>_xlfn.XLOOKUP(A332,Vendor_Master!A332,Vendor_Master!E332,0)</f>
        <v>116908</v>
      </c>
      <c r="F332" t="str">
        <f>_xlfn.XLOOKUP(A332,Vendor_Master!A332,Vendor_Master!H332,"")</f>
        <v>contact331@vendor.com</v>
      </c>
      <c r="G332">
        <f ca="1">COUNTIFS(Sustainability_Documents!$A:$A,$A332,Sustainability_Documents!$H:$H,"Missing")</f>
        <v>4</v>
      </c>
      <c r="H332">
        <f ca="1">COUNTIFS(Sustainability_Documents!$A:$A,$A332,Sustainability_Documents!$H:$H,"Expired")</f>
        <v>0</v>
      </c>
      <c r="I332">
        <f ca="1">COUNTIFS(Sustainability_Documents!$A:$A,$A332,Sustainability_Documents!$H:$H,"Expiring Soon")</f>
        <v>0</v>
      </c>
      <c r="J332">
        <f>COUNTIFS(Sustainability_Documents!$A:$A,$A332,Sustainability_Documents!$C:$C,"Yes")</f>
        <v>4</v>
      </c>
      <c r="K332">
        <f ca="1">IF($J332=0,"",($J332-$G332-$H332)/$J332)</f>
        <v>0</v>
      </c>
      <c r="L332">
        <f ca="1">COUNTIFS(OutReach_Log!$A:$A,$A332,OutReach_Log!$G:$G,"Yes")</f>
        <v>1</v>
      </c>
      <c r="M332">
        <f>COUNTIFS(OutReach_Log!$A:$A,$A332,OutReach_Log!$E:$E,"Pending")
 +COUNTIFS(OutReach_Log!$A:$A,$A332,OutReach_Log!$E:$E,"Escalated")</f>
        <v>1</v>
      </c>
      <c r="N332">
        <f>COUNTIFS(Incident_Log!$A:$A,$A332,Incident_Log!$C:$C,"High",Incident_Log!$E:$E,"No")</f>
        <v>0</v>
      </c>
      <c r="O332" t="str">
        <f t="shared" ca="1" si="5"/>
        <v>Attention Required</v>
      </c>
      <c r="P332">
        <f ca="1">($G332*40)+($H332*30)+($I332*10)+($N332*50)+IF($L332&gt;0,20,0)</f>
        <v>180</v>
      </c>
      <c r="Q332">
        <f ca="1">E332*(P332/100)</f>
        <v>210434.4</v>
      </c>
      <c r="R332">
        <f ca="1">_xlfn.RANK.EQ($Q332,$Q$2:$Q$401,0)</f>
        <v>117</v>
      </c>
    </row>
    <row r="333" spans="1:18">
      <c r="A333" t="str" cm="1">
        <f t="array" ref="A333">_xlfn._xlws.SORT(Vendor_Master!A333)</f>
        <v>VND-332</v>
      </c>
      <c r="B333" t="str">
        <f>_xlfn.XLOOKUP(Compliance_Sheet!A333,Vendor_Master!A333,Vendor_Master!B333,"")</f>
        <v>Vendor_332</v>
      </c>
      <c r="C333" t="str">
        <f>_xlfn.XLOOKUP(A333,Vendor_Master!A333,Vendor_Master!C333,"")</f>
        <v>Equipment Maintenance</v>
      </c>
      <c r="D333" t="str">
        <f>_xlfn.XLOOKUP(A333,Vendor_Master!A333,Vendor_Master!D333,"")</f>
        <v>North</v>
      </c>
      <c r="E333">
        <f>_xlfn.XLOOKUP(A333,Vendor_Master!A333,Vendor_Master!E333,0)</f>
        <v>215089</v>
      </c>
      <c r="F333" t="str">
        <f>_xlfn.XLOOKUP(A333,Vendor_Master!A333,Vendor_Master!H333,"")</f>
        <v>contact332@vendor.com</v>
      </c>
      <c r="G333">
        <f ca="1">COUNTIFS(Sustainability_Documents!$A:$A,$A333,Sustainability_Documents!$H:$H,"Missing")</f>
        <v>4</v>
      </c>
      <c r="H333">
        <f ca="1">COUNTIFS(Sustainability_Documents!$A:$A,$A333,Sustainability_Documents!$H:$H,"Expired")</f>
        <v>0</v>
      </c>
      <c r="I333">
        <f ca="1">COUNTIFS(Sustainability_Documents!$A:$A,$A333,Sustainability_Documents!$H:$H,"Expiring Soon")</f>
        <v>0</v>
      </c>
      <c r="J333">
        <f>COUNTIFS(Sustainability_Documents!$A:$A,$A333,Sustainability_Documents!$C:$C,"Yes")</f>
        <v>4</v>
      </c>
      <c r="K333">
        <f ca="1">IF($J333=0,"",($J333-$G333-$H333)/$J333)</f>
        <v>0</v>
      </c>
      <c r="L333">
        <f ca="1">COUNTIFS(OutReach_Log!$A:$A,$A333,OutReach_Log!$G:$G,"Yes")</f>
        <v>1</v>
      </c>
      <c r="M333">
        <f>COUNTIFS(OutReach_Log!$A:$A,$A333,OutReach_Log!$E:$E,"Pending")
 +COUNTIFS(OutReach_Log!$A:$A,$A333,OutReach_Log!$E:$E,"Escalated")</f>
        <v>1</v>
      </c>
      <c r="N333">
        <f>COUNTIFS(Incident_Log!$A:$A,$A333,Incident_Log!$C:$C,"High",Incident_Log!$E:$E,"No")</f>
        <v>0</v>
      </c>
      <c r="O333" t="str">
        <f t="shared" ca="1" si="5"/>
        <v>Attention Required</v>
      </c>
      <c r="P333">
        <f ca="1">($G333*40)+($H333*30)+($I333*10)+($N333*50)+IF($L333&gt;0,20,0)</f>
        <v>180</v>
      </c>
      <c r="Q333">
        <f ca="1">E333*(P333/100)</f>
        <v>387160.2</v>
      </c>
      <c r="R333">
        <f ca="1">_xlfn.RANK.EQ($Q333,$Q$2:$Q$401,0)</f>
        <v>87</v>
      </c>
    </row>
    <row r="334" spans="1:18">
      <c r="A334" t="str" cm="1">
        <f t="array" ref="A334">_xlfn._xlws.SORT(Vendor_Master!A334)</f>
        <v>VND-333</v>
      </c>
      <c r="B334" t="str">
        <f>_xlfn.XLOOKUP(Compliance_Sheet!A334,Vendor_Master!A334,Vendor_Master!B334,"")</f>
        <v>Vendor_333</v>
      </c>
      <c r="C334" t="str">
        <f>_xlfn.XLOOKUP(A334,Vendor_Master!A334,Vendor_Master!C334,"")</f>
        <v>Equipment Maintenance</v>
      </c>
      <c r="D334" t="str">
        <f>_xlfn.XLOOKUP(A334,Vendor_Master!A334,Vendor_Master!D334,"")</f>
        <v>North</v>
      </c>
      <c r="E334">
        <f>_xlfn.XLOOKUP(A334,Vendor_Master!A334,Vendor_Master!E334,0)</f>
        <v>115072</v>
      </c>
      <c r="F334" t="str">
        <f>_xlfn.XLOOKUP(A334,Vendor_Master!A334,Vendor_Master!H334,"")</f>
        <v>contact333@vendor.com</v>
      </c>
      <c r="G334">
        <f ca="1">COUNTIFS(Sustainability_Documents!$A:$A,$A334,Sustainability_Documents!$H:$H,"Missing")</f>
        <v>4</v>
      </c>
      <c r="H334">
        <f ca="1">COUNTIFS(Sustainability_Documents!$A:$A,$A334,Sustainability_Documents!$H:$H,"Expired")</f>
        <v>0</v>
      </c>
      <c r="I334">
        <f ca="1">COUNTIFS(Sustainability_Documents!$A:$A,$A334,Sustainability_Documents!$H:$H,"Expiring Soon")</f>
        <v>0</v>
      </c>
      <c r="J334">
        <f>COUNTIFS(Sustainability_Documents!$A:$A,$A334,Sustainability_Documents!$C:$C,"Yes")</f>
        <v>4</v>
      </c>
      <c r="K334">
        <f ca="1">IF($J334=0,"",($J334-$G334-$H334)/$J334)</f>
        <v>0</v>
      </c>
      <c r="L334">
        <f ca="1">COUNTIFS(OutReach_Log!$A:$A,$A334,OutReach_Log!$G:$G,"Yes")</f>
        <v>1</v>
      </c>
      <c r="M334">
        <f>COUNTIFS(OutReach_Log!$A:$A,$A334,OutReach_Log!$E:$E,"Pending")
 +COUNTIFS(OutReach_Log!$A:$A,$A334,OutReach_Log!$E:$E,"Escalated")</f>
        <v>1</v>
      </c>
      <c r="N334">
        <f>COUNTIFS(Incident_Log!$A:$A,$A334,Incident_Log!$C:$C,"High",Incident_Log!$E:$E,"No")</f>
        <v>0</v>
      </c>
      <c r="O334" t="str">
        <f t="shared" ca="1" si="5"/>
        <v>Attention Required</v>
      </c>
      <c r="P334">
        <f ca="1">($G334*40)+($H334*30)+($I334*10)+($N334*50)+IF($L334&gt;0,20,0)</f>
        <v>180</v>
      </c>
      <c r="Q334">
        <f ca="1">E334*(P334/100)</f>
        <v>207129.60000000001</v>
      </c>
      <c r="R334">
        <f ca="1">_xlfn.RANK.EQ($Q334,$Q$2:$Q$401,0)</f>
        <v>119</v>
      </c>
    </row>
    <row r="335" spans="1:18">
      <c r="A335" t="str" cm="1">
        <f t="array" ref="A335">_xlfn._xlws.SORT(Vendor_Master!A335)</f>
        <v>VND-334</v>
      </c>
      <c r="B335" t="str">
        <f>_xlfn.XLOOKUP(Compliance_Sheet!A335,Vendor_Master!A335,Vendor_Master!B335,"")</f>
        <v>Vendor_334</v>
      </c>
      <c r="C335" t="str">
        <f>_xlfn.XLOOKUP(A335,Vendor_Master!A335,Vendor_Master!C335,"")</f>
        <v>Equipment Maintenance</v>
      </c>
      <c r="D335" t="str">
        <f>_xlfn.XLOOKUP(A335,Vendor_Master!A335,Vendor_Master!D335,"")</f>
        <v>North</v>
      </c>
      <c r="E335">
        <f>_xlfn.XLOOKUP(A335,Vendor_Master!A335,Vendor_Master!E335,0)</f>
        <v>99122</v>
      </c>
      <c r="F335" t="str">
        <f>_xlfn.XLOOKUP(A335,Vendor_Master!A335,Vendor_Master!H335,"")</f>
        <v>contact334@vendor.com</v>
      </c>
      <c r="G335">
        <f ca="1">COUNTIFS(Sustainability_Documents!$A:$A,$A335,Sustainability_Documents!$H:$H,"Missing")</f>
        <v>4</v>
      </c>
      <c r="H335">
        <f ca="1">COUNTIFS(Sustainability_Documents!$A:$A,$A335,Sustainability_Documents!$H:$H,"Expired")</f>
        <v>0</v>
      </c>
      <c r="I335">
        <f ca="1">COUNTIFS(Sustainability_Documents!$A:$A,$A335,Sustainability_Documents!$H:$H,"Expiring Soon")</f>
        <v>0</v>
      </c>
      <c r="J335">
        <f>COUNTIFS(Sustainability_Documents!$A:$A,$A335,Sustainability_Documents!$C:$C,"Yes")</f>
        <v>4</v>
      </c>
      <c r="K335">
        <f ca="1">IF($J335=0,"",($J335-$G335-$H335)/$J335)</f>
        <v>0</v>
      </c>
      <c r="L335">
        <f ca="1">COUNTIFS(OutReach_Log!$A:$A,$A335,OutReach_Log!$G:$G,"Yes")</f>
        <v>1</v>
      </c>
      <c r="M335">
        <f>COUNTIFS(OutReach_Log!$A:$A,$A335,OutReach_Log!$E:$E,"Pending")
 +COUNTIFS(OutReach_Log!$A:$A,$A335,OutReach_Log!$E:$E,"Escalated")</f>
        <v>0</v>
      </c>
      <c r="N335">
        <f>COUNTIFS(Incident_Log!$A:$A,$A335,Incident_Log!$C:$C,"High",Incident_Log!$E:$E,"No")</f>
        <v>0</v>
      </c>
      <c r="O335" t="str">
        <f t="shared" ca="1" si="5"/>
        <v>Attention Required</v>
      </c>
      <c r="P335">
        <f ca="1">($G335*40)+($H335*30)+($I335*10)+($N335*50)+IF($L335&gt;0,20,0)</f>
        <v>180</v>
      </c>
      <c r="Q335">
        <f ca="1">E335*(P335/100)</f>
        <v>178419.6</v>
      </c>
      <c r="R335">
        <f ca="1">_xlfn.RANK.EQ($Q335,$Q$2:$Q$401,0)</f>
        <v>129</v>
      </c>
    </row>
    <row r="336" spans="1:18">
      <c r="A336" t="str" cm="1">
        <f t="array" ref="A336">_xlfn._xlws.SORT(Vendor_Master!A336)</f>
        <v>VND-335</v>
      </c>
      <c r="B336" t="str">
        <f>_xlfn.XLOOKUP(Compliance_Sheet!A336,Vendor_Master!A336,Vendor_Master!B336,"")</f>
        <v>Vendor_335</v>
      </c>
      <c r="C336" t="str">
        <f>_xlfn.XLOOKUP(A336,Vendor_Master!A336,Vendor_Master!C336,"")</f>
        <v>Equipment Maintenance</v>
      </c>
      <c r="D336" t="str">
        <f>_xlfn.XLOOKUP(A336,Vendor_Master!A336,Vendor_Master!D336,"")</f>
        <v>North</v>
      </c>
      <c r="E336">
        <f>_xlfn.XLOOKUP(A336,Vendor_Master!A336,Vendor_Master!E336,0)</f>
        <v>71066</v>
      </c>
      <c r="F336" t="str">
        <f>_xlfn.XLOOKUP(A336,Vendor_Master!A336,Vendor_Master!H336,"")</f>
        <v>contact335@vendor.com</v>
      </c>
      <c r="G336">
        <f ca="1">COUNTIFS(Sustainability_Documents!$A:$A,$A336,Sustainability_Documents!$H:$H,"Missing")</f>
        <v>4</v>
      </c>
      <c r="H336">
        <f ca="1">COUNTIFS(Sustainability_Documents!$A:$A,$A336,Sustainability_Documents!$H:$H,"Expired")</f>
        <v>0</v>
      </c>
      <c r="I336">
        <f ca="1">COUNTIFS(Sustainability_Documents!$A:$A,$A336,Sustainability_Documents!$H:$H,"Expiring Soon")</f>
        <v>0</v>
      </c>
      <c r="J336">
        <f>COUNTIFS(Sustainability_Documents!$A:$A,$A336,Sustainability_Documents!$C:$C,"Yes")</f>
        <v>4</v>
      </c>
      <c r="K336">
        <f ca="1">IF($J336=0,"",($J336-$G336-$H336)/$J336)</f>
        <v>0</v>
      </c>
      <c r="L336">
        <f ca="1">COUNTIFS(OutReach_Log!$A:$A,$A336,OutReach_Log!$G:$G,"Yes")</f>
        <v>1</v>
      </c>
      <c r="M336">
        <f>COUNTIFS(OutReach_Log!$A:$A,$A336,OutReach_Log!$E:$E,"Pending")
 +COUNTIFS(OutReach_Log!$A:$A,$A336,OutReach_Log!$E:$E,"Escalated")</f>
        <v>1</v>
      </c>
      <c r="N336">
        <f>COUNTIFS(Incident_Log!$A:$A,$A336,Incident_Log!$C:$C,"High",Incident_Log!$E:$E,"No")</f>
        <v>0</v>
      </c>
      <c r="O336" t="str">
        <f t="shared" ca="1" si="5"/>
        <v>Attention Required</v>
      </c>
      <c r="P336">
        <f ca="1">($G336*40)+($H336*30)+($I336*10)+($N336*50)+IF($L336&gt;0,20,0)</f>
        <v>180</v>
      </c>
      <c r="Q336">
        <f ca="1">E336*(P336/100)</f>
        <v>127918.8</v>
      </c>
      <c r="R336">
        <f ca="1">_xlfn.RANK.EQ($Q336,$Q$2:$Q$401,0)</f>
        <v>142</v>
      </c>
    </row>
    <row r="337" spans="1:18">
      <c r="A337" t="str" cm="1">
        <f t="array" ref="A337">_xlfn._xlws.SORT(Vendor_Master!A337)</f>
        <v>VND-336</v>
      </c>
      <c r="B337" t="str">
        <f>_xlfn.XLOOKUP(Compliance_Sheet!A337,Vendor_Master!A337,Vendor_Master!B337,"")</f>
        <v>Vendor_336</v>
      </c>
      <c r="C337" t="str">
        <f>_xlfn.XLOOKUP(A337,Vendor_Master!A337,Vendor_Master!C337,"")</f>
        <v>Equipment Maintenance</v>
      </c>
      <c r="D337" t="str">
        <f>_xlfn.XLOOKUP(A337,Vendor_Master!A337,Vendor_Master!D337,"")</f>
        <v>North</v>
      </c>
      <c r="E337">
        <f>_xlfn.XLOOKUP(A337,Vendor_Master!A337,Vendor_Master!E337,0)</f>
        <v>108952</v>
      </c>
      <c r="F337" t="str">
        <f>_xlfn.XLOOKUP(A337,Vendor_Master!A337,Vendor_Master!H337,"")</f>
        <v>contact336@vendor.com</v>
      </c>
      <c r="G337">
        <f ca="1">COUNTIFS(Sustainability_Documents!$A:$A,$A337,Sustainability_Documents!$H:$H,"Missing")</f>
        <v>4</v>
      </c>
      <c r="H337">
        <f ca="1">COUNTIFS(Sustainability_Documents!$A:$A,$A337,Sustainability_Documents!$H:$H,"Expired")</f>
        <v>0</v>
      </c>
      <c r="I337">
        <f ca="1">COUNTIFS(Sustainability_Documents!$A:$A,$A337,Sustainability_Documents!$H:$H,"Expiring Soon")</f>
        <v>0</v>
      </c>
      <c r="J337">
        <f>COUNTIFS(Sustainability_Documents!$A:$A,$A337,Sustainability_Documents!$C:$C,"Yes")</f>
        <v>4</v>
      </c>
      <c r="K337">
        <f ca="1">IF($J337=0,"",($J337-$G337-$H337)/$J337)</f>
        <v>0</v>
      </c>
      <c r="L337">
        <f ca="1">COUNTIFS(OutReach_Log!$A:$A,$A337,OutReach_Log!$G:$G,"Yes")</f>
        <v>1</v>
      </c>
      <c r="M337">
        <f>COUNTIFS(OutReach_Log!$A:$A,$A337,OutReach_Log!$E:$E,"Pending")
 +COUNTIFS(OutReach_Log!$A:$A,$A337,OutReach_Log!$E:$E,"Escalated")</f>
        <v>1</v>
      </c>
      <c r="N337">
        <f>COUNTIFS(Incident_Log!$A:$A,$A337,Incident_Log!$C:$C,"High",Incident_Log!$E:$E,"No")</f>
        <v>0</v>
      </c>
      <c r="O337" t="str">
        <f t="shared" ca="1" si="5"/>
        <v>Attention Required</v>
      </c>
      <c r="P337">
        <f ca="1">($G337*40)+($H337*30)+($I337*10)+($N337*50)+IF($L337&gt;0,20,0)</f>
        <v>180</v>
      </c>
      <c r="Q337">
        <f ca="1">E337*(P337/100)</f>
        <v>196113.6</v>
      </c>
      <c r="R337">
        <f ca="1">_xlfn.RANK.EQ($Q337,$Q$2:$Q$401,0)</f>
        <v>121</v>
      </c>
    </row>
    <row r="338" spans="1:18">
      <c r="A338" t="str" cm="1">
        <f t="array" ref="A338">_xlfn._xlws.SORT(Vendor_Master!A338)</f>
        <v>VND-337</v>
      </c>
      <c r="B338" t="str">
        <f>_xlfn.XLOOKUP(Compliance_Sheet!A338,Vendor_Master!A338,Vendor_Master!B338,"")</f>
        <v>Vendor_337</v>
      </c>
      <c r="C338" t="str">
        <f>_xlfn.XLOOKUP(A338,Vendor_Master!A338,Vendor_Master!C338,"")</f>
        <v>Equipment Maintenance</v>
      </c>
      <c r="D338" t="str">
        <f>_xlfn.XLOOKUP(A338,Vendor_Master!A338,Vendor_Master!D338,"")</f>
        <v>North</v>
      </c>
      <c r="E338">
        <f>_xlfn.XLOOKUP(A338,Vendor_Master!A338,Vendor_Master!E338,0)</f>
        <v>56032</v>
      </c>
      <c r="F338" t="str">
        <f>_xlfn.XLOOKUP(A338,Vendor_Master!A338,Vendor_Master!H338,"")</f>
        <v>contact337@vendor.com</v>
      </c>
      <c r="G338">
        <f ca="1">COUNTIFS(Sustainability_Documents!$A:$A,$A338,Sustainability_Documents!$H:$H,"Missing")</f>
        <v>4</v>
      </c>
      <c r="H338">
        <f ca="1">COUNTIFS(Sustainability_Documents!$A:$A,$A338,Sustainability_Documents!$H:$H,"Expired")</f>
        <v>0</v>
      </c>
      <c r="I338">
        <f ca="1">COUNTIFS(Sustainability_Documents!$A:$A,$A338,Sustainability_Documents!$H:$H,"Expiring Soon")</f>
        <v>0</v>
      </c>
      <c r="J338">
        <f>COUNTIFS(Sustainability_Documents!$A:$A,$A338,Sustainability_Documents!$C:$C,"Yes")</f>
        <v>4</v>
      </c>
      <c r="K338">
        <f ca="1">IF($J338=0,"",($J338-$G338-$H338)/$J338)</f>
        <v>0</v>
      </c>
      <c r="L338">
        <f ca="1">COUNTIFS(OutReach_Log!$A:$A,$A338,OutReach_Log!$G:$G,"Yes")</f>
        <v>1</v>
      </c>
      <c r="M338">
        <f>COUNTIFS(OutReach_Log!$A:$A,$A338,OutReach_Log!$E:$E,"Pending")
 +COUNTIFS(OutReach_Log!$A:$A,$A338,OutReach_Log!$E:$E,"Escalated")</f>
        <v>1</v>
      </c>
      <c r="N338">
        <f>COUNTIFS(Incident_Log!$A:$A,$A338,Incident_Log!$C:$C,"High",Incident_Log!$E:$E,"No")</f>
        <v>0</v>
      </c>
      <c r="O338" t="str">
        <f t="shared" ca="1" si="5"/>
        <v>Attention Required</v>
      </c>
      <c r="P338">
        <f ca="1">($G338*40)+($H338*30)+($I338*10)+($N338*50)+IF($L338&gt;0,20,0)</f>
        <v>180</v>
      </c>
      <c r="Q338">
        <f ca="1">E338*(P338/100)</f>
        <v>100857.60000000001</v>
      </c>
      <c r="R338">
        <f ca="1">_xlfn.RANK.EQ($Q338,$Q$2:$Q$401,0)</f>
        <v>146</v>
      </c>
    </row>
    <row r="339" spans="1:18">
      <c r="A339" t="str" cm="1">
        <f t="array" ref="A339">_xlfn._xlws.SORT(Vendor_Master!A339)</f>
        <v>VND-338</v>
      </c>
      <c r="B339" t="str">
        <f>_xlfn.XLOOKUP(Compliance_Sheet!A339,Vendor_Master!A339,Vendor_Master!B339,"")</f>
        <v>Vendor_338</v>
      </c>
      <c r="C339" t="str">
        <f>_xlfn.XLOOKUP(A339,Vendor_Master!A339,Vendor_Master!C339,"")</f>
        <v>Equipment Maintenance</v>
      </c>
      <c r="D339" t="str">
        <f>_xlfn.XLOOKUP(A339,Vendor_Master!A339,Vendor_Master!D339,"")</f>
        <v>North</v>
      </c>
      <c r="E339">
        <f>_xlfn.XLOOKUP(A339,Vendor_Master!A339,Vendor_Master!E339,0)</f>
        <v>116660</v>
      </c>
      <c r="F339" t="str">
        <f>_xlfn.XLOOKUP(A339,Vendor_Master!A339,Vendor_Master!H339,"")</f>
        <v>contact338@vendor.com</v>
      </c>
      <c r="G339">
        <f ca="1">COUNTIFS(Sustainability_Documents!$A:$A,$A339,Sustainability_Documents!$H:$H,"Missing")</f>
        <v>4</v>
      </c>
      <c r="H339">
        <f ca="1">COUNTIFS(Sustainability_Documents!$A:$A,$A339,Sustainability_Documents!$H:$H,"Expired")</f>
        <v>0</v>
      </c>
      <c r="I339">
        <f ca="1">COUNTIFS(Sustainability_Documents!$A:$A,$A339,Sustainability_Documents!$H:$H,"Expiring Soon")</f>
        <v>0</v>
      </c>
      <c r="J339">
        <f>COUNTIFS(Sustainability_Documents!$A:$A,$A339,Sustainability_Documents!$C:$C,"Yes")</f>
        <v>4</v>
      </c>
      <c r="K339">
        <f ca="1">IF($J339=0,"",($J339-$G339-$H339)/$J339)</f>
        <v>0</v>
      </c>
      <c r="L339">
        <f ca="1">COUNTIFS(OutReach_Log!$A:$A,$A339,OutReach_Log!$G:$G,"Yes")</f>
        <v>1</v>
      </c>
      <c r="M339">
        <f>COUNTIFS(OutReach_Log!$A:$A,$A339,OutReach_Log!$E:$E,"Pending")
 +COUNTIFS(OutReach_Log!$A:$A,$A339,OutReach_Log!$E:$E,"Escalated")</f>
        <v>0</v>
      </c>
      <c r="N339">
        <f>COUNTIFS(Incident_Log!$A:$A,$A339,Incident_Log!$C:$C,"High",Incident_Log!$E:$E,"No")</f>
        <v>0</v>
      </c>
      <c r="O339" t="str">
        <f t="shared" ca="1" si="5"/>
        <v>Attention Required</v>
      </c>
      <c r="P339">
        <f ca="1">($G339*40)+($H339*30)+($I339*10)+($N339*50)+IF($L339&gt;0,20,0)</f>
        <v>180</v>
      </c>
      <c r="Q339">
        <f ca="1">E339*(P339/100)</f>
        <v>209988</v>
      </c>
      <c r="R339">
        <f ca="1">_xlfn.RANK.EQ($Q339,$Q$2:$Q$401,0)</f>
        <v>118</v>
      </c>
    </row>
    <row r="340" spans="1:18">
      <c r="A340" t="str" cm="1">
        <f t="array" ref="A340">_xlfn._xlws.SORT(Vendor_Master!A340)</f>
        <v>VND-339</v>
      </c>
      <c r="B340" t="str">
        <f>_xlfn.XLOOKUP(Compliance_Sheet!A340,Vendor_Master!A340,Vendor_Master!B340,"")</f>
        <v>Vendor_339</v>
      </c>
      <c r="C340" t="str">
        <f>_xlfn.XLOOKUP(A340,Vendor_Master!A340,Vendor_Master!C340,"")</f>
        <v>Equipment Maintenance</v>
      </c>
      <c r="D340" t="str">
        <f>_xlfn.XLOOKUP(A340,Vendor_Master!A340,Vendor_Master!D340,"")</f>
        <v>North</v>
      </c>
      <c r="E340">
        <f>_xlfn.XLOOKUP(A340,Vendor_Master!A340,Vendor_Master!E340,0)</f>
        <v>53297</v>
      </c>
      <c r="F340" t="str">
        <f>_xlfn.XLOOKUP(A340,Vendor_Master!A340,Vendor_Master!H340,"")</f>
        <v>contact339@vendor.com</v>
      </c>
      <c r="G340">
        <f ca="1">COUNTIFS(Sustainability_Documents!$A:$A,$A340,Sustainability_Documents!$H:$H,"Missing")</f>
        <v>4</v>
      </c>
      <c r="H340">
        <f ca="1">COUNTIFS(Sustainability_Documents!$A:$A,$A340,Sustainability_Documents!$H:$H,"Expired")</f>
        <v>0</v>
      </c>
      <c r="I340">
        <f ca="1">COUNTIFS(Sustainability_Documents!$A:$A,$A340,Sustainability_Documents!$H:$H,"Expiring Soon")</f>
        <v>0</v>
      </c>
      <c r="J340">
        <f>COUNTIFS(Sustainability_Documents!$A:$A,$A340,Sustainability_Documents!$C:$C,"Yes")</f>
        <v>4</v>
      </c>
      <c r="K340">
        <f ca="1">IF($J340=0,"",($J340-$G340-$H340)/$J340)</f>
        <v>0</v>
      </c>
      <c r="L340">
        <f ca="1">COUNTIFS(OutReach_Log!$A:$A,$A340,OutReach_Log!$G:$G,"Yes")</f>
        <v>1</v>
      </c>
      <c r="M340">
        <f>COUNTIFS(OutReach_Log!$A:$A,$A340,OutReach_Log!$E:$E,"Pending")
 +COUNTIFS(OutReach_Log!$A:$A,$A340,OutReach_Log!$E:$E,"Escalated")</f>
        <v>1</v>
      </c>
      <c r="N340">
        <f>COUNTIFS(Incident_Log!$A:$A,$A340,Incident_Log!$C:$C,"High",Incident_Log!$E:$E,"No")</f>
        <v>0</v>
      </c>
      <c r="O340" t="str">
        <f t="shared" ca="1" si="5"/>
        <v>Attention Required</v>
      </c>
      <c r="P340">
        <f ca="1">($G340*40)+($H340*30)+($I340*10)+($N340*50)+IF($L340&gt;0,20,0)</f>
        <v>180</v>
      </c>
      <c r="Q340">
        <f ca="1">E340*(P340/100)</f>
        <v>95934.6</v>
      </c>
      <c r="R340">
        <f ca="1">_xlfn.RANK.EQ($Q340,$Q$2:$Q$401,0)</f>
        <v>149</v>
      </c>
    </row>
    <row r="341" spans="1:18">
      <c r="A341" t="str" cm="1">
        <f t="array" ref="A341">_xlfn._xlws.SORT(Vendor_Master!A341)</f>
        <v>VND-340</v>
      </c>
      <c r="B341" t="str">
        <f>_xlfn.XLOOKUP(Compliance_Sheet!A341,Vendor_Master!A341,Vendor_Master!B341,"")</f>
        <v>Vendor_340</v>
      </c>
      <c r="C341" t="str">
        <f>_xlfn.XLOOKUP(A341,Vendor_Master!A341,Vendor_Master!C341,"")</f>
        <v>Equipment Maintenance</v>
      </c>
      <c r="D341" t="str">
        <f>_xlfn.XLOOKUP(A341,Vendor_Master!A341,Vendor_Master!D341,"")</f>
        <v>North</v>
      </c>
      <c r="E341">
        <f>_xlfn.XLOOKUP(A341,Vendor_Master!A341,Vendor_Master!E341,0)</f>
        <v>77421</v>
      </c>
      <c r="F341" t="str">
        <f>_xlfn.XLOOKUP(A341,Vendor_Master!A341,Vendor_Master!H341,"")</f>
        <v>contact340@vendor.com</v>
      </c>
      <c r="G341">
        <f ca="1">COUNTIFS(Sustainability_Documents!$A:$A,$A341,Sustainability_Documents!$H:$H,"Missing")</f>
        <v>4</v>
      </c>
      <c r="H341">
        <f ca="1">COUNTIFS(Sustainability_Documents!$A:$A,$A341,Sustainability_Documents!$H:$H,"Expired")</f>
        <v>0</v>
      </c>
      <c r="I341">
        <f ca="1">COUNTIFS(Sustainability_Documents!$A:$A,$A341,Sustainability_Documents!$H:$H,"Expiring Soon")</f>
        <v>0</v>
      </c>
      <c r="J341">
        <f>COUNTIFS(Sustainability_Documents!$A:$A,$A341,Sustainability_Documents!$C:$C,"Yes")</f>
        <v>4</v>
      </c>
      <c r="K341">
        <f ca="1">IF($J341=0,"",($J341-$G341-$H341)/$J341)</f>
        <v>0</v>
      </c>
      <c r="L341">
        <f ca="1">COUNTIFS(OutReach_Log!$A:$A,$A341,OutReach_Log!$G:$G,"Yes")</f>
        <v>1</v>
      </c>
      <c r="M341">
        <f>COUNTIFS(OutReach_Log!$A:$A,$A341,OutReach_Log!$E:$E,"Pending")
 +COUNTIFS(OutReach_Log!$A:$A,$A341,OutReach_Log!$E:$E,"Escalated")</f>
        <v>1</v>
      </c>
      <c r="N341">
        <f>COUNTIFS(Incident_Log!$A:$A,$A341,Incident_Log!$C:$C,"High",Incident_Log!$E:$E,"No")</f>
        <v>0</v>
      </c>
      <c r="O341" t="str">
        <f t="shared" ca="1" si="5"/>
        <v>Attention Required</v>
      </c>
      <c r="P341">
        <f ca="1">($G341*40)+($H341*30)+($I341*10)+($N341*50)+IF($L341&gt;0,20,0)</f>
        <v>180</v>
      </c>
      <c r="Q341">
        <f ca="1">E341*(P341/100)</f>
        <v>139357.80000000002</v>
      </c>
      <c r="R341">
        <f ca="1">_xlfn.RANK.EQ($Q341,$Q$2:$Q$401,0)</f>
        <v>137</v>
      </c>
    </row>
    <row r="342" spans="1:18">
      <c r="A342" t="str" cm="1">
        <f t="array" ref="A342">_xlfn._xlws.SORT(Vendor_Master!A342)</f>
        <v>VND-341</v>
      </c>
      <c r="B342" t="str">
        <f>_xlfn.XLOOKUP(Compliance_Sheet!A342,Vendor_Master!A342,Vendor_Master!B342,"")</f>
        <v>Vendor_341</v>
      </c>
      <c r="C342" t="str">
        <f>_xlfn.XLOOKUP(A342,Vendor_Master!A342,Vendor_Master!C342,"")</f>
        <v>Equipment Maintenance</v>
      </c>
      <c r="D342" t="str">
        <f>_xlfn.XLOOKUP(A342,Vendor_Master!A342,Vendor_Master!D342,"")</f>
        <v>North</v>
      </c>
      <c r="E342">
        <f>_xlfn.XLOOKUP(A342,Vendor_Master!A342,Vendor_Master!E342,0)</f>
        <v>209801</v>
      </c>
      <c r="F342" t="str">
        <f>_xlfn.XLOOKUP(A342,Vendor_Master!A342,Vendor_Master!H342,"")</f>
        <v>contact341@vendor.com</v>
      </c>
      <c r="G342">
        <f ca="1">COUNTIFS(Sustainability_Documents!$A:$A,$A342,Sustainability_Documents!$H:$H,"Missing")</f>
        <v>4</v>
      </c>
      <c r="H342">
        <f ca="1">COUNTIFS(Sustainability_Documents!$A:$A,$A342,Sustainability_Documents!$H:$H,"Expired")</f>
        <v>0</v>
      </c>
      <c r="I342">
        <f ca="1">COUNTIFS(Sustainability_Documents!$A:$A,$A342,Sustainability_Documents!$H:$H,"Expiring Soon")</f>
        <v>0</v>
      </c>
      <c r="J342">
        <f>COUNTIFS(Sustainability_Documents!$A:$A,$A342,Sustainability_Documents!$C:$C,"Yes")</f>
        <v>4</v>
      </c>
      <c r="K342">
        <f ca="1">IF($J342=0,"",($J342-$G342-$H342)/$J342)</f>
        <v>0</v>
      </c>
      <c r="L342">
        <f ca="1">COUNTIFS(OutReach_Log!$A:$A,$A342,OutReach_Log!$G:$G,"Yes")</f>
        <v>1</v>
      </c>
      <c r="M342">
        <f>COUNTIFS(OutReach_Log!$A:$A,$A342,OutReach_Log!$E:$E,"Pending")
 +COUNTIFS(OutReach_Log!$A:$A,$A342,OutReach_Log!$E:$E,"Escalated")</f>
        <v>0</v>
      </c>
      <c r="N342">
        <f>COUNTIFS(Incident_Log!$A:$A,$A342,Incident_Log!$C:$C,"High",Incident_Log!$E:$E,"No")</f>
        <v>0</v>
      </c>
      <c r="O342" t="str">
        <f t="shared" ca="1" si="5"/>
        <v>Attention Required</v>
      </c>
      <c r="P342">
        <f ca="1">($G342*40)+($H342*30)+($I342*10)+($N342*50)+IF($L342&gt;0,20,0)</f>
        <v>180</v>
      </c>
      <c r="Q342">
        <f ca="1">E342*(P342/100)</f>
        <v>377641.8</v>
      </c>
      <c r="R342">
        <f ca="1">_xlfn.RANK.EQ($Q342,$Q$2:$Q$401,0)</f>
        <v>90</v>
      </c>
    </row>
    <row r="343" spans="1:18">
      <c r="A343" t="str" cm="1">
        <f t="array" ref="A343">_xlfn._xlws.SORT(Vendor_Master!A343)</f>
        <v>VND-342</v>
      </c>
      <c r="B343" t="str">
        <f>_xlfn.XLOOKUP(Compliance_Sheet!A343,Vendor_Master!A343,Vendor_Master!B343,"")</f>
        <v>Vendor_342</v>
      </c>
      <c r="C343" t="str">
        <f>_xlfn.XLOOKUP(A343,Vendor_Master!A343,Vendor_Master!C343,"")</f>
        <v>Equipment Maintenance</v>
      </c>
      <c r="D343" t="str">
        <f>_xlfn.XLOOKUP(A343,Vendor_Master!A343,Vendor_Master!D343,"")</f>
        <v>North</v>
      </c>
      <c r="E343">
        <f>_xlfn.XLOOKUP(A343,Vendor_Master!A343,Vendor_Master!E343,0)</f>
        <v>70734</v>
      </c>
      <c r="F343" t="str">
        <f>_xlfn.XLOOKUP(A343,Vendor_Master!A343,Vendor_Master!H343,"")</f>
        <v>contact342@vendor.com</v>
      </c>
      <c r="G343">
        <f ca="1">COUNTIFS(Sustainability_Documents!$A:$A,$A343,Sustainability_Documents!$H:$H,"Missing")</f>
        <v>4</v>
      </c>
      <c r="H343">
        <f ca="1">COUNTIFS(Sustainability_Documents!$A:$A,$A343,Sustainability_Documents!$H:$H,"Expired")</f>
        <v>0</v>
      </c>
      <c r="I343">
        <f ca="1">COUNTIFS(Sustainability_Documents!$A:$A,$A343,Sustainability_Documents!$H:$H,"Expiring Soon")</f>
        <v>0</v>
      </c>
      <c r="J343">
        <f>COUNTIFS(Sustainability_Documents!$A:$A,$A343,Sustainability_Documents!$C:$C,"Yes")</f>
        <v>4</v>
      </c>
      <c r="K343">
        <f ca="1">IF($J343=0,"",($J343-$G343-$H343)/$J343)</f>
        <v>0</v>
      </c>
      <c r="L343">
        <f ca="1">COUNTIFS(OutReach_Log!$A:$A,$A343,OutReach_Log!$G:$G,"Yes")</f>
        <v>1</v>
      </c>
      <c r="M343">
        <f>COUNTIFS(OutReach_Log!$A:$A,$A343,OutReach_Log!$E:$E,"Pending")
 +COUNTIFS(OutReach_Log!$A:$A,$A343,OutReach_Log!$E:$E,"Escalated")</f>
        <v>0</v>
      </c>
      <c r="N343">
        <f>COUNTIFS(Incident_Log!$A:$A,$A343,Incident_Log!$C:$C,"High",Incident_Log!$E:$E,"No")</f>
        <v>0</v>
      </c>
      <c r="O343" t="str">
        <f t="shared" ca="1" si="5"/>
        <v>Attention Required</v>
      </c>
      <c r="P343">
        <f ca="1">($G343*40)+($H343*30)+($I343*10)+($N343*50)+IF($L343&gt;0,20,0)</f>
        <v>180</v>
      </c>
      <c r="Q343">
        <f ca="1">E343*(P343/100)</f>
        <v>127321.2</v>
      </c>
      <c r="R343">
        <f ca="1">_xlfn.RANK.EQ($Q343,$Q$2:$Q$401,0)</f>
        <v>143</v>
      </c>
    </row>
    <row r="344" spans="1:18">
      <c r="A344" t="str" cm="1">
        <f t="array" ref="A344">_xlfn._xlws.SORT(Vendor_Master!A344)</f>
        <v>VND-343</v>
      </c>
      <c r="B344" t="str">
        <f>_xlfn.XLOOKUP(Compliance_Sheet!A344,Vendor_Master!A344,Vendor_Master!B344,"")</f>
        <v>Vendor_343</v>
      </c>
      <c r="C344" t="str">
        <f>_xlfn.XLOOKUP(A344,Vendor_Master!A344,Vendor_Master!C344,"")</f>
        <v>Equipment Maintenance</v>
      </c>
      <c r="D344" t="str">
        <f>_xlfn.XLOOKUP(A344,Vendor_Master!A344,Vendor_Master!D344,"")</f>
        <v>North</v>
      </c>
      <c r="E344">
        <f>_xlfn.XLOOKUP(A344,Vendor_Master!A344,Vendor_Master!E344,0)</f>
        <v>235449</v>
      </c>
      <c r="F344" t="str">
        <f>_xlfn.XLOOKUP(A344,Vendor_Master!A344,Vendor_Master!H344,"")</f>
        <v>contact343@vendor.com</v>
      </c>
      <c r="G344">
        <f ca="1">COUNTIFS(Sustainability_Documents!$A:$A,$A344,Sustainability_Documents!$H:$H,"Missing")</f>
        <v>4</v>
      </c>
      <c r="H344">
        <f ca="1">COUNTIFS(Sustainability_Documents!$A:$A,$A344,Sustainability_Documents!$H:$H,"Expired")</f>
        <v>0</v>
      </c>
      <c r="I344">
        <f ca="1">COUNTIFS(Sustainability_Documents!$A:$A,$A344,Sustainability_Documents!$H:$H,"Expiring Soon")</f>
        <v>0</v>
      </c>
      <c r="J344">
        <f>COUNTIFS(Sustainability_Documents!$A:$A,$A344,Sustainability_Documents!$C:$C,"Yes")</f>
        <v>4</v>
      </c>
      <c r="K344">
        <f ca="1">IF($J344=0,"",($J344-$G344-$H344)/$J344)</f>
        <v>0</v>
      </c>
      <c r="L344">
        <f ca="1">COUNTIFS(OutReach_Log!$A:$A,$A344,OutReach_Log!$G:$G,"Yes")</f>
        <v>1</v>
      </c>
      <c r="M344">
        <f>COUNTIFS(OutReach_Log!$A:$A,$A344,OutReach_Log!$E:$E,"Pending")
 +COUNTIFS(OutReach_Log!$A:$A,$A344,OutReach_Log!$E:$E,"Escalated")</f>
        <v>1</v>
      </c>
      <c r="N344">
        <f>COUNTIFS(Incident_Log!$A:$A,$A344,Incident_Log!$C:$C,"High",Incident_Log!$E:$E,"No")</f>
        <v>0</v>
      </c>
      <c r="O344" t="str">
        <f t="shared" ca="1" si="5"/>
        <v>Attention Required</v>
      </c>
      <c r="P344">
        <f ca="1">($G344*40)+($H344*30)+($I344*10)+($N344*50)+IF($L344&gt;0,20,0)</f>
        <v>180</v>
      </c>
      <c r="Q344">
        <f ca="1">E344*(P344/100)</f>
        <v>423808.2</v>
      </c>
      <c r="R344">
        <f ca="1">_xlfn.RANK.EQ($Q344,$Q$2:$Q$401,0)</f>
        <v>79</v>
      </c>
    </row>
    <row r="345" spans="1:18">
      <c r="A345" t="str" cm="1">
        <f t="array" ref="A345">_xlfn._xlws.SORT(Vendor_Master!A345)</f>
        <v>VND-344</v>
      </c>
      <c r="B345" t="str">
        <f>_xlfn.XLOOKUP(Compliance_Sheet!A345,Vendor_Master!A345,Vendor_Master!B345,"")</f>
        <v>Vendor_344</v>
      </c>
      <c r="C345" t="str">
        <f>_xlfn.XLOOKUP(A345,Vendor_Master!A345,Vendor_Master!C345,"")</f>
        <v>Equipment Maintenance</v>
      </c>
      <c r="D345" t="str">
        <f>_xlfn.XLOOKUP(A345,Vendor_Master!A345,Vendor_Master!D345,"")</f>
        <v>North</v>
      </c>
      <c r="E345">
        <f>_xlfn.XLOOKUP(A345,Vendor_Master!A345,Vendor_Master!E345,0)</f>
        <v>137723</v>
      </c>
      <c r="F345" t="str">
        <f>_xlfn.XLOOKUP(A345,Vendor_Master!A345,Vendor_Master!H345,"")</f>
        <v>contact344@vendor.com</v>
      </c>
      <c r="G345">
        <f ca="1">COUNTIFS(Sustainability_Documents!$A:$A,$A345,Sustainability_Documents!$H:$H,"Missing")</f>
        <v>4</v>
      </c>
      <c r="H345">
        <f ca="1">COUNTIFS(Sustainability_Documents!$A:$A,$A345,Sustainability_Documents!$H:$H,"Expired")</f>
        <v>0</v>
      </c>
      <c r="I345">
        <f ca="1">COUNTIFS(Sustainability_Documents!$A:$A,$A345,Sustainability_Documents!$H:$H,"Expiring Soon")</f>
        <v>0</v>
      </c>
      <c r="J345">
        <f>COUNTIFS(Sustainability_Documents!$A:$A,$A345,Sustainability_Documents!$C:$C,"Yes")</f>
        <v>4</v>
      </c>
      <c r="K345">
        <f ca="1">IF($J345=0,"",($J345-$G345-$H345)/$J345)</f>
        <v>0</v>
      </c>
      <c r="L345">
        <f ca="1">COUNTIFS(OutReach_Log!$A:$A,$A345,OutReach_Log!$G:$G,"Yes")</f>
        <v>1</v>
      </c>
      <c r="M345">
        <f>COUNTIFS(OutReach_Log!$A:$A,$A345,OutReach_Log!$E:$E,"Pending")
 +COUNTIFS(OutReach_Log!$A:$A,$A345,OutReach_Log!$E:$E,"Escalated")</f>
        <v>1</v>
      </c>
      <c r="N345">
        <f>COUNTIFS(Incident_Log!$A:$A,$A345,Incident_Log!$C:$C,"High",Incident_Log!$E:$E,"No")</f>
        <v>0</v>
      </c>
      <c r="O345" t="str">
        <f t="shared" ca="1" si="5"/>
        <v>Attention Required</v>
      </c>
      <c r="P345">
        <f ca="1">($G345*40)+($H345*30)+($I345*10)+($N345*50)+IF($L345&gt;0,20,0)</f>
        <v>180</v>
      </c>
      <c r="Q345">
        <f ca="1">E345*(P345/100)</f>
        <v>247901.4</v>
      </c>
      <c r="R345">
        <f ca="1">_xlfn.RANK.EQ($Q345,$Q$2:$Q$401,0)</f>
        <v>111</v>
      </c>
    </row>
    <row r="346" spans="1:18">
      <c r="A346" t="str" cm="1">
        <f t="array" ref="A346">_xlfn._xlws.SORT(Vendor_Master!A346)</f>
        <v>VND-345</v>
      </c>
      <c r="B346" t="str">
        <f>_xlfn.XLOOKUP(Compliance_Sheet!A346,Vendor_Master!A346,Vendor_Master!B346,"")</f>
        <v>Vendor_345</v>
      </c>
      <c r="C346" t="str">
        <f>_xlfn.XLOOKUP(A346,Vendor_Master!A346,Vendor_Master!C346,"")</f>
        <v>Equipment Maintenance</v>
      </c>
      <c r="D346" t="str">
        <f>_xlfn.XLOOKUP(A346,Vendor_Master!A346,Vendor_Master!D346,"")</f>
        <v>North</v>
      </c>
      <c r="E346">
        <f>_xlfn.XLOOKUP(A346,Vendor_Master!A346,Vendor_Master!E346,0)</f>
        <v>64753</v>
      </c>
      <c r="F346" t="str">
        <f>_xlfn.XLOOKUP(A346,Vendor_Master!A346,Vendor_Master!H346,"")</f>
        <v>contact345@vendor.com</v>
      </c>
      <c r="G346">
        <f ca="1">COUNTIFS(Sustainability_Documents!$A:$A,$A346,Sustainability_Documents!$H:$H,"Missing")</f>
        <v>4</v>
      </c>
      <c r="H346">
        <f ca="1">COUNTIFS(Sustainability_Documents!$A:$A,$A346,Sustainability_Documents!$H:$H,"Expired")</f>
        <v>0</v>
      </c>
      <c r="I346">
        <f ca="1">COUNTIFS(Sustainability_Documents!$A:$A,$A346,Sustainability_Documents!$H:$H,"Expiring Soon")</f>
        <v>0</v>
      </c>
      <c r="J346">
        <f>COUNTIFS(Sustainability_Documents!$A:$A,$A346,Sustainability_Documents!$C:$C,"Yes")</f>
        <v>4</v>
      </c>
      <c r="K346">
        <f ca="1">IF($J346=0,"",($J346-$G346-$H346)/$J346)</f>
        <v>0</v>
      </c>
      <c r="L346">
        <f ca="1">COUNTIFS(OutReach_Log!$A:$A,$A346,OutReach_Log!$G:$G,"Yes")</f>
        <v>1</v>
      </c>
      <c r="M346">
        <f>COUNTIFS(OutReach_Log!$A:$A,$A346,OutReach_Log!$E:$E,"Pending")
 +COUNTIFS(OutReach_Log!$A:$A,$A346,OutReach_Log!$E:$E,"Escalated")</f>
        <v>1</v>
      </c>
      <c r="N346">
        <f>COUNTIFS(Incident_Log!$A:$A,$A346,Incident_Log!$C:$C,"High",Incident_Log!$E:$E,"No")</f>
        <v>0</v>
      </c>
      <c r="O346" t="str">
        <f t="shared" ca="1" si="5"/>
        <v>Attention Required</v>
      </c>
      <c r="P346">
        <f ca="1">($G346*40)+($H346*30)+($I346*10)+($N346*50)+IF($L346&gt;0,20,0)</f>
        <v>180</v>
      </c>
      <c r="Q346">
        <f ca="1">E346*(P346/100)</f>
        <v>116555.40000000001</v>
      </c>
      <c r="R346">
        <f ca="1">_xlfn.RANK.EQ($Q346,$Q$2:$Q$401,0)</f>
        <v>144</v>
      </c>
    </row>
    <row r="347" spans="1:18">
      <c r="A347" t="str" cm="1">
        <f t="array" ref="A347">_xlfn._xlws.SORT(Vendor_Master!A347)</f>
        <v>VND-346</v>
      </c>
      <c r="B347" t="str">
        <f>_xlfn.XLOOKUP(Compliance_Sheet!A347,Vendor_Master!A347,Vendor_Master!B347,"")</f>
        <v>Vendor_346</v>
      </c>
      <c r="C347" t="str">
        <f>_xlfn.XLOOKUP(A347,Vendor_Master!A347,Vendor_Master!C347,"")</f>
        <v>Equipment Maintenance</v>
      </c>
      <c r="D347" t="str">
        <f>_xlfn.XLOOKUP(A347,Vendor_Master!A347,Vendor_Master!D347,"")</f>
        <v>North</v>
      </c>
      <c r="E347">
        <f>_xlfn.XLOOKUP(A347,Vendor_Master!A347,Vendor_Master!E347,0)</f>
        <v>243573</v>
      </c>
      <c r="F347" t="str">
        <f>_xlfn.XLOOKUP(A347,Vendor_Master!A347,Vendor_Master!H347,"")</f>
        <v>contact346@vendor.com</v>
      </c>
      <c r="G347">
        <f ca="1">COUNTIFS(Sustainability_Documents!$A:$A,$A347,Sustainability_Documents!$H:$H,"Missing")</f>
        <v>4</v>
      </c>
      <c r="H347">
        <f ca="1">COUNTIFS(Sustainability_Documents!$A:$A,$A347,Sustainability_Documents!$H:$H,"Expired")</f>
        <v>0</v>
      </c>
      <c r="I347">
        <f ca="1">COUNTIFS(Sustainability_Documents!$A:$A,$A347,Sustainability_Documents!$H:$H,"Expiring Soon")</f>
        <v>0</v>
      </c>
      <c r="J347">
        <f>COUNTIFS(Sustainability_Documents!$A:$A,$A347,Sustainability_Documents!$C:$C,"Yes")</f>
        <v>4</v>
      </c>
      <c r="K347">
        <f ca="1">IF($J347=0,"",($J347-$G347-$H347)/$J347)</f>
        <v>0</v>
      </c>
      <c r="L347">
        <f ca="1">COUNTIFS(OutReach_Log!$A:$A,$A347,OutReach_Log!$G:$G,"Yes")</f>
        <v>1</v>
      </c>
      <c r="M347">
        <f>COUNTIFS(OutReach_Log!$A:$A,$A347,OutReach_Log!$E:$E,"Pending")
 +COUNTIFS(OutReach_Log!$A:$A,$A347,OutReach_Log!$E:$E,"Escalated")</f>
        <v>0</v>
      </c>
      <c r="N347">
        <f>COUNTIFS(Incident_Log!$A:$A,$A347,Incident_Log!$C:$C,"High",Incident_Log!$E:$E,"No")</f>
        <v>0</v>
      </c>
      <c r="O347" t="str">
        <f t="shared" ca="1" si="5"/>
        <v>Attention Required</v>
      </c>
      <c r="P347">
        <f ca="1">($G347*40)+($H347*30)+($I347*10)+($N347*50)+IF($L347&gt;0,20,0)</f>
        <v>180</v>
      </c>
      <c r="Q347">
        <f ca="1">E347*(P347/100)</f>
        <v>438431.4</v>
      </c>
      <c r="R347">
        <f ca="1">_xlfn.RANK.EQ($Q347,$Q$2:$Q$401,0)</f>
        <v>73</v>
      </c>
    </row>
    <row r="348" spans="1:18">
      <c r="A348" t="str" cm="1">
        <f t="array" ref="A348">_xlfn._xlws.SORT(Vendor_Master!A348)</f>
        <v>VND-347</v>
      </c>
      <c r="B348" t="str">
        <f>_xlfn.XLOOKUP(Compliance_Sheet!A348,Vendor_Master!A348,Vendor_Master!B348,"")</f>
        <v>Vendor_347</v>
      </c>
      <c r="C348" t="str">
        <f>_xlfn.XLOOKUP(A348,Vendor_Master!A348,Vendor_Master!C348,"")</f>
        <v>Equipment Maintenance</v>
      </c>
      <c r="D348" t="str">
        <f>_xlfn.XLOOKUP(A348,Vendor_Master!A348,Vendor_Master!D348,"")</f>
        <v>North</v>
      </c>
      <c r="E348">
        <f>_xlfn.XLOOKUP(A348,Vendor_Master!A348,Vendor_Master!E348,0)</f>
        <v>98059</v>
      </c>
      <c r="F348" t="str">
        <f>_xlfn.XLOOKUP(A348,Vendor_Master!A348,Vendor_Master!H348,"")</f>
        <v>contact347@vendor.com</v>
      </c>
      <c r="G348">
        <f ca="1">COUNTIFS(Sustainability_Documents!$A:$A,$A348,Sustainability_Documents!$H:$H,"Missing")</f>
        <v>4</v>
      </c>
      <c r="H348">
        <f ca="1">COUNTIFS(Sustainability_Documents!$A:$A,$A348,Sustainability_Documents!$H:$H,"Expired")</f>
        <v>0</v>
      </c>
      <c r="I348">
        <f ca="1">COUNTIFS(Sustainability_Documents!$A:$A,$A348,Sustainability_Documents!$H:$H,"Expiring Soon")</f>
        <v>0</v>
      </c>
      <c r="J348">
        <f>COUNTIFS(Sustainability_Documents!$A:$A,$A348,Sustainability_Documents!$C:$C,"Yes")</f>
        <v>4</v>
      </c>
      <c r="K348">
        <f ca="1">IF($J348=0,"",($J348-$G348-$H348)/$J348)</f>
        <v>0</v>
      </c>
      <c r="L348">
        <f ca="1">COUNTIFS(OutReach_Log!$A:$A,$A348,OutReach_Log!$G:$G,"Yes")</f>
        <v>1</v>
      </c>
      <c r="M348">
        <f>COUNTIFS(OutReach_Log!$A:$A,$A348,OutReach_Log!$E:$E,"Pending")
 +COUNTIFS(OutReach_Log!$A:$A,$A348,OutReach_Log!$E:$E,"Escalated")</f>
        <v>1</v>
      </c>
      <c r="N348">
        <f>COUNTIFS(Incident_Log!$A:$A,$A348,Incident_Log!$C:$C,"High",Incident_Log!$E:$E,"No")</f>
        <v>0</v>
      </c>
      <c r="O348" t="str">
        <f t="shared" ca="1" si="5"/>
        <v>Attention Required</v>
      </c>
      <c r="P348">
        <f ca="1">($G348*40)+($H348*30)+($I348*10)+($N348*50)+IF($L348&gt;0,20,0)</f>
        <v>180</v>
      </c>
      <c r="Q348">
        <f ca="1">E348*(P348/100)</f>
        <v>176506.2</v>
      </c>
      <c r="R348">
        <f ca="1">_xlfn.RANK.EQ($Q348,$Q$2:$Q$401,0)</f>
        <v>130</v>
      </c>
    </row>
    <row r="349" spans="1:18">
      <c r="A349" t="str" cm="1">
        <f t="array" ref="A349">_xlfn._xlws.SORT(Vendor_Master!A349)</f>
        <v>VND-348</v>
      </c>
      <c r="B349" t="str">
        <f>_xlfn.XLOOKUP(Compliance_Sheet!A349,Vendor_Master!A349,Vendor_Master!B349,"")</f>
        <v>Vendor_348</v>
      </c>
      <c r="C349" t="str">
        <f>_xlfn.XLOOKUP(A349,Vendor_Master!A349,Vendor_Master!C349,"")</f>
        <v>Equipment Maintenance</v>
      </c>
      <c r="D349" t="str">
        <f>_xlfn.XLOOKUP(A349,Vendor_Master!A349,Vendor_Master!D349,"")</f>
        <v>North</v>
      </c>
      <c r="E349">
        <f>_xlfn.XLOOKUP(A349,Vendor_Master!A349,Vendor_Master!E349,0)</f>
        <v>100214</v>
      </c>
      <c r="F349" t="str">
        <f>_xlfn.XLOOKUP(A349,Vendor_Master!A349,Vendor_Master!H349,"")</f>
        <v>contact348@vendor.com</v>
      </c>
      <c r="G349">
        <f ca="1">COUNTIFS(Sustainability_Documents!$A:$A,$A349,Sustainability_Documents!$H:$H,"Missing")</f>
        <v>4</v>
      </c>
      <c r="H349">
        <f ca="1">COUNTIFS(Sustainability_Documents!$A:$A,$A349,Sustainability_Documents!$H:$H,"Expired")</f>
        <v>0</v>
      </c>
      <c r="I349">
        <f ca="1">COUNTIFS(Sustainability_Documents!$A:$A,$A349,Sustainability_Documents!$H:$H,"Expiring Soon")</f>
        <v>0</v>
      </c>
      <c r="J349">
        <f>COUNTIFS(Sustainability_Documents!$A:$A,$A349,Sustainability_Documents!$C:$C,"Yes")</f>
        <v>4</v>
      </c>
      <c r="K349">
        <f ca="1">IF($J349=0,"",($J349-$G349-$H349)/$J349)</f>
        <v>0</v>
      </c>
      <c r="L349">
        <f ca="1">COUNTIFS(OutReach_Log!$A:$A,$A349,OutReach_Log!$G:$G,"Yes")</f>
        <v>1</v>
      </c>
      <c r="M349">
        <f>COUNTIFS(OutReach_Log!$A:$A,$A349,OutReach_Log!$E:$E,"Pending")
 +COUNTIFS(OutReach_Log!$A:$A,$A349,OutReach_Log!$E:$E,"Escalated")</f>
        <v>1</v>
      </c>
      <c r="N349">
        <f>COUNTIFS(Incident_Log!$A:$A,$A349,Incident_Log!$C:$C,"High",Incident_Log!$E:$E,"No")</f>
        <v>0</v>
      </c>
      <c r="O349" t="str">
        <f t="shared" ca="1" si="5"/>
        <v>Attention Required</v>
      </c>
      <c r="P349">
        <f ca="1">($G349*40)+($H349*30)+($I349*10)+($N349*50)+IF($L349&gt;0,20,0)</f>
        <v>180</v>
      </c>
      <c r="Q349">
        <f ca="1">E349*(P349/100)</f>
        <v>180385.2</v>
      </c>
      <c r="R349">
        <f ca="1">_xlfn.RANK.EQ($Q349,$Q$2:$Q$401,0)</f>
        <v>127</v>
      </c>
    </row>
    <row r="350" spans="1:18">
      <c r="A350" t="str" cm="1">
        <f t="array" ref="A350">_xlfn._xlws.SORT(Vendor_Master!A350)</f>
        <v>VND-349</v>
      </c>
      <c r="B350" t="str">
        <f>_xlfn.XLOOKUP(Compliance_Sheet!A350,Vendor_Master!A350,Vendor_Master!B350,"")</f>
        <v>Vendor_349</v>
      </c>
      <c r="C350" t="str">
        <f>_xlfn.XLOOKUP(A350,Vendor_Master!A350,Vendor_Master!C350,"")</f>
        <v>Equipment Maintenance</v>
      </c>
      <c r="D350" t="str">
        <f>_xlfn.XLOOKUP(A350,Vendor_Master!A350,Vendor_Master!D350,"")</f>
        <v>North</v>
      </c>
      <c r="E350">
        <f>_xlfn.XLOOKUP(A350,Vendor_Master!A350,Vendor_Master!E350,0)</f>
        <v>105065</v>
      </c>
      <c r="F350" t="str">
        <f>_xlfn.XLOOKUP(A350,Vendor_Master!A350,Vendor_Master!H350,"")</f>
        <v>contact349@vendor.com</v>
      </c>
      <c r="G350">
        <f ca="1">COUNTIFS(Sustainability_Documents!$A:$A,$A350,Sustainability_Documents!$H:$H,"Missing")</f>
        <v>4</v>
      </c>
      <c r="H350">
        <f ca="1">COUNTIFS(Sustainability_Documents!$A:$A,$A350,Sustainability_Documents!$H:$H,"Expired")</f>
        <v>0</v>
      </c>
      <c r="I350">
        <f ca="1">COUNTIFS(Sustainability_Documents!$A:$A,$A350,Sustainability_Documents!$H:$H,"Expiring Soon")</f>
        <v>0</v>
      </c>
      <c r="J350">
        <f>COUNTIFS(Sustainability_Documents!$A:$A,$A350,Sustainability_Documents!$C:$C,"Yes")</f>
        <v>4</v>
      </c>
      <c r="K350">
        <f ca="1">IF($J350=0,"",($J350-$G350-$H350)/$J350)</f>
        <v>0</v>
      </c>
      <c r="L350">
        <f ca="1">COUNTIFS(OutReach_Log!$A:$A,$A350,OutReach_Log!$G:$G,"Yes")</f>
        <v>1</v>
      </c>
      <c r="M350">
        <f>COUNTIFS(OutReach_Log!$A:$A,$A350,OutReach_Log!$E:$E,"Pending")
 +COUNTIFS(OutReach_Log!$A:$A,$A350,OutReach_Log!$E:$E,"Escalated")</f>
        <v>1</v>
      </c>
      <c r="N350">
        <f>COUNTIFS(Incident_Log!$A:$A,$A350,Incident_Log!$C:$C,"High",Incident_Log!$E:$E,"No")</f>
        <v>0</v>
      </c>
      <c r="O350" t="str">
        <f t="shared" ca="1" si="5"/>
        <v>Attention Required</v>
      </c>
      <c r="P350">
        <f ca="1">($G350*40)+($H350*30)+($I350*10)+($N350*50)+IF($L350&gt;0,20,0)</f>
        <v>180</v>
      </c>
      <c r="Q350">
        <f ca="1">E350*(P350/100)</f>
        <v>189117</v>
      </c>
      <c r="R350">
        <f ca="1">_xlfn.RANK.EQ($Q350,$Q$2:$Q$401,0)</f>
        <v>124</v>
      </c>
    </row>
    <row r="351" spans="1:18">
      <c r="A351" t="str" cm="1">
        <f t="array" ref="A351">_xlfn._xlws.SORT(Vendor_Master!A351)</f>
        <v>VND-350</v>
      </c>
      <c r="B351" t="str">
        <f>_xlfn.XLOOKUP(Compliance_Sheet!A351,Vendor_Master!A351,Vendor_Master!B351,"")</f>
        <v>Vendor_350</v>
      </c>
      <c r="C351" t="str">
        <f>_xlfn.XLOOKUP(A351,Vendor_Master!A351,Vendor_Master!C351,"")</f>
        <v>Equipment Maintenance</v>
      </c>
      <c r="D351" t="str">
        <f>_xlfn.XLOOKUP(A351,Vendor_Master!A351,Vendor_Master!D351,"")</f>
        <v>North</v>
      </c>
      <c r="E351">
        <f>_xlfn.XLOOKUP(A351,Vendor_Master!A351,Vendor_Master!E351,0)</f>
        <v>150695</v>
      </c>
      <c r="F351" t="str">
        <f>_xlfn.XLOOKUP(A351,Vendor_Master!A351,Vendor_Master!H351,"")</f>
        <v>contact350@vendor.com</v>
      </c>
      <c r="G351">
        <f ca="1">COUNTIFS(Sustainability_Documents!$A:$A,$A351,Sustainability_Documents!$H:$H,"Missing")</f>
        <v>4</v>
      </c>
      <c r="H351">
        <f ca="1">COUNTIFS(Sustainability_Documents!$A:$A,$A351,Sustainability_Documents!$H:$H,"Expired")</f>
        <v>0</v>
      </c>
      <c r="I351">
        <f ca="1">COUNTIFS(Sustainability_Documents!$A:$A,$A351,Sustainability_Documents!$H:$H,"Expiring Soon")</f>
        <v>0</v>
      </c>
      <c r="J351">
        <f>COUNTIFS(Sustainability_Documents!$A:$A,$A351,Sustainability_Documents!$C:$C,"Yes")</f>
        <v>4</v>
      </c>
      <c r="K351">
        <f ca="1">IF($J351=0,"",($J351-$G351-$H351)/$J351)</f>
        <v>0</v>
      </c>
      <c r="L351">
        <f ca="1">COUNTIFS(OutReach_Log!$A:$A,$A351,OutReach_Log!$G:$G,"Yes")</f>
        <v>1</v>
      </c>
      <c r="M351">
        <f>COUNTIFS(OutReach_Log!$A:$A,$A351,OutReach_Log!$E:$E,"Pending")
 +COUNTIFS(OutReach_Log!$A:$A,$A351,OutReach_Log!$E:$E,"Escalated")</f>
        <v>1</v>
      </c>
      <c r="N351">
        <f>COUNTIFS(Incident_Log!$A:$A,$A351,Incident_Log!$C:$C,"High",Incident_Log!$E:$E,"No")</f>
        <v>0</v>
      </c>
      <c r="O351" t="str">
        <f t="shared" ca="1" si="5"/>
        <v>Attention Required</v>
      </c>
      <c r="P351">
        <f ca="1">($G351*40)+($H351*30)+($I351*10)+($N351*50)+IF($L351&gt;0,20,0)</f>
        <v>180</v>
      </c>
      <c r="Q351">
        <f ca="1">E351*(P351/100)</f>
        <v>271251</v>
      </c>
      <c r="R351">
        <f ca="1">_xlfn.RANK.EQ($Q351,$Q$2:$Q$401,0)</f>
        <v>106</v>
      </c>
    </row>
    <row r="352" spans="1:18">
      <c r="A352" t="str" cm="1">
        <f t="array" ref="A352">_xlfn._xlws.SORT(Vendor_Master!A352)</f>
        <v>VND-351</v>
      </c>
      <c r="B352" t="str">
        <f>_xlfn.XLOOKUP(Compliance_Sheet!A352,Vendor_Master!A352,Vendor_Master!B352,"")</f>
        <v>Vendor_351</v>
      </c>
      <c r="C352" t="str">
        <f>_xlfn.XLOOKUP(A352,Vendor_Master!A352,Vendor_Master!C352,"")</f>
        <v>Equipment Maintenance</v>
      </c>
      <c r="D352" t="str">
        <f>_xlfn.XLOOKUP(A352,Vendor_Master!A352,Vendor_Master!D352,"")</f>
        <v>North</v>
      </c>
      <c r="E352">
        <f>_xlfn.XLOOKUP(A352,Vendor_Master!A352,Vendor_Master!E352,0)</f>
        <v>189901</v>
      </c>
      <c r="F352" t="str">
        <f>_xlfn.XLOOKUP(A352,Vendor_Master!A352,Vendor_Master!H352,"")</f>
        <v>contact351@vendor.com</v>
      </c>
      <c r="G352">
        <f ca="1">COUNTIFS(Sustainability_Documents!$A:$A,$A352,Sustainability_Documents!$H:$H,"Missing")</f>
        <v>4</v>
      </c>
      <c r="H352">
        <f ca="1">COUNTIFS(Sustainability_Documents!$A:$A,$A352,Sustainability_Documents!$H:$H,"Expired")</f>
        <v>0</v>
      </c>
      <c r="I352">
        <f ca="1">COUNTIFS(Sustainability_Documents!$A:$A,$A352,Sustainability_Documents!$H:$H,"Expiring Soon")</f>
        <v>0</v>
      </c>
      <c r="J352">
        <f>COUNTIFS(Sustainability_Documents!$A:$A,$A352,Sustainability_Documents!$C:$C,"Yes")</f>
        <v>4</v>
      </c>
      <c r="K352">
        <f ca="1">IF($J352=0,"",($J352-$G352-$H352)/$J352)</f>
        <v>0</v>
      </c>
      <c r="L352">
        <f ca="1">COUNTIFS(OutReach_Log!$A:$A,$A352,OutReach_Log!$G:$G,"Yes")</f>
        <v>1</v>
      </c>
      <c r="M352">
        <f>COUNTIFS(OutReach_Log!$A:$A,$A352,OutReach_Log!$E:$E,"Pending")
 +COUNTIFS(OutReach_Log!$A:$A,$A352,OutReach_Log!$E:$E,"Escalated")</f>
        <v>1</v>
      </c>
      <c r="N352">
        <f>COUNTIFS(Incident_Log!$A:$A,$A352,Incident_Log!$C:$C,"High",Incident_Log!$E:$E,"No")</f>
        <v>0</v>
      </c>
      <c r="O352" t="str">
        <f t="shared" ca="1" si="5"/>
        <v>Attention Required</v>
      </c>
      <c r="P352">
        <f ca="1">($G352*40)+($H352*30)+($I352*10)+($N352*50)+IF($L352&gt;0,20,0)</f>
        <v>180</v>
      </c>
      <c r="Q352">
        <f ca="1">E352*(P352/100)</f>
        <v>341821.8</v>
      </c>
      <c r="R352">
        <f ca="1">_xlfn.RANK.EQ($Q352,$Q$2:$Q$401,0)</f>
        <v>98</v>
      </c>
    </row>
    <row r="353" spans="1:18">
      <c r="A353" t="str" cm="1">
        <f t="array" ref="A353">_xlfn._xlws.SORT(Vendor_Master!A353)</f>
        <v>VND-352</v>
      </c>
      <c r="B353" t="str">
        <f>_xlfn.XLOOKUP(Compliance_Sheet!A353,Vendor_Master!A353,Vendor_Master!B353,"")</f>
        <v>Vendor_352</v>
      </c>
      <c r="C353" t="str">
        <f>_xlfn.XLOOKUP(A353,Vendor_Master!A353,Vendor_Master!C353,"")</f>
        <v>Equipment Maintenance</v>
      </c>
      <c r="D353" t="str">
        <f>_xlfn.XLOOKUP(A353,Vendor_Master!A353,Vendor_Master!D353,"")</f>
        <v>North</v>
      </c>
      <c r="E353">
        <f>_xlfn.XLOOKUP(A353,Vendor_Master!A353,Vendor_Master!E353,0)</f>
        <v>242931</v>
      </c>
      <c r="F353" t="str">
        <f>_xlfn.XLOOKUP(A353,Vendor_Master!A353,Vendor_Master!H353,"")</f>
        <v>contact352@vendor.com</v>
      </c>
      <c r="G353">
        <f ca="1">COUNTIFS(Sustainability_Documents!$A:$A,$A353,Sustainability_Documents!$H:$H,"Missing")</f>
        <v>4</v>
      </c>
      <c r="H353">
        <f ca="1">COUNTIFS(Sustainability_Documents!$A:$A,$A353,Sustainability_Documents!$H:$H,"Expired")</f>
        <v>0</v>
      </c>
      <c r="I353">
        <f ca="1">COUNTIFS(Sustainability_Documents!$A:$A,$A353,Sustainability_Documents!$H:$H,"Expiring Soon")</f>
        <v>0</v>
      </c>
      <c r="J353">
        <f>COUNTIFS(Sustainability_Documents!$A:$A,$A353,Sustainability_Documents!$C:$C,"Yes")</f>
        <v>4</v>
      </c>
      <c r="K353">
        <f ca="1">IF($J353=0,"",($J353-$G353-$H353)/$J353)</f>
        <v>0</v>
      </c>
      <c r="L353">
        <f ca="1">COUNTIFS(OutReach_Log!$A:$A,$A353,OutReach_Log!$G:$G,"Yes")</f>
        <v>1</v>
      </c>
      <c r="M353">
        <f>COUNTIFS(OutReach_Log!$A:$A,$A353,OutReach_Log!$E:$E,"Pending")
 +COUNTIFS(OutReach_Log!$A:$A,$A353,OutReach_Log!$E:$E,"Escalated")</f>
        <v>0</v>
      </c>
      <c r="N353">
        <f>COUNTIFS(Incident_Log!$A:$A,$A353,Incident_Log!$C:$C,"High",Incident_Log!$E:$E,"No")</f>
        <v>0</v>
      </c>
      <c r="O353" t="str">
        <f t="shared" ca="1" si="5"/>
        <v>Attention Required</v>
      </c>
      <c r="P353">
        <f ca="1">($G353*40)+($H353*30)+($I353*10)+($N353*50)+IF($L353&gt;0,20,0)</f>
        <v>180</v>
      </c>
      <c r="Q353">
        <f ca="1">E353*(P353/100)</f>
        <v>437275.8</v>
      </c>
      <c r="R353">
        <f ca="1">_xlfn.RANK.EQ($Q353,$Q$2:$Q$401,0)</f>
        <v>74</v>
      </c>
    </row>
    <row r="354" spans="1:18">
      <c r="A354" t="str" cm="1">
        <f t="array" ref="A354">_xlfn._xlws.SORT(Vendor_Master!A354)</f>
        <v>VND-353</v>
      </c>
      <c r="B354" t="str">
        <f>_xlfn.XLOOKUP(Compliance_Sheet!A354,Vendor_Master!A354,Vendor_Master!B354,"")</f>
        <v>Vendor_353</v>
      </c>
      <c r="C354" t="str">
        <f>_xlfn.XLOOKUP(A354,Vendor_Master!A354,Vendor_Master!C354,"")</f>
        <v>Equipment Maintenance</v>
      </c>
      <c r="D354" t="str">
        <f>_xlfn.XLOOKUP(A354,Vendor_Master!A354,Vendor_Master!D354,"")</f>
        <v>North</v>
      </c>
      <c r="E354">
        <f>_xlfn.XLOOKUP(A354,Vendor_Master!A354,Vendor_Master!E354,0)</f>
        <v>211450</v>
      </c>
      <c r="F354" t="str">
        <f>_xlfn.XLOOKUP(A354,Vendor_Master!A354,Vendor_Master!H354,"")</f>
        <v>contact353@vendor.com</v>
      </c>
      <c r="G354">
        <f ca="1">COUNTIFS(Sustainability_Documents!$A:$A,$A354,Sustainability_Documents!$H:$H,"Missing")</f>
        <v>4</v>
      </c>
      <c r="H354">
        <f ca="1">COUNTIFS(Sustainability_Documents!$A:$A,$A354,Sustainability_Documents!$H:$H,"Expired")</f>
        <v>0</v>
      </c>
      <c r="I354">
        <f ca="1">COUNTIFS(Sustainability_Documents!$A:$A,$A354,Sustainability_Documents!$H:$H,"Expiring Soon")</f>
        <v>0</v>
      </c>
      <c r="J354">
        <f>COUNTIFS(Sustainability_Documents!$A:$A,$A354,Sustainability_Documents!$C:$C,"Yes")</f>
        <v>4</v>
      </c>
      <c r="K354">
        <f ca="1">IF($J354=0,"",($J354-$G354-$H354)/$J354)</f>
        <v>0</v>
      </c>
      <c r="L354">
        <f ca="1">COUNTIFS(OutReach_Log!$A:$A,$A354,OutReach_Log!$G:$G,"Yes")</f>
        <v>1</v>
      </c>
      <c r="M354">
        <f>COUNTIFS(OutReach_Log!$A:$A,$A354,OutReach_Log!$E:$E,"Pending")
 +COUNTIFS(OutReach_Log!$A:$A,$A354,OutReach_Log!$E:$E,"Escalated")</f>
        <v>1</v>
      </c>
      <c r="N354">
        <f>COUNTIFS(Incident_Log!$A:$A,$A354,Incident_Log!$C:$C,"High",Incident_Log!$E:$E,"No")</f>
        <v>0</v>
      </c>
      <c r="O354" t="str">
        <f t="shared" ca="1" si="5"/>
        <v>Attention Required</v>
      </c>
      <c r="P354">
        <f ca="1">($G354*40)+($H354*30)+($I354*10)+($N354*50)+IF($L354&gt;0,20,0)</f>
        <v>180</v>
      </c>
      <c r="Q354">
        <f ca="1">E354*(P354/100)</f>
        <v>380610</v>
      </c>
      <c r="R354">
        <f ca="1">_xlfn.RANK.EQ($Q354,$Q$2:$Q$401,0)</f>
        <v>89</v>
      </c>
    </row>
    <row r="355" spans="1:18">
      <c r="A355" t="str" cm="1">
        <f t="array" ref="A355">_xlfn._xlws.SORT(Vendor_Master!A355)</f>
        <v>VND-354</v>
      </c>
      <c r="B355" t="str">
        <f>_xlfn.XLOOKUP(Compliance_Sheet!A355,Vendor_Master!A355,Vendor_Master!B355,"")</f>
        <v>Vendor_354</v>
      </c>
      <c r="C355" t="str">
        <f>_xlfn.XLOOKUP(A355,Vendor_Master!A355,Vendor_Master!C355,"")</f>
        <v>Equipment Maintenance</v>
      </c>
      <c r="D355" t="str">
        <f>_xlfn.XLOOKUP(A355,Vendor_Master!A355,Vendor_Master!D355,"")</f>
        <v>North</v>
      </c>
      <c r="E355">
        <f>_xlfn.XLOOKUP(A355,Vendor_Master!A355,Vendor_Master!E355,0)</f>
        <v>94882</v>
      </c>
      <c r="F355" t="str">
        <f>_xlfn.XLOOKUP(A355,Vendor_Master!A355,Vendor_Master!H355,"")</f>
        <v>contact354@vendor.com</v>
      </c>
      <c r="G355">
        <f ca="1">COUNTIFS(Sustainability_Documents!$A:$A,$A355,Sustainability_Documents!$H:$H,"Missing")</f>
        <v>4</v>
      </c>
      <c r="H355">
        <f ca="1">COUNTIFS(Sustainability_Documents!$A:$A,$A355,Sustainability_Documents!$H:$H,"Expired")</f>
        <v>0</v>
      </c>
      <c r="I355">
        <f ca="1">COUNTIFS(Sustainability_Documents!$A:$A,$A355,Sustainability_Documents!$H:$H,"Expiring Soon")</f>
        <v>0</v>
      </c>
      <c r="J355">
        <f>COUNTIFS(Sustainability_Documents!$A:$A,$A355,Sustainability_Documents!$C:$C,"Yes")</f>
        <v>4</v>
      </c>
      <c r="K355">
        <f ca="1">IF($J355=0,"",($J355-$G355-$H355)/$J355)</f>
        <v>0</v>
      </c>
      <c r="L355">
        <f ca="1">COUNTIFS(OutReach_Log!$A:$A,$A355,OutReach_Log!$G:$G,"Yes")</f>
        <v>1</v>
      </c>
      <c r="M355">
        <f>COUNTIFS(OutReach_Log!$A:$A,$A355,OutReach_Log!$E:$E,"Pending")
 +COUNTIFS(OutReach_Log!$A:$A,$A355,OutReach_Log!$E:$E,"Escalated")</f>
        <v>0</v>
      </c>
      <c r="N355">
        <f>COUNTIFS(Incident_Log!$A:$A,$A355,Incident_Log!$C:$C,"High",Incident_Log!$E:$E,"No")</f>
        <v>0</v>
      </c>
      <c r="O355" t="str">
        <f t="shared" ca="1" si="5"/>
        <v>Attention Required</v>
      </c>
      <c r="P355">
        <f ca="1">($G355*40)+($H355*30)+($I355*10)+($N355*50)+IF($L355&gt;0,20,0)</f>
        <v>180</v>
      </c>
      <c r="Q355">
        <f ca="1">E355*(P355/100)</f>
        <v>170787.6</v>
      </c>
      <c r="R355">
        <f ca="1">_xlfn.RANK.EQ($Q355,$Q$2:$Q$401,0)</f>
        <v>131</v>
      </c>
    </row>
    <row r="356" spans="1:18">
      <c r="A356" t="str" cm="1">
        <f t="array" ref="A356">_xlfn._xlws.SORT(Vendor_Master!A356)</f>
        <v>VND-355</v>
      </c>
      <c r="B356" t="str">
        <f>_xlfn.XLOOKUP(Compliance_Sheet!A356,Vendor_Master!A356,Vendor_Master!B356,"")</f>
        <v>Vendor_355</v>
      </c>
      <c r="C356" t="str">
        <f>_xlfn.XLOOKUP(A356,Vendor_Master!A356,Vendor_Master!C356,"")</f>
        <v>Equipment Maintenance</v>
      </c>
      <c r="D356" t="str">
        <f>_xlfn.XLOOKUP(A356,Vendor_Master!A356,Vendor_Master!D356,"")</f>
        <v>North</v>
      </c>
      <c r="E356">
        <f>_xlfn.XLOOKUP(A356,Vendor_Master!A356,Vendor_Master!E356,0)</f>
        <v>214095</v>
      </c>
      <c r="F356" t="str">
        <f>_xlfn.XLOOKUP(A356,Vendor_Master!A356,Vendor_Master!H356,"")</f>
        <v>contact355@vendor.com</v>
      </c>
      <c r="G356">
        <f ca="1">COUNTIFS(Sustainability_Documents!$A:$A,$A356,Sustainability_Documents!$H:$H,"Missing")</f>
        <v>4</v>
      </c>
      <c r="H356">
        <f ca="1">COUNTIFS(Sustainability_Documents!$A:$A,$A356,Sustainability_Documents!$H:$H,"Expired")</f>
        <v>0</v>
      </c>
      <c r="I356">
        <f ca="1">COUNTIFS(Sustainability_Documents!$A:$A,$A356,Sustainability_Documents!$H:$H,"Expiring Soon")</f>
        <v>0</v>
      </c>
      <c r="J356">
        <f>COUNTIFS(Sustainability_Documents!$A:$A,$A356,Sustainability_Documents!$C:$C,"Yes")</f>
        <v>4</v>
      </c>
      <c r="K356">
        <f ca="1">IF($J356=0,"",($J356-$G356-$H356)/$J356)</f>
        <v>0</v>
      </c>
      <c r="L356">
        <f ca="1">COUNTIFS(OutReach_Log!$A:$A,$A356,OutReach_Log!$G:$G,"Yes")</f>
        <v>1</v>
      </c>
      <c r="M356">
        <f>COUNTIFS(OutReach_Log!$A:$A,$A356,OutReach_Log!$E:$E,"Pending")
 +COUNTIFS(OutReach_Log!$A:$A,$A356,OutReach_Log!$E:$E,"Escalated")</f>
        <v>0</v>
      </c>
      <c r="N356">
        <f>COUNTIFS(Incident_Log!$A:$A,$A356,Incident_Log!$C:$C,"High",Incident_Log!$E:$E,"No")</f>
        <v>0</v>
      </c>
      <c r="O356" t="str">
        <f t="shared" ca="1" si="5"/>
        <v>Attention Required</v>
      </c>
      <c r="P356">
        <f ca="1">($G356*40)+($H356*30)+($I356*10)+($N356*50)+IF($L356&gt;0,20,0)</f>
        <v>180</v>
      </c>
      <c r="Q356">
        <f ca="1">E356*(P356/100)</f>
        <v>385371</v>
      </c>
      <c r="R356">
        <f ca="1">_xlfn.RANK.EQ($Q356,$Q$2:$Q$401,0)</f>
        <v>88</v>
      </c>
    </row>
    <row r="357" spans="1:18">
      <c r="A357" t="str" cm="1">
        <f t="array" ref="A357">_xlfn._xlws.SORT(Vendor_Master!A357)</f>
        <v>VND-356</v>
      </c>
      <c r="B357" t="str">
        <f>_xlfn.XLOOKUP(Compliance_Sheet!A357,Vendor_Master!A357,Vendor_Master!B357,"")</f>
        <v>Vendor_356</v>
      </c>
      <c r="C357" t="str">
        <f>_xlfn.XLOOKUP(A357,Vendor_Master!A357,Vendor_Master!C357,"")</f>
        <v>Equipment Maintenance</v>
      </c>
      <c r="D357" t="str">
        <f>_xlfn.XLOOKUP(A357,Vendor_Master!A357,Vendor_Master!D357,"")</f>
        <v>North</v>
      </c>
      <c r="E357">
        <f>_xlfn.XLOOKUP(A357,Vendor_Master!A357,Vendor_Master!E357,0)</f>
        <v>200428</v>
      </c>
      <c r="F357" t="str">
        <f>_xlfn.XLOOKUP(A357,Vendor_Master!A357,Vendor_Master!H357,"")</f>
        <v>contact356@vendor.com</v>
      </c>
      <c r="G357">
        <f ca="1">COUNTIFS(Sustainability_Documents!$A:$A,$A357,Sustainability_Documents!$H:$H,"Missing")</f>
        <v>4</v>
      </c>
      <c r="H357">
        <f ca="1">COUNTIFS(Sustainability_Documents!$A:$A,$A357,Sustainability_Documents!$H:$H,"Expired")</f>
        <v>0</v>
      </c>
      <c r="I357">
        <f ca="1">COUNTIFS(Sustainability_Documents!$A:$A,$A357,Sustainability_Documents!$H:$H,"Expiring Soon")</f>
        <v>0</v>
      </c>
      <c r="J357">
        <f>COUNTIFS(Sustainability_Documents!$A:$A,$A357,Sustainability_Documents!$C:$C,"Yes")</f>
        <v>4</v>
      </c>
      <c r="K357">
        <f ca="1">IF($J357=0,"",($J357-$G357-$H357)/$J357)</f>
        <v>0</v>
      </c>
      <c r="L357">
        <f ca="1">COUNTIFS(OutReach_Log!$A:$A,$A357,OutReach_Log!$G:$G,"Yes")</f>
        <v>1</v>
      </c>
      <c r="M357">
        <f>COUNTIFS(OutReach_Log!$A:$A,$A357,OutReach_Log!$E:$E,"Pending")
 +COUNTIFS(OutReach_Log!$A:$A,$A357,OutReach_Log!$E:$E,"Escalated")</f>
        <v>1</v>
      </c>
      <c r="N357">
        <f>COUNTIFS(Incident_Log!$A:$A,$A357,Incident_Log!$C:$C,"High",Incident_Log!$E:$E,"No")</f>
        <v>0</v>
      </c>
      <c r="O357" t="str">
        <f t="shared" ca="1" si="5"/>
        <v>Attention Required</v>
      </c>
      <c r="P357">
        <f ca="1">($G357*40)+($H357*30)+($I357*10)+($N357*50)+IF($L357&gt;0,20,0)</f>
        <v>180</v>
      </c>
      <c r="Q357">
        <f ca="1">E357*(P357/100)</f>
        <v>360770.4</v>
      </c>
      <c r="R357">
        <f ca="1">_xlfn.RANK.EQ($Q357,$Q$2:$Q$401,0)</f>
        <v>94</v>
      </c>
    </row>
    <row r="358" spans="1:18">
      <c r="A358" t="str" cm="1">
        <f t="array" ref="A358">_xlfn._xlws.SORT(Vendor_Master!A358)</f>
        <v>VND-357</v>
      </c>
      <c r="B358" t="str">
        <f>_xlfn.XLOOKUP(Compliance_Sheet!A358,Vendor_Master!A358,Vendor_Master!B358,"")</f>
        <v>Vendor_357</v>
      </c>
      <c r="C358" t="str">
        <f>_xlfn.XLOOKUP(A358,Vendor_Master!A358,Vendor_Master!C358,"")</f>
        <v>Equipment Maintenance</v>
      </c>
      <c r="D358" t="str">
        <f>_xlfn.XLOOKUP(A358,Vendor_Master!A358,Vendor_Master!D358,"")</f>
        <v>North</v>
      </c>
      <c r="E358">
        <f>_xlfn.XLOOKUP(A358,Vendor_Master!A358,Vendor_Master!E358,0)</f>
        <v>221957</v>
      </c>
      <c r="F358" t="str">
        <f>_xlfn.XLOOKUP(A358,Vendor_Master!A358,Vendor_Master!H358,"")</f>
        <v>contact357@vendor.com</v>
      </c>
      <c r="G358">
        <f ca="1">COUNTIFS(Sustainability_Documents!$A:$A,$A358,Sustainability_Documents!$H:$H,"Missing")</f>
        <v>4</v>
      </c>
      <c r="H358">
        <f ca="1">COUNTIFS(Sustainability_Documents!$A:$A,$A358,Sustainability_Documents!$H:$H,"Expired")</f>
        <v>0</v>
      </c>
      <c r="I358">
        <f ca="1">COUNTIFS(Sustainability_Documents!$A:$A,$A358,Sustainability_Documents!$H:$H,"Expiring Soon")</f>
        <v>0</v>
      </c>
      <c r="J358">
        <f>COUNTIFS(Sustainability_Documents!$A:$A,$A358,Sustainability_Documents!$C:$C,"Yes")</f>
        <v>4</v>
      </c>
      <c r="K358">
        <f ca="1">IF($J358=0,"",($J358-$G358-$H358)/$J358)</f>
        <v>0</v>
      </c>
      <c r="L358">
        <f ca="1">COUNTIFS(OutReach_Log!$A:$A,$A358,OutReach_Log!$G:$G,"Yes")</f>
        <v>1</v>
      </c>
      <c r="M358">
        <f>COUNTIFS(OutReach_Log!$A:$A,$A358,OutReach_Log!$E:$E,"Pending")
 +COUNTIFS(OutReach_Log!$A:$A,$A358,OutReach_Log!$E:$E,"Escalated")</f>
        <v>1</v>
      </c>
      <c r="N358">
        <f>COUNTIFS(Incident_Log!$A:$A,$A358,Incident_Log!$C:$C,"High",Incident_Log!$E:$E,"No")</f>
        <v>0</v>
      </c>
      <c r="O358" t="str">
        <f t="shared" ca="1" si="5"/>
        <v>Attention Required</v>
      </c>
      <c r="P358">
        <f ca="1">($G358*40)+($H358*30)+($I358*10)+($N358*50)+IF($L358&gt;0,20,0)</f>
        <v>180</v>
      </c>
      <c r="Q358">
        <f ca="1">E358*(P358/100)</f>
        <v>399522.60000000003</v>
      </c>
      <c r="R358">
        <f ca="1">_xlfn.RANK.EQ($Q358,$Q$2:$Q$401,0)</f>
        <v>83</v>
      </c>
    </row>
    <row r="359" spans="1:18">
      <c r="A359" t="str" cm="1">
        <f t="array" ref="A359">_xlfn._xlws.SORT(Vendor_Master!A359)</f>
        <v>VND-358</v>
      </c>
      <c r="B359" t="str">
        <f>_xlfn.XLOOKUP(Compliance_Sheet!A359,Vendor_Master!A359,Vendor_Master!B359,"")</f>
        <v>Vendor_358</v>
      </c>
      <c r="C359" t="str">
        <f>_xlfn.XLOOKUP(A359,Vendor_Master!A359,Vendor_Master!C359,"")</f>
        <v>Equipment Maintenance</v>
      </c>
      <c r="D359" t="str">
        <f>_xlfn.XLOOKUP(A359,Vendor_Master!A359,Vendor_Master!D359,"")</f>
        <v>North</v>
      </c>
      <c r="E359">
        <f>_xlfn.XLOOKUP(A359,Vendor_Master!A359,Vendor_Master!E359,0)</f>
        <v>198854</v>
      </c>
      <c r="F359" t="str">
        <f>_xlfn.XLOOKUP(A359,Vendor_Master!A359,Vendor_Master!H359,"")</f>
        <v>contact358@vendor.com</v>
      </c>
      <c r="G359">
        <f ca="1">COUNTIFS(Sustainability_Documents!$A:$A,$A359,Sustainability_Documents!$H:$H,"Missing")</f>
        <v>4</v>
      </c>
      <c r="H359">
        <f ca="1">COUNTIFS(Sustainability_Documents!$A:$A,$A359,Sustainability_Documents!$H:$H,"Expired")</f>
        <v>0</v>
      </c>
      <c r="I359">
        <f ca="1">COUNTIFS(Sustainability_Documents!$A:$A,$A359,Sustainability_Documents!$H:$H,"Expiring Soon")</f>
        <v>0</v>
      </c>
      <c r="J359">
        <f>COUNTIFS(Sustainability_Documents!$A:$A,$A359,Sustainability_Documents!$C:$C,"Yes")</f>
        <v>4</v>
      </c>
      <c r="K359">
        <f ca="1">IF($J359=0,"",($J359-$G359-$H359)/$J359)</f>
        <v>0</v>
      </c>
      <c r="L359">
        <f ca="1">COUNTIFS(OutReach_Log!$A:$A,$A359,OutReach_Log!$G:$G,"Yes")</f>
        <v>1</v>
      </c>
      <c r="M359">
        <f>COUNTIFS(OutReach_Log!$A:$A,$A359,OutReach_Log!$E:$E,"Pending")
 +COUNTIFS(OutReach_Log!$A:$A,$A359,OutReach_Log!$E:$E,"Escalated")</f>
        <v>1</v>
      </c>
      <c r="N359">
        <f>COUNTIFS(Incident_Log!$A:$A,$A359,Incident_Log!$C:$C,"High",Incident_Log!$E:$E,"No")</f>
        <v>0</v>
      </c>
      <c r="O359" t="str">
        <f t="shared" ca="1" si="5"/>
        <v>Attention Required</v>
      </c>
      <c r="P359">
        <f ca="1">($G359*40)+($H359*30)+($I359*10)+($N359*50)+IF($L359&gt;0,20,0)</f>
        <v>180</v>
      </c>
      <c r="Q359">
        <f ca="1">E359*(P359/100)</f>
        <v>357937.2</v>
      </c>
      <c r="R359">
        <f ca="1">_xlfn.RANK.EQ($Q359,$Q$2:$Q$401,0)</f>
        <v>96</v>
      </c>
    </row>
    <row r="360" spans="1:18">
      <c r="A360" t="str" cm="1">
        <f t="array" ref="A360">_xlfn._xlws.SORT(Vendor_Master!A360)</f>
        <v>VND-359</v>
      </c>
      <c r="B360" t="str">
        <f>_xlfn.XLOOKUP(Compliance_Sheet!A360,Vendor_Master!A360,Vendor_Master!B360,"")</f>
        <v>Vendor_359</v>
      </c>
      <c r="C360" t="str">
        <f>_xlfn.XLOOKUP(A360,Vendor_Master!A360,Vendor_Master!C360,"")</f>
        <v>Equipment Maintenance</v>
      </c>
      <c r="D360" t="str">
        <f>_xlfn.XLOOKUP(A360,Vendor_Master!A360,Vendor_Master!D360,"")</f>
        <v>North</v>
      </c>
      <c r="E360">
        <f>_xlfn.XLOOKUP(A360,Vendor_Master!A360,Vendor_Master!E360,0)</f>
        <v>74823</v>
      </c>
      <c r="F360" t="str">
        <f>_xlfn.XLOOKUP(A360,Vendor_Master!A360,Vendor_Master!H360,"")</f>
        <v>contact359@vendor.com</v>
      </c>
      <c r="G360">
        <f ca="1">COUNTIFS(Sustainability_Documents!$A:$A,$A360,Sustainability_Documents!$H:$H,"Missing")</f>
        <v>4</v>
      </c>
      <c r="H360">
        <f ca="1">COUNTIFS(Sustainability_Documents!$A:$A,$A360,Sustainability_Documents!$H:$H,"Expired")</f>
        <v>0</v>
      </c>
      <c r="I360">
        <f ca="1">COUNTIFS(Sustainability_Documents!$A:$A,$A360,Sustainability_Documents!$H:$H,"Expiring Soon")</f>
        <v>0</v>
      </c>
      <c r="J360">
        <f>COUNTIFS(Sustainability_Documents!$A:$A,$A360,Sustainability_Documents!$C:$C,"Yes")</f>
        <v>4</v>
      </c>
      <c r="K360">
        <f ca="1">IF($J360=0,"",($J360-$G360-$H360)/$J360)</f>
        <v>0</v>
      </c>
      <c r="L360">
        <f ca="1">COUNTIFS(OutReach_Log!$A:$A,$A360,OutReach_Log!$G:$G,"Yes")</f>
        <v>1</v>
      </c>
      <c r="M360">
        <f>COUNTIFS(OutReach_Log!$A:$A,$A360,OutReach_Log!$E:$E,"Pending")
 +COUNTIFS(OutReach_Log!$A:$A,$A360,OutReach_Log!$E:$E,"Escalated")</f>
        <v>0</v>
      </c>
      <c r="N360">
        <f>COUNTIFS(Incident_Log!$A:$A,$A360,Incident_Log!$C:$C,"High",Incident_Log!$E:$E,"No")</f>
        <v>0</v>
      </c>
      <c r="O360" t="str">
        <f t="shared" ca="1" si="5"/>
        <v>Attention Required</v>
      </c>
      <c r="P360">
        <f ca="1">($G360*40)+($H360*30)+($I360*10)+($N360*50)+IF($L360&gt;0,20,0)</f>
        <v>180</v>
      </c>
      <c r="Q360">
        <f ca="1">E360*(P360/100)</f>
        <v>134681.4</v>
      </c>
      <c r="R360">
        <f ca="1">_xlfn.RANK.EQ($Q360,$Q$2:$Q$401,0)</f>
        <v>138</v>
      </c>
    </row>
    <row r="361" spans="1:18">
      <c r="A361" t="str" cm="1">
        <f t="array" ref="A361">_xlfn._xlws.SORT(Vendor_Master!A361)</f>
        <v>VND-360</v>
      </c>
      <c r="B361" t="str">
        <f>_xlfn.XLOOKUP(Compliance_Sheet!A361,Vendor_Master!A361,Vendor_Master!B361,"")</f>
        <v>Vendor_360</v>
      </c>
      <c r="C361" t="str">
        <f>_xlfn.XLOOKUP(A361,Vendor_Master!A361,Vendor_Master!C361,"")</f>
        <v>Equipment Maintenance</v>
      </c>
      <c r="D361" t="str">
        <f>_xlfn.XLOOKUP(A361,Vendor_Master!A361,Vendor_Master!D361,"")</f>
        <v>North</v>
      </c>
      <c r="E361">
        <f>_xlfn.XLOOKUP(A361,Vendor_Master!A361,Vendor_Master!E361,0)</f>
        <v>71850</v>
      </c>
      <c r="F361" t="str">
        <f>_xlfn.XLOOKUP(A361,Vendor_Master!A361,Vendor_Master!H361,"")</f>
        <v>contact360@vendor.com</v>
      </c>
      <c r="G361">
        <f ca="1">COUNTIFS(Sustainability_Documents!$A:$A,$A361,Sustainability_Documents!$H:$H,"Missing")</f>
        <v>4</v>
      </c>
      <c r="H361">
        <f ca="1">COUNTIFS(Sustainability_Documents!$A:$A,$A361,Sustainability_Documents!$H:$H,"Expired")</f>
        <v>0</v>
      </c>
      <c r="I361">
        <f ca="1">COUNTIFS(Sustainability_Documents!$A:$A,$A361,Sustainability_Documents!$H:$H,"Expiring Soon")</f>
        <v>0</v>
      </c>
      <c r="J361">
        <f>COUNTIFS(Sustainability_Documents!$A:$A,$A361,Sustainability_Documents!$C:$C,"Yes")</f>
        <v>4</v>
      </c>
      <c r="K361">
        <f ca="1">IF($J361=0,"",($J361-$G361-$H361)/$J361)</f>
        <v>0</v>
      </c>
      <c r="L361">
        <f ca="1">COUNTIFS(OutReach_Log!$A:$A,$A361,OutReach_Log!$G:$G,"Yes")</f>
        <v>1</v>
      </c>
      <c r="M361">
        <f>COUNTIFS(OutReach_Log!$A:$A,$A361,OutReach_Log!$E:$E,"Pending")
 +COUNTIFS(OutReach_Log!$A:$A,$A361,OutReach_Log!$E:$E,"Escalated")</f>
        <v>0</v>
      </c>
      <c r="N361">
        <f>COUNTIFS(Incident_Log!$A:$A,$A361,Incident_Log!$C:$C,"High",Incident_Log!$E:$E,"No")</f>
        <v>0</v>
      </c>
      <c r="O361" t="str">
        <f t="shared" ca="1" si="5"/>
        <v>Attention Required</v>
      </c>
      <c r="P361">
        <f ca="1">($G361*40)+($H361*30)+($I361*10)+($N361*50)+IF($L361&gt;0,20,0)</f>
        <v>180</v>
      </c>
      <c r="Q361">
        <f ca="1">E361*(P361/100)</f>
        <v>129330</v>
      </c>
      <c r="R361">
        <f ca="1">_xlfn.RANK.EQ($Q361,$Q$2:$Q$401,0)</f>
        <v>141</v>
      </c>
    </row>
    <row r="362" spans="1:18">
      <c r="A362" t="str" cm="1">
        <f t="array" ref="A362">_xlfn._xlws.SORT(Vendor_Master!A362)</f>
        <v>VND-361</v>
      </c>
      <c r="B362" t="str">
        <f>_xlfn.XLOOKUP(Compliance_Sheet!A362,Vendor_Master!A362,Vendor_Master!B362,"")</f>
        <v>Vendor_361</v>
      </c>
      <c r="C362" t="str">
        <f>_xlfn.XLOOKUP(A362,Vendor_Master!A362,Vendor_Master!C362,"")</f>
        <v>Equipment Maintenance</v>
      </c>
      <c r="D362" t="str">
        <f>_xlfn.XLOOKUP(A362,Vendor_Master!A362,Vendor_Master!D362,"")</f>
        <v>North</v>
      </c>
      <c r="E362">
        <f>_xlfn.XLOOKUP(A362,Vendor_Master!A362,Vendor_Master!E362,0)</f>
        <v>136346</v>
      </c>
      <c r="F362" t="str">
        <f>_xlfn.XLOOKUP(A362,Vendor_Master!A362,Vendor_Master!H362,"")</f>
        <v>contact361@vendor.com</v>
      </c>
      <c r="G362">
        <f ca="1">COUNTIFS(Sustainability_Documents!$A:$A,$A362,Sustainability_Documents!$H:$H,"Missing")</f>
        <v>4</v>
      </c>
      <c r="H362">
        <f ca="1">COUNTIFS(Sustainability_Documents!$A:$A,$A362,Sustainability_Documents!$H:$H,"Expired")</f>
        <v>0</v>
      </c>
      <c r="I362">
        <f ca="1">COUNTIFS(Sustainability_Documents!$A:$A,$A362,Sustainability_Documents!$H:$H,"Expiring Soon")</f>
        <v>0</v>
      </c>
      <c r="J362">
        <f>COUNTIFS(Sustainability_Documents!$A:$A,$A362,Sustainability_Documents!$C:$C,"Yes")</f>
        <v>4</v>
      </c>
      <c r="K362">
        <f ca="1">IF($J362=0,"",($J362-$G362-$H362)/$J362)</f>
        <v>0</v>
      </c>
      <c r="L362">
        <f ca="1">COUNTIFS(OutReach_Log!$A:$A,$A362,OutReach_Log!$G:$G,"Yes")</f>
        <v>1</v>
      </c>
      <c r="M362">
        <f>COUNTIFS(OutReach_Log!$A:$A,$A362,OutReach_Log!$E:$E,"Pending")
 +COUNTIFS(OutReach_Log!$A:$A,$A362,OutReach_Log!$E:$E,"Escalated")</f>
        <v>0</v>
      </c>
      <c r="N362">
        <f>COUNTIFS(Incident_Log!$A:$A,$A362,Incident_Log!$C:$C,"High",Incident_Log!$E:$E,"No")</f>
        <v>0</v>
      </c>
      <c r="O362" t="str">
        <f t="shared" ca="1" si="5"/>
        <v>Attention Required</v>
      </c>
      <c r="P362">
        <f ca="1">($G362*40)+($H362*30)+($I362*10)+($N362*50)+IF($L362&gt;0,20,0)</f>
        <v>180</v>
      </c>
      <c r="Q362">
        <f ca="1">E362*(P362/100)</f>
        <v>245422.80000000002</v>
      </c>
      <c r="R362">
        <f ca="1">_xlfn.RANK.EQ($Q362,$Q$2:$Q$401,0)</f>
        <v>112</v>
      </c>
    </row>
    <row r="363" spans="1:18">
      <c r="A363" t="str" cm="1">
        <f t="array" ref="A363">_xlfn._xlws.SORT(Vendor_Master!A363)</f>
        <v>VND-362</v>
      </c>
      <c r="B363" t="str">
        <f>_xlfn.XLOOKUP(Compliance_Sheet!A363,Vendor_Master!A363,Vendor_Master!B363,"")</f>
        <v>Vendor_362</v>
      </c>
      <c r="C363" t="str">
        <f>_xlfn.XLOOKUP(A363,Vendor_Master!A363,Vendor_Master!C363,"")</f>
        <v>Equipment Maintenance</v>
      </c>
      <c r="D363" t="str">
        <f>_xlfn.XLOOKUP(A363,Vendor_Master!A363,Vendor_Master!D363,"")</f>
        <v>North</v>
      </c>
      <c r="E363">
        <f>_xlfn.XLOOKUP(A363,Vendor_Master!A363,Vendor_Master!E363,0)</f>
        <v>191543</v>
      </c>
      <c r="F363" t="str">
        <f>_xlfn.XLOOKUP(A363,Vendor_Master!A363,Vendor_Master!H363,"")</f>
        <v>contact362@vendor.com</v>
      </c>
      <c r="G363">
        <f ca="1">COUNTIFS(Sustainability_Documents!$A:$A,$A363,Sustainability_Documents!$H:$H,"Missing")</f>
        <v>4</v>
      </c>
      <c r="H363">
        <f ca="1">COUNTIFS(Sustainability_Documents!$A:$A,$A363,Sustainability_Documents!$H:$H,"Expired")</f>
        <v>0</v>
      </c>
      <c r="I363">
        <f ca="1">COUNTIFS(Sustainability_Documents!$A:$A,$A363,Sustainability_Documents!$H:$H,"Expiring Soon")</f>
        <v>0</v>
      </c>
      <c r="J363">
        <f>COUNTIFS(Sustainability_Documents!$A:$A,$A363,Sustainability_Documents!$C:$C,"Yes")</f>
        <v>4</v>
      </c>
      <c r="K363">
        <f ca="1">IF($J363=0,"",($J363-$G363-$H363)/$J363)</f>
        <v>0</v>
      </c>
      <c r="L363">
        <f ca="1">COUNTIFS(OutReach_Log!$A:$A,$A363,OutReach_Log!$G:$G,"Yes")</f>
        <v>1</v>
      </c>
      <c r="M363">
        <f>COUNTIFS(OutReach_Log!$A:$A,$A363,OutReach_Log!$E:$E,"Pending")
 +COUNTIFS(OutReach_Log!$A:$A,$A363,OutReach_Log!$E:$E,"Escalated")</f>
        <v>0</v>
      </c>
      <c r="N363">
        <f>COUNTIFS(Incident_Log!$A:$A,$A363,Incident_Log!$C:$C,"High",Incident_Log!$E:$E,"No")</f>
        <v>0</v>
      </c>
      <c r="O363" t="str">
        <f t="shared" ca="1" si="5"/>
        <v>Attention Required</v>
      </c>
      <c r="P363">
        <f ca="1">($G363*40)+($H363*30)+($I363*10)+($N363*50)+IF($L363&gt;0,20,0)</f>
        <v>180</v>
      </c>
      <c r="Q363">
        <f ca="1">E363*(P363/100)</f>
        <v>344777.4</v>
      </c>
      <c r="R363">
        <f ca="1">_xlfn.RANK.EQ($Q363,$Q$2:$Q$401,0)</f>
        <v>97</v>
      </c>
    </row>
    <row r="364" spans="1:18">
      <c r="A364" t="str" cm="1">
        <f t="array" ref="A364">_xlfn._xlws.SORT(Vendor_Master!A364)</f>
        <v>VND-363</v>
      </c>
      <c r="B364" t="str">
        <f>_xlfn.XLOOKUP(Compliance_Sheet!A364,Vendor_Master!A364,Vendor_Master!B364,"")</f>
        <v>Vendor_363</v>
      </c>
      <c r="C364" t="str">
        <f>_xlfn.XLOOKUP(A364,Vendor_Master!A364,Vendor_Master!C364,"")</f>
        <v>Equipment Maintenance</v>
      </c>
      <c r="D364" t="str">
        <f>_xlfn.XLOOKUP(A364,Vendor_Master!A364,Vendor_Master!D364,"")</f>
        <v>North</v>
      </c>
      <c r="E364">
        <f>_xlfn.XLOOKUP(A364,Vendor_Master!A364,Vendor_Master!E364,0)</f>
        <v>249374</v>
      </c>
      <c r="F364" t="str">
        <f>_xlfn.XLOOKUP(A364,Vendor_Master!A364,Vendor_Master!H364,"")</f>
        <v>contact363@vendor.com</v>
      </c>
      <c r="G364">
        <f ca="1">COUNTIFS(Sustainability_Documents!$A:$A,$A364,Sustainability_Documents!$H:$H,"Missing")</f>
        <v>4</v>
      </c>
      <c r="H364">
        <f ca="1">COUNTIFS(Sustainability_Documents!$A:$A,$A364,Sustainability_Documents!$H:$H,"Expired")</f>
        <v>0</v>
      </c>
      <c r="I364">
        <f ca="1">COUNTIFS(Sustainability_Documents!$A:$A,$A364,Sustainability_Documents!$H:$H,"Expiring Soon")</f>
        <v>0</v>
      </c>
      <c r="J364">
        <f>COUNTIFS(Sustainability_Documents!$A:$A,$A364,Sustainability_Documents!$C:$C,"Yes")</f>
        <v>4</v>
      </c>
      <c r="K364">
        <f ca="1">IF($J364=0,"",($J364-$G364-$H364)/$J364)</f>
        <v>0</v>
      </c>
      <c r="L364">
        <f ca="1">COUNTIFS(OutReach_Log!$A:$A,$A364,OutReach_Log!$G:$G,"Yes")</f>
        <v>1</v>
      </c>
      <c r="M364">
        <f>COUNTIFS(OutReach_Log!$A:$A,$A364,OutReach_Log!$E:$E,"Pending")
 +COUNTIFS(OutReach_Log!$A:$A,$A364,OutReach_Log!$E:$E,"Escalated")</f>
        <v>1</v>
      </c>
      <c r="N364">
        <f>COUNTIFS(Incident_Log!$A:$A,$A364,Incident_Log!$C:$C,"High",Incident_Log!$E:$E,"No")</f>
        <v>0</v>
      </c>
      <c r="O364" t="str">
        <f t="shared" ca="1" si="5"/>
        <v>Attention Required</v>
      </c>
      <c r="P364">
        <f ca="1">($G364*40)+($H364*30)+($I364*10)+($N364*50)+IF($L364&gt;0,20,0)</f>
        <v>180</v>
      </c>
      <c r="Q364">
        <f ca="1">E364*(P364/100)</f>
        <v>448873.2</v>
      </c>
      <c r="R364">
        <f ca="1">_xlfn.RANK.EQ($Q364,$Q$2:$Q$401,0)</f>
        <v>71</v>
      </c>
    </row>
    <row r="365" spans="1:18">
      <c r="A365" t="str" cm="1">
        <f t="array" ref="A365">_xlfn._xlws.SORT(Vendor_Master!A365)</f>
        <v>VND-364</v>
      </c>
      <c r="B365" t="str">
        <f>_xlfn.XLOOKUP(Compliance_Sheet!A365,Vendor_Master!A365,Vendor_Master!B365,"")</f>
        <v>Vendor_364</v>
      </c>
      <c r="C365" t="str">
        <f>_xlfn.XLOOKUP(A365,Vendor_Master!A365,Vendor_Master!C365,"")</f>
        <v>Equipment Maintenance</v>
      </c>
      <c r="D365" t="str">
        <f>_xlfn.XLOOKUP(A365,Vendor_Master!A365,Vendor_Master!D365,"")</f>
        <v>North</v>
      </c>
      <c r="E365">
        <f>_xlfn.XLOOKUP(A365,Vendor_Master!A365,Vendor_Master!E365,0)</f>
        <v>106403</v>
      </c>
      <c r="F365" t="str">
        <f>_xlfn.XLOOKUP(A365,Vendor_Master!A365,Vendor_Master!H365,"")</f>
        <v>contact364@vendor.com</v>
      </c>
      <c r="G365">
        <f ca="1">COUNTIFS(Sustainability_Documents!$A:$A,$A365,Sustainability_Documents!$H:$H,"Missing")</f>
        <v>4</v>
      </c>
      <c r="H365">
        <f ca="1">COUNTIFS(Sustainability_Documents!$A:$A,$A365,Sustainability_Documents!$H:$H,"Expired")</f>
        <v>0</v>
      </c>
      <c r="I365">
        <f ca="1">COUNTIFS(Sustainability_Documents!$A:$A,$A365,Sustainability_Documents!$H:$H,"Expiring Soon")</f>
        <v>0</v>
      </c>
      <c r="J365">
        <f>COUNTIFS(Sustainability_Documents!$A:$A,$A365,Sustainability_Documents!$C:$C,"Yes")</f>
        <v>4</v>
      </c>
      <c r="K365">
        <f ca="1">IF($J365=0,"",($J365-$G365-$H365)/$J365)</f>
        <v>0</v>
      </c>
      <c r="L365">
        <f ca="1">COUNTIFS(OutReach_Log!$A:$A,$A365,OutReach_Log!$G:$G,"Yes")</f>
        <v>1</v>
      </c>
      <c r="M365">
        <f>COUNTIFS(OutReach_Log!$A:$A,$A365,OutReach_Log!$E:$E,"Pending")
 +COUNTIFS(OutReach_Log!$A:$A,$A365,OutReach_Log!$E:$E,"Escalated")</f>
        <v>1</v>
      </c>
      <c r="N365">
        <f>COUNTIFS(Incident_Log!$A:$A,$A365,Incident_Log!$C:$C,"High",Incident_Log!$E:$E,"No")</f>
        <v>0</v>
      </c>
      <c r="O365" t="str">
        <f t="shared" ca="1" si="5"/>
        <v>Attention Required</v>
      </c>
      <c r="P365">
        <f ca="1">($G365*40)+($H365*30)+($I365*10)+($N365*50)+IF($L365&gt;0,20,0)</f>
        <v>180</v>
      </c>
      <c r="Q365">
        <f ca="1">E365*(P365/100)</f>
        <v>191525.4</v>
      </c>
      <c r="R365">
        <f ca="1">_xlfn.RANK.EQ($Q365,$Q$2:$Q$401,0)</f>
        <v>123</v>
      </c>
    </row>
    <row r="366" spans="1:18">
      <c r="A366" t="str" cm="1">
        <f t="array" ref="A366">_xlfn._xlws.SORT(Vendor_Master!A366)</f>
        <v>VND-365</v>
      </c>
      <c r="B366" t="str">
        <f>_xlfn.XLOOKUP(Compliance_Sheet!A366,Vendor_Master!A366,Vendor_Master!B366,"")</f>
        <v>Vendor_365</v>
      </c>
      <c r="C366" t="str">
        <f>_xlfn.XLOOKUP(A366,Vendor_Master!A366,Vendor_Master!C366,"")</f>
        <v>Equipment Maintenance</v>
      </c>
      <c r="D366" t="str">
        <f>_xlfn.XLOOKUP(A366,Vendor_Master!A366,Vendor_Master!D366,"")</f>
        <v>North</v>
      </c>
      <c r="E366">
        <f>_xlfn.XLOOKUP(A366,Vendor_Master!A366,Vendor_Master!E366,0)</f>
        <v>90592</v>
      </c>
      <c r="F366" t="str">
        <f>_xlfn.XLOOKUP(A366,Vendor_Master!A366,Vendor_Master!H366,"")</f>
        <v>contact365@vendor.com</v>
      </c>
      <c r="G366">
        <f ca="1">COUNTIFS(Sustainability_Documents!$A:$A,$A366,Sustainability_Documents!$H:$H,"Missing")</f>
        <v>4</v>
      </c>
      <c r="H366">
        <f ca="1">COUNTIFS(Sustainability_Documents!$A:$A,$A366,Sustainability_Documents!$H:$H,"Expired")</f>
        <v>0</v>
      </c>
      <c r="I366">
        <f ca="1">COUNTIFS(Sustainability_Documents!$A:$A,$A366,Sustainability_Documents!$H:$H,"Expiring Soon")</f>
        <v>0</v>
      </c>
      <c r="J366">
        <f>COUNTIFS(Sustainability_Documents!$A:$A,$A366,Sustainability_Documents!$C:$C,"Yes")</f>
        <v>4</v>
      </c>
      <c r="K366">
        <f ca="1">IF($J366=0,"",($J366-$G366-$H366)/$J366)</f>
        <v>0</v>
      </c>
      <c r="L366">
        <f ca="1">COUNTIFS(OutReach_Log!$A:$A,$A366,OutReach_Log!$G:$G,"Yes")</f>
        <v>1</v>
      </c>
      <c r="M366">
        <f>COUNTIFS(OutReach_Log!$A:$A,$A366,OutReach_Log!$E:$E,"Pending")
 +COUNTIFS(OutReach_Log!$A:$A,$A366,OutReach_Log!$E:$E,"Escalated")</f>
        <v>1</v>
      </c>
      <c r="N366">
        <f>COUNTIFS(Incident_Log!$A:$A,$A366,Incident_Log!$C:$C,"High",Incident_Log!$E:$E,"No")</f>
        <v>0</v>
      </c>
      <c r="O366" t="str">
        <f t="shared" ca="1" si="5"/>
        <v>Attention Required</v>
      </c>
      <c r="P366">
        <f ca="1">($G366*40)+($H366*30)+($I366*10)+($N366*50)+IF($L366&gt;0,20,0)</f>
        <v>180</v>
      </c>
      <c r="Q366">
        <f ca="1">E366*(P366/100)</f>
        <v>163065.60000000001</v>
      </c>
      <c r="R366">
        <f ca="1">_xlfn.RANK.EQ($Q366,$Q$2:$Q$401,0)</f>
        <v>134</v>
      </c>
    </row>
    <row r="367" spans="1:18">
      <c r="A367" t="str" cm="1">
        <f t="array" ref="A367">_xlfn._xlws.SORT(Vendor_Master!A367)</f>
        <v>VND-366</v>
      </c>
      <c r="B367" t="str">
        <f>_xlfn.XLOOKUP(Compliance_Sheet!A367,Vendor_Master!A367,Vendor_Master!B367,"")</f>
        <v>Vendor_366</v>
      </c>
      <c r="C367" t="str">
        <f>_xlfn.XLOOKUP(A367,Vendor_Master!A367,Vendor_Master!C367,"")</f>
        <v>Equipment Maintenance</v>
      </c>
      <c r="D367" t="str">
        <f>_xlfn.XLOOKUP(A367,Vendor_Master!A367,Vendor_Master!D367,"")</f>
        <v>North</v>
      </c>
      <c r="E367">
        <f>_xlfn.XLOOKUP(A367,Vendor_Master!A367,Vendor_Master!E367,0)</f>
        <v>102289</v>
      </c>
      <c r="F367" t="str">
        <f>_xlfn.XLOOKUP(A367,Vendor_Master!A367,Vendor_Master!H367,"")</f>
        <v>contact366@vendor.com</v>
      </c>
      <c r="G367">
        <f ca="1">COUNTIFS(Sustainability_Documents!$A:$A,$A367,Sustainability_Documents!$H:$H,"Missing")</f>
        <v>4</v>
      </c>
      <c r="H367">
        <f ca="1">COUNTIFS(Sustainability_Documents!$A:$A,$A367,Sustainability_Documents!$H:$H,"Expired")</f>
        <v>0</v>
      </c>
      <c r="I367">
        <f ca="1">COUNTIFS(Sustainability_Documents!$A:$A,$A367,Sustainability_Documents!$H:$H,"Expiring Soon")</f>
        <v>0</v>
      </c>
      <c r="J367">
        <f>COUNTIFS(Sustainability_Documents!$A:$A,$A367,Sustainability_Documents!$C:$C,"Yes")</f>
        <v>4</v>
      </c>
      <c r="K367">
        <f ca="1">IF($J367=0,"",($J367-$G367-$H367)/$J367)</f>
        <v>0</v>
      </c>
      <c r="L367">
        <f ca="1">COUNTIFS(OutReach_Log!$A:$A,$A367,OutReach_Log!$G:$G,"Yes")</f>
        <v>1</v>
      </c>
      <c r="M367">
        <f>COUNTIFS(OutReach_Log!$A:$A,$A367,OutReach_Log!$E:$E,"Pending")
 +COUNTIFS(OutReach_Log!$A:$A,$A367,OutReach_Log!$E:$E,"Escalated")</f>
        <v>0</v>
      </c>
      <c r="N367">
        <f>COUNTIFS(Incident_Log!$A:$A,$A367,Incident_Log!$C:$C,"High",Incident_Log!$E:$E,"No")</f>
        <v>0</v>
      </c>
      <c r="O367" t="str">
        <f t="shared" ca="1" si="5"/>
        <v>Attention Required</v>
      </c>
      <c r="P367">
        <f ca="1">($G367*40)+($H367*30)+($I367*10)+($N367*50)+IF($L367&gt;0,20,0)</f>
        <v>180</v>
      </c>
      <c r="Q367">
        <f ca="1">E367*(P367/100)</f>
        <v>184120.2</v>
      </c>
      <c r="R367">
        <f ca="1">_xlfn.RANK.EQ($Q367,$Q$2:$Q$401,0)</f>
        <v>125</v>
      </c>
    </row>
    <row r="368" spans="1:18">
      <c r="A368" t="str" cm="1">
        <f t="array" ref="A368">_xlfn._xlws.SORT(Vendor_Master!A368)</f>
        <v>VND-367</v>
      </c>
      <c r="B368" t="str">
        <f>_xlfn.XLOOKUP(Compliance_Sheet!A368,Vendor_Master!A368,Vendor_Master!B368,"")</f>
        <v>Vendor_367</v>
      </c>
      <c r="C368" t="str">
        <f>_xlfn.XLOOKUP(A368,Vendor_Master!A368,Vendor_Master!C368,"")</f>
        <v>Equipment Maintenance</v>
      </c>
      <c r="D368" t="str">
        <f>_xlfn.XLOOKUP(A368,Vendor_Master!A368,Vendor_Master!D368,"")</f>
        <v>North</v>
      </c>
      <c r="E368">
        <f>_xlfn.XLOOKUP(A368,Vendor_Master!A368,Vendor_Master!E368,0)</f>
        <v>244186</v>
      </c>
      <c r="F368" t="str">
        <f>_xlfn.XLOOKUP(A368,Vendor_Master!A368,Vendor_Master!H368,"")</f>
        <v>contact367@vendor.com</v>
      </c>
      <c r="G368">
        <f ca="1">COUNTIFS(Sustainability_Documents!$A:$A,$A368,Sustainability_Documents!$H:$H,"Missing")</f>
        <v>4</v>
      </c>
      <c r="H368">
        <f ca="1">COUNTIFS(Sustainability_Documents!$A:$A,$A368,Sustainability_Documents!$H:$H,"Expired")</f>
        <v>0</v>
      </c>
      <c r="I368">
        <f ca="1">COUNTIFS(Sustainability_Documents!$A:$A,$A368,Sustainability_Documents!$H:$H,"Expiring Soon")</f>
        <v>0</v>
      </c>
      <c r="J368">
        <f>COUNTIFS(Sustainability_Documents!$A:$A,$A368,Sustainability_Documents!$C:$C,"Yes")</f>
        <v>4</v>
      </c>
      <c r="K368">
        <f ca="1">IF($J368=0,"",($J368-$G368-$H368)/$J368)</f>
        <v>0</v>
      </c>
      <c r="L368">
        <f ca="1">COUNTIFS(OutReach_Log!$A:$A,$A368,OutReach_Log!$G:$G,"Yes")</f>
        <v>1</v>
      </c>
      <c r="M368">
        <f>COUNTIFS(OutReach_Log!$A:$A,$A368,OutReach_Log!$E:$E,"Pending")
 +COUNTIFS(OutReach_Log!$A:$A,$A368,OutReach_Log!$E:$E,"Escalated")</f>
        <v>1</v>
      </c>
      <c r="N368">
        <f>COUNTIFS(Incident_Log!$A:$A,$A368,Incident_Log!$C:$C,"High",Incident_Log!$E:$E,"No")</f>
        <v>1</v>
      </c>
      <c r="O368" t="str">
        <f t="shared" ca="1" si="5"/>
        <v>High Attention Required</v>
      </c>
      <c r="P368">
        <f ca="1">($G368*40)+($H368*30)+($I368*10)+($N368*50)+IF($L368&gt;0,20,0)</f>
        <v>230</v>
      </c>
      <c r="Q368">
        <f ca="1">E368*(P368/100)</f>
        <v>561627.79999999993</v>
      </c>
      <c r="R368">
        <f ca="1">_xlfn.RANK.EQ($Q368,$Q$2:$Q$401,0)</f>
        <v>69</v>
      </c>
    </row>
    <row r="369" spans="1:18">
      <c r="A369" t="str" cm="1">
        <f t="array" ref="A369">_xlfn._xlws.SORT(Vendor_Master!A369)</f>
        <v>VND-368</v>
      </c>
      <c r="B369" t="str">
        <f>_xlfn.XLOOKUP(Compliance_Sheet!A369,Vendor_Master!A369,Vendor_Master!B369,"")</f>
        <v>Vendor_368</v>
      </c>
      <c r="C369" t="str">
        <f>_xlfn.XLOOKUP(A369,Vendor_Master!A369,Vendor_Master!C369,"")</f>
        <v>Equipment Maintenance</v>
      </c>
      <c r="D369" t="str">
        <f>_xlfn.XLOOKUP(A369,Vendor_Master!A369,Vendor_Master!D369,"")</f>
        <v>North</v>
      </c>
      <c r="E369">
        <f>_xlfn.XLOOKUP(A369,Vendor_Master!A369,Vendor_Master!E369,0)</f>
        <v>88941</v>
      </c>
      <c r="F369" t="str">
        <f>_xlfn.XLOOKUP(A369,Vendor_Master!A369,Vendor_Master!H369,"")</f>
        <v>contact368@vendor.com</v>
      </c>
      <c r="G369">
        <f ca="1">COUNTIFS(Sustainability_Documents!$A:$A,$A369,Sustainability_Documents!$H:$H,"Missing")</f>
        <v>4</v>
      </c>
      <c r="H369">
        <f ca="1">COUNTIFS(Sustainability_Documents!$A:$A,$A369,Sustainability_Documents!$H:$H,"Expired")</f>
        <v>0</v>
      </c>
      <c r="I369">
        <f ca="1">COUNTIFS(Sustainability_Documents!$A:$A,$A369,Sustainability_Documents!$H:$H,"Expiring Soon")</f>
        <v>0</v>
      </c>
      <c r="J369">
        <f>COUNTIFS(Sustainability_Documents!$A:$A,$A369,Sustainability_Documents!$C:$C,"Yes")</f>
        <v>4</v>
      </c>
      <c r="K369">
        <f ca="1">IF($J369=0,"",($J369-$G369-$H369)/$J369)</f>
        <v>0</v>
      </c>
      <c r="L369">
        <f ca="1">COUNTIFS(OutReach_Log!$A:$A,$A369,OutReach_Log!$G:$G,"Yes")</f>
        <v>1</v>
      </c>
      <c r="M369">
        <f>COUNTIFS(OutReach_Log!$A:$A,$A369,OutReach_Log!$E:$E,"Pending")
 +COUNTIFS(OutReach_Log!$A:$A,$A369,OutReach_Log!$E:$E,"Escalated")</f>
        <v>1</v>
      </c>
      <c r="N369">
        <f>COUNTIFS(Incident_Log!$A:$A,$A369,Incident_Log!$C:$C,"High",Incident_Log!$E:$E,"No")</f>
        <v>0</v>
      </c>
      <c r="O369" t="str">
        <f t="shared" ca="1" si="5"/>
        <v>Attention Required</v>
      </c>
      <c r="P369">
        <f ca="1">($G369*40)+($H369*30)+($I369*10)+($N369*50)+IF($L369&gt;0,20,0)</f>
        <v>180</v>
      </c>
      <c r="Q369">
        <f ca="1">E369*(P369/100)</f>
        <v>160093.80000000002</v>
      </c>
      <c r="R369">
        <f ca="1">_xlfn.RANK.EQ($Q369,$Q$2:$Q$401,0)</f>
        <v>136</v>
      </c>
    </row>
    <row r="370" spans="1:18">
      <c r="A370" t="str" cm="1">
        <f t="array" ref="A370">_xlfn._xlws.SORT(Vendor_Master!A370)</f>
        <v>VND-369</v>
      </c>
      <c r="B370" t="str">
        <f>_xlfn.XLOOKUP(Compliance_Sheet!A370,Vendor_Master!A370,Vendor_Master!B370,"")</f>
        <v>Vendor_369</v>
      </c>
      <c r="C370" t="str">
        <f>_xlfn.XLOOKUP(A370,Vendor_Master!A370,Vendor_Master!C370,"")</f>
        <v>Equipment Maintenance</v>
      </c>
      <c r="D370" t="str">
        <f>_xlfn.XLOOKUP(A370,Vendor_Master!A370,Vendor_Master!D370,"")</f>
        <v>North</v>
      </c>
      <c r="E370">
        <f>_xlfn.XLOOKUP(A370,Vendor_Master!A370,Vendor_Master!E370,0)</f>
        <v>244272</v>
      </c>
      <c r="F370" t="str">
        <f>_xlfn.XLOOKUP(A370,Vendor_Master!A370,Vendor_Master!H370,"")</f>
        <v>contact369@vendor.com</v>
      </c>
      <c r="G370">
        <f ca="1">COUNTIFS(Sustainability_Documents!$A:$A,$A370,Sustainability_Documents!$H:$H,"Missing")</f>
        <v>4</v>
      </c>
      <c r="H370">
        <f ca="1">COUNTIFS(Sustainability_Documents!$A:$A,$A370,Sustainability_Documents!$H:$H,"Expired")</f>
        <v>0</v>
      </c>
      <c r="I370">
        <f ca="1">COUNTIFS(Sustainability_Documents!$A:$A,$A370,Sustainability_Documents!$H:$H,"Expiring Soon")</f>
        <v>0</v>
      </c>
      <c r="J370">
        <f>COUNTIFS(Sustainability_Documents!$A:$A,$A370,Sustainability_Documents!$C:$C,"Yes")</f>
        <v>4</v>
      </c>
      <c r="K370">
        <f ca="1">IF($J370=0,"",($J370-$G370-$H370)/$J370)</f>
        <v>0</v>
      </c>
      <c r="L370">
        <f ca="1">COUNTIFS(OutReach_Log!$A:$A,$A370,OutReach_Log!$G:$G,"Yes")</f>
        <v>1</v>
      </c>
      <c r="M370">
        <f>COUNTIFS(OutReach_Log!$A:$A,$A370,OutReach_Log!$E:$E,"Pending")
 +COUNTIFS(OutReach_Log!$A:$A,$A370,OutReach_Log!$E:$E,"Escalated")</f>
        <v>1</v>
      </c>
      <c r="N370">
        <f>COUNTIFS(Incident_Log!$A:$A,$A370,Incident_Log!$C:$C,"High",Incident_Log!$E:$E,"No")</f>
        <v>0</v>
      </c>
      <c r="O370" t="str">
        <f t="shared" ca="1" si="5"/>
        <v>Attention Required</v>
      </c>
      <c r="P370">
        <f ca="1">($G370*40)+($H370*30)+($I370*10)+($N370*50)+IF($L370&gt;0,20,0)</f>
        <v>180</v>
      </c>
      <c r="Q370">
        <f ca="1">E370*(P370/100)</f>
        <v>439689.60000000003</v>
      </c>
      <c r="R370">
        <f ca="1">_xlfn.RANK.EQ($Q370,$Q$2:$Q$401,0)</f>
        <v>72</v>
      </c>
    </row>
    <row r="371" spans="1:18">
      <c r="A371" t="str" cm="1">
        <f t="array" ref="A371">_xlfn._xlws.SORT(Vendor_Master!A371)</f>
        <v>VND-370</v>
      </c>
      <c r="B371" t="str">
        <f>_xlfn.XLOOKUP(Compliance_Sheet!A371,Vendor_Master!A371,Vendor_Master!B371,"")</f>
        <v>Vendor_370</v>
      </c>
      <c r="C371" t="str">
        <f>_xlfn.XLOOKUP(A371,Vendor_Master!A371,Vendor_Master!C371,"")</f>
        <v>Equipment Maintenance</v>
      </c>
      <c r="D371" t="str">
        <f>_xlfn.XLOOKUP(A371,Vendor_Master!A371,Vendor_Master!D371,"")</f>
        <v>North</v>
      </c>
      <c r="E371">
        <f>_xlfn.XLOOKUP(A371,Vendor_Master!A371,Vendor_Master!E371,0)</f>
        <v>102212</v>
      </c>
      <c r="F371" t="str">
        <f>_xlfn.XLOOKUP(A371,Vendor_Master!A371,Vendor_Master!H371,"")</f>
        <v>contact370@vendor.com</v>
      </c>
      <c r="G371">
        <f ca="1">COUNTIFS(Sustainability_Documents!$A:$A,$A371,Sustainability_Documents!$H:$H,"Missing")</f>
        <v>4</v>
      </c>
      <c r="H371">
        <f ca="1">COUNTIFS(Sustainability_Documents!$A:$A,$A371,Sustainability_Documents!$H:$H,"Expired")</f>
        <v>0</v>
      </c>
      <c r="I371">
        <f ca="1">COUNTIFS(Sustainability_Documents!$A:$A,$A371,Sustainability_Documents!$H:$H,"Expiring Soon")</f>
        <v>0</v>
      </c>
      <c r="J371">
        <f>COUNTIFS(Sustainability_Documents!$A:$A,$A371,Sustainability_Documents!$C:$C,"Yes")</f>
        <v>4</v>
      </c>
      <c r="K371">
        <f ca="1">IF($J371=0,"",($J371-$G371-$H371)/$J371)</f>
        <v>0</v>
      </c>
      <c r="L371">
        <f ca="1">COUNTIFS(OutReach_Log!$A:$A,$A371,OutReach_Log!$G:$G,"Yes")</f>
        <v>1</v>
      </c>
      <c r="M371">
        <f>COUNTIFS(OutReach_Log!$A:$A,$A371,OutReach_Log!$E:$E,"Pending")
 +COUNTIFS(OutReach_Log!$A:$A,$A371,OutReach_Log!$E:$E,"Escalated")</f>
        <v>1</v>
      </c>
      <c r="N371">
        <f>COUNTIFS(Incident_Log!$A:$A,$A371,Incident_Log!$C:$C,"High",Incident_Log!$E:$E,"No")</f>
        <v>0</v>
      </c>
      <c r="O371" t="str">
        <f t="shared" ca="1" si="5"/>
        <v>Attention Required</v>
      </c>
      <c r="P371">
        <f ca="1">($G371*40)+($H371*30)+($I371*10)+($N371*50)+IF($L371&gt;0,20,0)</f>
        <v>180</v>
      </c>
      <c r="Q371">
        <f ca="1">E371*(P371/100)</f>
        <v>183981.6</v>
      </c>
      <c r="R371">
        <f ca="1">_xlfn.RANK.EQ($Q371,$Q$2:$Q$401,0)</f>
        <v>126</v>
      </c>
    </row>
    <row r="372" spans="1:18">
      <c r="A372" t="str" cm="1">
        <f t="array" ref="A372">_xlfn._xlws.SORT(Vendor_Master!A372)</f>
        <v>VND-371</v>
      </c>
      <c r="B372" t="str">
        <f>_xlfn.XLOOKUP(Compliance_Sheet!A372,Vendor_Master!A372,Vendor_Master!B372,"")</f>
        <v>Vendor_371</v>
      </c>
      <c r="C372" t="str">
        <f>_xlfn.XLOOKUP(A372,Vendor_Master!A372,Vendor_Master!C372,"")</f>
        <v>Equipment Maintenance</v>
      </c>
      <c r="D372" t="str">
        <f>_xlfn.XLOOKUP(A372,Vendor_Master!A372,Vendor_Master!D372,"")</f>
        <v>North</v>
      </c>
      <c r="E372">
        <f>_xlfn.XLOOKUP(A372,Vendor_Master!A372,Vendor_Master!E372,0)</f>
        <v>149142</v>
      </c>
      <c r="F372" t="str">
        <f>_xlfn.XLOOKUP(A372,Vendor_Master!A372,Vendor_Master!H372,"")</f>
        <v>contact371@vendor.com</v>
      </c>
      <c r="G372">
        <f ca="1">COUNTIFS(Sustainability_Documents!$A:$A,$A372,Sustainability_Documents!$H:$H,"Missing")</f>
        <v>4</v>
      </c>
      <c r="H372">
        <f ca="1">COUNTIFS(Sustainability_Documents!$A:$A,$A372,Sustainability_Documents!$H:$H,"Expired")</f>
        <v>0</v>
      </c>
      <c r="I372">
        <f ca="1">COUNTIFS(Sustainability_Documents!$A:$A,$A372,Sustainability_Documents!$H:$H,"Expiring Soon")</f>
        <v>0</v>
      </c>
      <c r="J372">
        <f>COUNTIFS(Sustainability_Documents!$A:$A,$A372,Sustainability_Documents!$C:$C,"Yes")</f>
        <v>4</v>
      </c>
      <c r="K372">
        <f ca="1">IF($J372=0,"",($J372-$G372-$H372)/$J372)</f>
        <v>0</v>
      </c>
      <c r="L372">
        <f ca="1">COUNTIFS(OutReach_Log!$A:$A,$A372,OutReach_Log!$G:$G,"Yes")</f>
        <v>1</v>
      </c>
      <c r="M372">
        <f>COUNTIFS(OutReach_Log!$A:$A,$A372,OutReach_Log!$E:$E,"Pending")
 +COUNTIFS(OutReach_Log!$A:$A,$A372,OutReach_Log!$E:$E,"Escalated")</f>
        <v>1</v>
      </c>
      <c r="N372">
        <f>COUNTIFS(Incident_Log!$A:$A,$A372,Incident_Log!$C:$C,"High",Incident_Log!$E:$E,"No")</f>
        <v>0</v>
      </c>
      <c r="O372" t="str">
        <f t="shared" ca="1" si="5"/>
        <v>Attention Required</v>
      </c>
      <c r="P372">
        <f ca="1">($G372*40)+($H372*30)+($I372*10)+($N372*50)+IF($L372&gt;0,20,0)</f>
        <v>180</v>
      </c>
      <c r="Q372">
        <f ca="1">E372*(P372/100)</f>
        <v>268455.60000000003</v>
      </c>
      <c r="R372">
        <f ca="1">_xlfn.RANK.EQ($Q372,$Q$2:$Q$401,0)</f>
        <v>107</v>
      </c>
    </row>
    <row r="373" spans="1:18">
      <c r="A373" t="str" cm="1">
        <f t="array" ref="A373">_xlfn._xlws.SORT(Vendor_Master!A373)</f>
        <v>VND-372</v>
      </c>
      <c r="B373" t="str">
        <f>_xlfn.XLOOKUP(Compliance_Sheet!A373,Vendor_Master!A373,Vendor_Master!B373,"")</f>
        <v>Vendor_372</v>
      </c>
      <c r="C373" t="str">
        <f>_xlfn.XLOOKUP(A373,Vendor_Master!A373,Vendor_Master!C373,"")</f>
        <v>Equipment Maintenance</v>
      </c>
      <c r="D373" t="str">
        <f>_xlfn.XLOOKUP(A373,Vendor_Master!A373,Vendor_Master!D373,"")</f>
        <v>North</v>
      </c>
      <c r="E373">
        <f>_xlfn.XLOOKUP(A373,Vendor_Master!A373,Vendor_Master!E373,0)</f>
        <v>198973</v>
      </c>
      <c r="F373" t="str">
        <f>_xlfn.XLOOKUP(A373,Vendor_Master!A373,Vendor_Master!H373,"")</f>
        <v>contact372@vendor.com</v>
      </c>
      <c r="G373">
        <f ca="1">COUNTIFS(Sustainability_Documents!$A:$A,$A373,Sustainability_Documents!$H:$H,"Missing")</f>
        <v>4</v>
      </c>
      <c r="H373">
        <f ca="1">COUNTIFS(Sustainability_Documents!$A:$A,$A373,Sustainability_Documents!$H:$H,"Expired")</f>
        <v>0</v>
      </c>
      <c r="I373">
        <f ca="1">COUNTIFS(Sustainability_Documents!$A:$A,$A373,Sustainability_Documents!$H:$H,"Expiring Soon")</f>
        <v>0</v>
      </c>
      <c r="J373">
        <f>COUNTIFS(Sustainability_Documents!$A:$A,$A373,Sustainability_Documents!$C:$C,"Yes")</f>
        <v>4</v>
      </c>
      <c r="K373">
        <f ca="1">IF($J373=0,"",($J373-$G373-$H373)/$J373)</f>
        <v>0</v>
      </c>
      <c r="L373">
        <f ca="1">COUNTIFS(OutReach_Log!$A:$A,$A373,OutReach_Log!$G:$G,"Yes")</f>
        <v>1</v>
      </c>
      <c r="M373">
        <f>COUNTIFS(OutReach_Log!$A:$A,$A373,OutReach_Log!$E:$E,"Pending")
 +COUNTIFS(OutReach_Log!$A:$A,$A373,OutReach_Log!$E:$E,"Escalated")</f>
        <v>0</v>
      </c>
      <c r="N373">
        <f>COUNTIFS(Incident_Log!$A:$A,$A373,Incident_Log!$C:$C,"High",Incident_Log!$E:$E,"No")</f>
        <v>0</v>
      </c>
      <c r="O373" t="str">
        <f t="shared" ca="1" si="5"/>
        <v>Attention Required</v>
      </c>
      <c r="P373">
        <f ca="1">($G373*40)+($H373*30)+($I373*10)+($N373*50)+IF($L373&gt;0,20,0)</f>
        <v>180</v>
      </c>
      <c r="Q373">
        <f ca="1">E373*(P373/100)</f>
        <v>358151.4</v>
      </c>
      <c r="R373">
        <f ca="1">_xlfn.RANK.EQ($Q373,$Q$2:$Q$401,0)</f>
        <v>95</v>
      </c>
    </row>
    <row r="374" spans="1:18">
      <c r="A374" t="str" cm="1">
        <f t="array" ref="A374">_xlfn._xlws.SORT(Vendor_Master!A374)</f>
        <v>VND-373</v>
      </c>
      <c r="B374" t="str">
        <f>_xlfn.XLOOKUP(Compliance_Sheet!A374,Vendor_Master!A374,Vendor_Master!B374,"")</f>
        <v>Vendor_373</v>
      </c>
      <c r="C374" t="str">
        <f>_xlfn.XLOOKUP(A374,Vendor_Master!A374,Vendor_Master!C374,"")</f>
        <v>Equipment Maintenance</v>
      </c>
      <c r="D374" t="str">
        <f>_xlfn.XLOOKUP(A374,Vendor_Master!A374,Vendor_Master!D374,"")</f>
        <v>North</v>
      </c>
      <c r="E374">
        <f>_xlfn.XLOOKUP(A374,Vendor_Master!A374,Vendor_Master!E374,0)</f>
        <v>73373</v>
      </c>
      <c r="F374" t="str">
        <f>_xlfn.XLOOKUP(A374,Vendor_Master!A374,Vendor_Master!H374,"")</f>
        <v>contact373@vendor.com</v>
      </c>
      <c r="G374">
        <f ca="1">COUNTIFS(Sustainability_Documents!$A:$A,$A374,Sustainability_Documents!$H:$H,"Missing")</f>
        <v>4</v>
      </c>
      <c r="H374">
        <f ca="1">COUNTIFS(Sustainability_Documents!$A:$A,$A374,Sustainability_Documents!$H:$H,"Expired")</f>
        <v>0</v>
      </c>
      <c r="I374">
        <f ca="1">COUNTIFS(Sustainability_Documents!$A:$A,$A374,Sustainability_Documents!$H:$H,"Expiring Soon")</f>
        <v>0</v>
      </c>
      <c r="J374">
        <f>COUNTIFS(Sustainability_Documents!$A:$A,$A374,Sustainability_Documents!$C:$C,"Yes")</f>
        <v>4</v>
      </c>
      <c r="K374">
        <f ca="1">IF($J374=0,"",($J374-$G374-$H374)/$J374)</f>
        <v>0</v>
      </c>
      <c r="L374">
        <f ca="1">COUNTIFS(OutReach_Log!$A:$A,$A374,OutReach_Log!$G:$G,"Yes")</f>
        <v>1</v>
      </c>
      <c r="M374">
        <f>COUNTIFS(OutReach_Log!$A:$A,$A374,OutReach_Log!$E:$E,"Pending")
 +COUNTIFS(OutReach_Log!$A:$A,$A374,OutReach_Log!$E:$E,"Escalated")</f>
        <v>1</v>
      </c>
      <c r="N374">
        <f>COUNTIFS(Incident_Log!$A:$A,$A374,Incident_Log!$C:$C,"High",Incident_Log!$E:$E,"No")</f>
        <v>0</v>
      </c>
      <c r="O374" t="str">
        <f t="shared" ca="1" si="5"/>
        <v>Attention Required</v>
      </c>
      <c r="P374">
        <f ca="1">($G374*40)+($H374*30)+($I374*10)+($N374*50)+IF($L374&gt;0,20,0)</f>
        <v>180</v>
      </c>
      <c r="Q374">
        <f ca="1">E374*(P374/100)</f>
        <v>132071.4</v>
      </c>
      <c r="R374">
        <f ca="1">_xlfn.RANK.EQ($Q374,$Q$2:$Q$401,0)</f>
        <v>139</v>
      </c>
    </row>
    <row r="375" spans="1:18">
      <c r="A375" t="str" cm="1">
        <f t="array" ref="A375">_xlfn._xlws.SORT(Vendor_Master!A375)</f>
        <v>VND-374</v>
      </c>
      <c r="B375" t="str">
        <f>_xlfn.XLOOKUP(Compliance_Sheet!A375,Vendor_Master!A375,Vendor_Master!B375,"")</f>
        <v>Vendor_374</v>
      </c>
      <c r="C375" t="str">
        <f>_xlfn.XLOOKUP(A375,Vendor_Master!A375,Vendor_Master!C375,"")</f>
        <v>Equipment Maintenance</v>
      </c>
      <c r="D375" t="str">
        <f>_xlfn.XLOOKUP(A375,Vendor_Master!A375,Vendor_Master!D375,"")</f>
        <v>North</v>
      </c>
      <c r="E375">
        <f>_xlfn.XLOOKUP(A375,Vendor_Master!A375,Vendor_Master!E375,0)</f>
        <v>137848</v>
      </c>
      <c r="F375" t="str">
        <f>_xlfn.XLOOKUP(A375,Vendor_Master!A375,Vendor_Master!H375,"")</f>
        <v>contact374@vendor.com</v>
      </c>
      <c r="G375">
        <f ca="1">COUNTIFS(Sustainability_Documents!$A:$A,$A375,Sustainability_Documents!$H:$H,"Missing")</f>
        <v>4</v>
      </c>
      <c r="H375">
        <f ca="1">COUNTIFS(Sustainability_Documents!$A:$A,$A375,Sustainability_Documents!$H:$H,"Expired")</f>
        <v>0</v>
      </c>
      <c r="I375">
        <f ca="1">COUNTIFS(Sustainability_Documents!$A:$A,$A375,Sustainability_Documents!$H:$H,"Expiring Soon")</f>
        <v>0</v>
      </c>
      <c r="J375">
        <f>COUNTIFS(Sustainability_Documents!$A:$A,$A375,Sustainability_Documents!$C:$C,"Yes")</f>
        <v>4</v>
      </c>
      <c r="K375">
        <f ca="1">IF($J375=0,"",($J375-$G375-$H375)/$J375)</f>
        <v>0</v>
      </c>
      <c r="L375">
        <f ca="1">COUNTIFS(OutReach_Log!$A:$A,$A375,OutReach_Log!$G:$G,"Yes")</f>
        <v>1</v>
      </c>
      <c r="M375">
        <f>COUNTIFS(OutReach_Log!$A:$A,$A375,OutReach_Log!$E:$E,"Pending")
 +COUNTIFS(OutReach_Log!$A:$A,$A375,OutReach_Log!$E:$E,"Escalated")</f>
        <v>0</v>
      </c>
      <c r="N375">
        <f>COUNTIFS(Incident_Log!$A:$A,$A375,Incident_Log!$C:$C,"High",Incident_Log!$E:$E,"No")</f>
        <v>0</v>
      </c>
      <c r="O375" t="str">
        <f t="shared" ca="1" si="5"/>
        <v>Attention Required</v>
      </c>
      <c r="P375">
        <f ca="1">($G375*40)+($H375*30)+($I375*10)+($N375*50)+IF($L375&gt;0,20,0)</f>
        <v>180</v>
      </c>
      <c r="Q375">
        <f ca="1">E375*(P375/100)</f>
        <v>248126.4</v>
      </c>
      <c r="R375">
        <f ca="1">_xlfn.RANK.EQ($Q375,$Q$2:$Q$401,0)</f>
        <v>110</v>
      </c>
    </row>
    <row r="376" spans="1:18">
      <c r="A376" t="str" cm="1">
        <f t="array" ref="A376">_xlfn._xlws.SORT(Vendor_Master!A376)</f>
        <v>VND-375</v>
      </c>
      <c r="B376" t="str">
        <f>_xlfn.XLOOKUP(Compliance_Sheet!A376,Vendor_Master!A376,Vendor_Master!B376,"")</f>
        <v>Vendor_375</v>
      </c>
      <c r="C376" t="str">
        <f>_xlfn.XLOOKUP(A376,Vendor_Master!A376,Vendor_Master!C376,"")</f>
        <v>Equipment Maintenance</v>
      </c>
      <c r="D376" t="str">
        <f>_xlfn.XLOOKUP(A376,Vendor_Master!A376,Vendor_Master!D376,"")</f>
        <v>North</v>
      </c>
      <c r="E376">
        <f>_xlfn.XLOOKUP(A376,Vendor_Master!A376,Vendor_Master!E376,0)</f>
        <v>135248</v>
      </c>
      <c r="F376" t="str">
        <f>_xlfn.XLOOKUP(A376,Vendor_Master!A376,Vendor_Master!H376,"")</f>
        <v>contact375@vendor.com</v>
      </c>
      <c r="G376">
        <f ca="1">COUNTIFS(Sustainability_Documents!$A:$A,$A376,Sustainability_Documents!$H:$H,"Missing")</f>
        <v>4</v>
      </c>
      <c r="H376">
        <f ca="1">COUNTIFS(Sustainability_Documents!$A:$A,$A376,Sustainability_Documents!$H:$H,"Expired")</f>
        <v>0</v>
      </c>
      <c r="I376">
        <f ca="1">COUNTIFS(Sustainability_Documents!$A:$A,$A376,Sustainability_Documents!$H:$H,"Expiring Soon")</f>
        <v>0</v>
      </c>
      <c r="J376">
        <f>COUNTIFS(Sustainability_Documents!$A:$A,$A376,Sustainability_Documents!$C:$C,"Yes")</f>
        <v>4</v>
      </c>
      <c r="K376">
        <f ca="1">IF($J376=0,"",($J376-$G376-$H376)/$J376)</f>
        <v>0</v>
      </c>
      <c r="L376">
        <f ca="1">COUNTIFS(OutReach_Log!$A:$A,$A376,OutReach_Log!$G:$G,"Yes")</f>
        <v>1</v>
      </c>
      <c r="M376">
        <f>COUNTIFS(OutReach_Log!$A:$A,$A376,OutReach_Log!$E:$E,"Pending")
 +COUNTIFS(OutReach_Log!$A:$A,$A376,OutReach_Log!$E:$E,"Escalated")</f>
        <v>1</v>
      </c>
      <c r="N376">
        <f>COUNTIFS(Incident_Log!$A:$A,$A376,Incident_Log!$C:$C,"High",Incident_Log!$E:$E,"No")</f>
        <v>0</v>
      </c>
      <c r="O376" t="str">
        <f t="shared" ca="1" si="5"/>
        <v>Attention Required</v>
      </c>
      <c r="P376">
        <f ca="1">($G376*40)+($H376*30)+($I376*10)+($N376*50)+IF($L376&gt;0,20,0)</f>
        <v>180</v>
      </c>
      <c r="Q376">
        <f ca="1">E376*(P376/100)</f>
        <v>243446.39999999999</v>
      </c>
      <c r="R376">
        <f ca="1">_xlfn.RANK.EQ($Q376,$Q$2:$Q$401,0)</f>
        <v>113</v>
      </c>
    </row>
    <row r="377" spans="1:18">
      <c r="A377" t="str" cm="1">
        <f t="array" ref="A377">_xlfn._xlws.SORT(Vendor_Master!A377)</f>
        <v>VND-376</v>
      </c>
      <c r="B377" t="str">
        <f>_xlfn.XLOOKUP(Compliance_Sheet!A377,Vendor_Master!A377,Vendor_Master!B377,"")</f>
        <v>Vendor_376</v>
      </c>
      <c r="C377" t="str">
        <f>_xlfn.XLOOKUP(A377,Vendor_Master!A377,Vendor_Master!C377,"")</f>
        <v>Equipment Maintenance</v>
      </c>
      <c r="D377" t="str">
        <f>_xlfn.XLOOKUP(A377,Vendor_Master!A377,Vendor_Master!D377,"")</f>
        <v>North</v>
      </c>
      <c r="E377">
        <f>_xlfn.XLOOKUP(A377,Vendor_Master!A377,Vendor_Master!E377,0)</f>
        <v>114217</v>
      </c>
      <c r="F377" t="str">
        <f>_xlfn.XLOOKUP(A377,Vendor_Master!A377,Vendor_Master!H377,"")</f>
        <v>contact376@vendor.com</v>
      </c>
      <c r="G377">
        <f ca="1">COUNTIFS(Sustainability_Documents!$A:$A,$A377,Sustainability_Documents!$H:$H,"Missing")</f>
        <v>4</v>
      </c>
      <c r="H377">
        <f ca="1">COUNTIFS(Sustainability_Documents!$A:$A,$A377,Sustainability_Documents!$H:$H,"Expired")</f>
        <v>0</v>
      </c>
      <c r="I377">
        <f ca="1">COUNTIFS(Sustainability_Documents!$A:$A,$A377,Sustainability_Documents!$H:$H,"Expiring Soon")</f>
        <v>0</v>
      </c>
      <c r="J377">
        <f>COUNTIFS(Sustainability_Documents!$A:$A,$A377,Sustainability_Documents!$C:$C,"Yes")</f>
        <v>4</v>
      </c>
      <c r="K377">
        <f ca="1">IF($J377=0,"",($J377-$G377-$H377)/$J377)</f>
        <v>0</v>
      </c>
      <c r="L377">
        <f ca="1">COUNTIFS(OutReach_Log!$A:$A,$A377,OutReach_Log!$G:$G,"Yes")</f>
        <v>1</v>
      </c>
      <c r="M377">
        <f>COUNTIFS(OutReach_Log!$A:$A,$A377,OutReach_Log!$E:$E,"Pending")
 +COUNTIFS(OutReach_Log!$A:$A,$A377,OutReach_Log!$E:$E,"Escalated")</f>
        <v>1</v>
      </c>
      <c r="N377">
        <f>COUNTIFS(Incident_Log!$A:$A,$A377,Incident_Log!$C:$C,"High",Incident_Log!$E:$E,"No")</f>
        <v>0</v>
      </c>
      <c r="O377" t="str">
        <f t="shared" ca="1" si="5"/>
        <v>Attention Required</v>
      </c>
      <c r="P377">
        <f ca="1">($G377*40)+($H377*30)+($I377*10)+($N377*50)+IF($L377&gt;0,20,0)</f>
        <v>180</v>
      </c>
      <c r="Q377">
        <f ca="1">E377*(P377/100)</f>
        <v>205590.6</v>
      </c>
      <c r="R377">
        <f ca="1">_xlfn.RANK.EQ($Q377,$Q$2:$Q$401,0)</f>
        <v>120</v>
      </c>
    </row>
    <row r="378" spans="1:18">
      <c r="A378" t="str" cm="1">
        <f t="array" ref="A378">_xlfn._xlws.SORT(Vendor_Master!A378)</f>
        <v>VND-377</v>
      </c>
      <c r="B378" t="str">
        <f>_xlfn.XLOOKUP(Compliance_Sheet!A378,Vendor_Master!A378,Vendor_Master!B378,"")</f>
        <v>Vendor_377</v>
      </c>
      <c r="C378" t="str">
        <f>_xlfn.XLOOKUP(A378,Vendor_Master!A378,Vendor_Master!C378,"")</f>
        <v>Equipment Maintenance</v>
      </c>
      <c r="D378" t="str">
        <f>_xlfn.XLOOKUP(A378,Vendor_Master!A378,Vendor_Master!D378,"")</f>
        <v>North</v>
      </c>
      <c r="E378">
        <f>_xlfn.XLOOKUP(A378,Vendor_Master!A378,Vendor_Master!E378,0)</f>
        <v>237910</v>
      </c>
      <c r="F378" t="str">
        <f>_xlfn.XLOOKUP(A378,Vendor_Master!A378,Vendor_Master!H378,"")</f>
        <v>contact377@vendor.com</v>
      </c>
      <c r="G378">
        <f ca="1">COUNTIFS(Sustainability_Documents!$A:$A,$A378,Sustainability_Documents!$H:$H,"Missing")</f>
        <v>4</v>
      </c>
      <c r="H378">
        <f ca="1">COUNTIFS(Sustainability_Documents!$A:$A,$A378,Sustainability_Documents!$H:$H,"Expired")</f>
        <v>0</v>
      </c>
      <c r="I378">
        <f ca="1">COUNTIFS(Sustainability_Documents!$A:$A,$A378,Sustainability_Documents!$H:$H,"Expiring Soon")</f>
        <v>0</v>
      </c>
      <c r="J378">
        <f>COUNTIFS(Sustainability_Documents!$A:$A,$A378,Sustainability_Documents!$C:$C,"Yes")</f>
        <v>4</v>
      </c>
      <c r="K378">
        <f ca="1">IF($J378=0,"",($J378-$G378-$H378)/$J378)</f>
        <v>0</v>
      </c>
      <c r="L378">
        <f ca="1">COUNTIFS(OutReach_Log!$A:$A,$A378,OutReach_Log!$G:$G,"Yes")</f>
        <v>1</v>
      </c>
      <c r="M378">
        <f>COUNTIFS(OutReach_Log!$A:$A,$A378,OutReach_Log!$E:$E,"Pending")
 +COUNTIFS(OutReach_Log!$A:$A,$A378,OutReach_Log!$E:$E,"Escalated")</f>
        <v>1</v>
      </c>
      <c r="N378">
        <f>COUNTIFS(Incident_Log!$A:$A,$A378,Incident_Log!$C:$C,"High",Incident_Log!$E:$E,"No")</f>
        <v>0</v>
      </c>
      <c r="O378" t="str">
        <f t="shared" ca="1" si="5"/>
        <v>Attention Required</v>
      </c>
      <c r="P378">
        <f ca="1">($G378*40)+($H378*30)+($I378*10)+($N378*50)+IF($L378&gt;0,20,0)</f>
        <v>180</v>
      </c>
      <c r="Q378">
        <f ca="1">E378*(P378/100)</f>
        <v>428238</v>
      </c>
      <c r="R378">
        <f ca="1">_xlfn.RANK.EQ($Q378,$Q$2:$Q$401,0)</f>
        <v>77</v>
      </c>
    </row>
    <row r="379" spans="1:18">
      <c r="A379" t="str" cm="1">
        <f t="array" ref="A379">_xlfn._xlws.SORT(Vendor_Master!A379)</f>
        <v>VND-378</v>
      </c>
      <c r="B379" t="str">
        <f>_xlfn.XLOOKUP(Compliance_Sheet!A379,Vendor_Master!A379,Vendor_Master!B379,"")</f>
        <v>Vendor_378</v>
      </c>
      <c r="C379" t="str">
        <f>_xlfn.XLOOKUP(A379,Vendor_Master!A379,Vendor_Master!C379,"")</f>
        <v>Equipment Maintenance</v>
      </c>
      <c r="D379" t="str">
        <f>_xlfn.XLOOKUP(A379,Vendor_Master!A379,Vendor_Master!D379,"")</f>
        <v>North</v>
      </c>
      <c r="E379">
        <f>_xlfn.XLOOKUP(A379,Vendor_Master!A379,Vendor_Master!E379,0)</f>
        <v>146142</v>
      </c>
      <c r="F379" t="str">
        <f>_xlfn.XLOOKUP(A379,Vendor_Master!A379,Vendor_Master!H379,"")</f>
        <v>contact378@vendor.com</v>
      </c>
      <c r="G379">
        <f ca="1">COUNTIFS(Sustainability_Documents!$A:$A,$A379,Sustainability_Documents!$H:$H,"Missing")</f>
        <v>4</v>
      </c>
      <c r="H379">
        <f ca="1">COUNTIFS(Sustainability_Documents!$A:$A,$A379,Sustainability_Documents!$H:$H,"Expired")</f>
        <v>0</v>
      </c>
      <c r="I379">
        <f ca="1">COUNTIFS(Sustainability_Documents!$A:$A,$A379,Sustainability_Documents!$H:$H,"Expiring Soon")</f>
        <v>0</v>
      </c>
      <c r="J379">
        <f>COUNTIFS(Sustainability_Documents!$A:$A,$A379,Sustainability_Documents!$C:$C,"Yes")</f>
        <v>4</v>
      </c>
      <c r="K379">
        <f ca="1">IF($J379=0,"",($J379-$G379-$H379)/$J379)</f>
        <v>0</v>
      </c>
      <c r="L379">
        <f ca="1">COUNTIFS(OutReach_Log!$A:$A,$A379,OutReach_Log!$G:$G,"Yes")</f>
        <v>1</v>
      </c>
      <c r="M379">
        <f>COUNTIFS(OutReach_Log!$A:$A,$A379,OutReach_Log!$E:$E,"Pending")
 +COUNTIFS(OutReach_Log!$A:$A,$A379,OutReach_Log!$E:$E,"Escalated")</f>
        <v>0</v>
      </c>
      <c r="N379">
        <f>COUNTIFS(Incident_Log!$A:$A,$A379,Incident_Log!$C:$C,"High",Incident_Log!$E:$E,"No")</f>
        <v>0</v>
      </c>
      <c r="O379" t="str">
        <f t="shared" ca="1" si="5"/>
        <v>Attention Required</v>
      </c>
      <c r="P379">
        <f ca="1">($G379*40)+($H379*30)+($I379*10)+($N379*50)+IF($L379&gt;0,20,0)</f>
        <v>180</v>
      </c>
      <c r="Q379">
        <f ca="1">E379*(P379/100)</f>
        <v>263055.60000000003</v>
      </c>
      <c r="R379">
        <f ca="1">_xlfn.RANK.EQ($Q379,$Q$2:$Q$401,0)</f>
        <v>109</v>
      </c>
    </row>
    <row r="380" spans="1:18">
      <c r="A380" t="str" cm="1">
        <f t="array" ref="A380">_xlfn._xlws.SORT(Vendor_Master!A380)</f>
        <v>VND-379</v>
      </c>
      <c r="B380" t="str">
        <f>_xlfn.XLOOKUP(Compliance_Sheet!A380,Vendor_Master!A380,Vendor_Master!B380,"")</f>
        <v>Vendor_379</v>
      </c>
      <c r="C380" t="str">
        <f>_xlfn.XLOOKUP(A380,Vendor_Master!A380,Vendor_Master!C380,"")</f>
        <v>Equipment Maintenance</v>
      </c>
      <c r="D380" t="str">
        <f>_xlfn.XLOOKUP(A380,Vendor_Master!A380,Vendor_Master!D380,"")</f>
        <v>North</v>
      </c>
      <c r="E380">
        <f>_xlfn.XLOOKUP(A380,Vendor_Master!A380,Vendor_Master!E380,0)</f>
        <v>146601</v>
      </c>
      <c r="F380" t="str">
        <f>_xlfn.XLOOKUP(A380,Vendor_Master!A380,Vendor_Master!H380,"")</f>
        <v>contact379@vendor.com</v>
      </c>
      <c r="G380">
        <f ca="1">COUNTIFS(Sustainability_Documents!$A:$A,$A380,Sustainability_Documents!$H:$H,"Missing")</f>
        <v>4</v>
      </c>
      <c r="H380">
        <f ca="1">COUNTIFS(Sustainability_Documents!$A:$A,$A380,Sustainability_Documents!$H:$H,"Expired")</f>
        <v>0</v>
      </c>
      <c r="I380">
        <f ca="1">COUNTIFS(Sustainability_Documents!$A:$A,$A380,Sustainability_Documents!$H:$H,"Expiring Soon")</f>
        <v>0</v>
      </c>
      <c r="J380">
        <f>COUNTIFS(Sustainability_Documents!$A:$A,$A380,Sustainability_Documents!$C:$C,"Yes")</f>
        <v>4</v>
      </c>
      <c r="K380">
        <f ca="1">IF($J380=0,"",($J380-$G380-$H380)/$J380)</f>
        <v>0</v>
      </c>
      <c r="L380">
        <f ca="1">COUNTIFS(OutReach_Log!$A:$A,$A380,OutReach_Log!$G:$G,"Yes")</f>
        <v>1</v>
      </c>
      <c r="M380">
        <f>COUNTIFS(OutReach_Log!$A:$A,$A380,OutReach_Log!$E:$E,"Pending")
 +COUNTIFS(OutReach_Log!$A:$A,$A380,OutReach_Log!$E:$E,"Escalated")</f>
        <v>1</v>
      </c>
      <c r="N380">
        <f>COUNTIFS(Incident_Log!$A:$A,$A380,Incident_Log!$C:$C,"High",Incident_Log!$E:$E,"No")</f>
        <v>0</v>
      </c>
      <c r="O380" t="str">
        <f t="shared" ca="1" si="5"/>
        <v>Attention Required</v>
      </c>
      <c r="P380">
        <f ca="1">($G380*40)+($H380*30)+($I380*10)+($N380*50)+IF($L380&gt;0,20,0)</f>
        <v>180</v>
      </c>
      <c r="Q380">
        <f ca="1">E380*(P380/100)</f>
        <v>263881.8</v>
      </c>
      <c r="R380">
        <f ca="1">_xlfn.RANK.EQ($Q380,$Q$2:$Q$401,0)</f>
        <v>108</v>
      </c>
    </row>
    <row r="381" spans="1:18">
      <c r="A381" t="str" cm="1">
        <f t="array" ref="A381">_xlfn._xlws.SORT(Vendor_Master!A381)</f>
        <v>VND-380</v>
      </c>
      <c r="B381" t="str">
        <f>_xlfn.XLOOKUP(Compliance_Sheet!A381,Vendor_Master!A381,Vendor_Master!B381,"")</f>
        <v>Vendor_380</v>
      </c>
      <c r="C381" t="str">
        <f>_xlfn.XLOOKUP(A381,Vendor_Master!A381,Vendor_Master!C381,"")</f>
        <v>Equipment Maintenance</v>
      </c>
      <c r="D381" t="str">
        <f>_xlfn.XLOOKUP(A381,Vendor_Master!A381,Vendor_Master!D381,"")</f>
        <v>North</v>
      </c>
      <c r="E381">
        <f>_xlfn.XLOOKUP(A381,Vendor_Master!A381,Vendor_Master!E381,0)</f>
        <v>171385</v>
      </c>
      <c r="F381" t="str">
        <f>_xlfn.XLOOKUP(A381,Vendor_Master!A381,Vendor_Master!H381,"")</f>
        <v>contact380@vendor.com</v>
      </c>
      <c r="G381">
        <f ca="1">COUNTIFS(Sustainability_Documents!$A:$A,$A381,Sustainability_Documents!$H:$H,"Missing")</f>
        <v>4</v>
      </c>
      <c r="H381">
        <f ca="1">COUNTIFS(Sustainability_Documents!$A:$A,$A381,Sustainability_Documents!$H:$H,"Expired")</f>
        <v>0</v>
      </c>
      <c r="I381">
        <f ca="1">COUNTIFS(Sustainability_Documents!$A:$A,$A381,Sustainability_Documents!$H:$H,"Expiring Soon")</f>
        <v>0</v>
      </c>
      <c r="J381">
        <f>COUNTIFS(Sustainability_Documents!$A:$A,$A381,Sustainability_Documents!$C:$C,"Yes")</f>
        <v>4</v>
      </c>
      <c r="K381">
        <f ca="1">IF($J381=0,"",($J381-$G381-$H381)/$J381)</f>
        <v>0</v>
      </c>
      <c r="L381">
        <f ca="1">COUNTIFS(OutReach_Log!$A:$A,$A381,OutReach_Log!$G:$G,"Yes")</f>
        <v>1</v>
      </c>
      <c r="M381">
        <f>COUNTIFS(OutReach_Log!$A:$A,$A381,OutReach_Log!$E:$E,"Pending")
 +COUNTIFS(OutReach_Log!$A:$A,$A381,OutReach_Log!$E:$E,"Escalated")</f>
        <v>0</v>
      </c>
      <c r="N381">
        <f>COUNTIFS(Incident_Log!$A:$A,$A381,Incident_Log!$C:$C,"High",Incident_Log!$E:$E,"No")</f>
        <v>0</v>
      </c>
      <c r="O381" t="str">
        <f t="shared" ca="1" si="5"/>
        <v>Attention Required</v>
      </c>
      <c r="P381">
        <f ca="1">($G381*40)+($H381*30)+($I381*10)+($N381*50)+IF($L381&gt;0,20,0)</f>
        <v>180</v>
      </c>
      <c r="Q381">
        <f ca="1">E381*(P381/100)</f>
        <v>308493</v>
      </c>
      <c r="R381">
        <f ca="1">_xlfn.RANK.EQ($Q381,$Q$2:$Q$401,0)</f>
        <v>102</v>
      </c>
    </row>
    <row r="382" spans="1:18">
      <c r="A382" t="str" cm="1">
        <f t="array" ref="A382">_xlfn._xlws.SORT(Vendor_Master!A382)</f>
        <v>VND-381</v>
      </c>
      <c r="B382" t="str">
        <f>_xlfn.XLOOKUP(Compliance_Sheet!A382,Vendor_Master!A382,Vendor_Master!B382,"")</f>
        <v>Vendor_381</v>
      </c>
      <c r="C382" t="str">
        <f>_xlfn.XLOOKUP(A382,Vendor_Master!A382,Vendor_Master!C382,"")</f>
        <v>Equipment Maintenance</v>
      </c>
      <c r="D382" t="str">
        <f>_xlfn.XLOOKUP(A382,Vendor_Master!A382,Vendor_Master!D382,"")</f>
        <v>North</v>
      </c>
      <c r="E382">
        <f>_xlfn.XLOOKUP(A382,Vendor_Master!A382,Vendor_Master!E382,0)</f>
        <v>188518</v>
      </c>
      <c r="F382" t="str">
        <f>_xlfn.XLOOKUP(A382,Vendor_Master!A382,Vendor_Master!H382,"")</f>
        <v>contact381@vendor.com</v>
      </c>
      <c r="G382">
        <f ca="1">COUNTIFS(Sustainability_Documents!$A:$A,$A382,Sustainability_Documents!$H:$H,"Missing")</f>
        <v>4</v>
      </c>
      <c r="H382">
        <f ca="1">COUNTIFS(Sustainability_Documents!$A:$A,$A382,Sustainability_Documents!$H:$H,"Expired")</f>
        <v>0</v>
      </c>
      <c r="I382">
        <f ca="1">COUNTIFS(Sustainability_Documents!$A:$A,$A382,Sustainability_Documents!$H:$H,"Expiring Soon")</f>
        <v>0</v>
      </c>
      <c r="J382">
        <f>COUNTIFS(Sustainability_Documents!$A:$A,$A382,Sustainability_Documents!$C:$C,"Yes")</f>
        <v>4</v>
      </c>
      <c r="K382">
        <f ca="1">IF($J382=0,"",($J382-$G382-$H382)/$J382)</f>
        <v>0</v>
      </c>
      <c r="L382">
        <f ca="1">COUNTIFS(OutReach_Log!$A:$A,$A382,OutReach_Log!$G:$G,"Yes")</f>
        <v>1</v>
      </c>
      <c r="M382">
        <f>COUNTIFS(OutReach_Log!$A:$A,$A382,OutReach_Log!$E:$E,"Pending")
 +COUNTIFS(OutReach_Log!$A:$A,$A382,OutReach_Log!$E:$E,"Escalated")</f>
        <v>1</v>
      </c>
      <c r="N382">
        <f>COUNTIFS(Incident_Log!$A:$A,$A382,Incident_Log!$C:$C,"High",Incident_Log!$E:$E,"No")</f>
        <v>0</v>
      </c>
      <c r="O382" t="str">
        <f t="shared" ca="1" si="5"/>
        <v>Attention Required</v>
      </c>
      <c r="P382">
        <f ca="1">($G382*40)+($H382*30)+($I382*10)+($N382*50)+IF($L382&gt;0,20,0)</f>
        <v>180</v>
      </c>
      <c r="Q382">
        <f ca="1">E382*(P382/100)</f>
        <v>339332.4</v>
      </c>
      <c r="R382">
        <f ca="1">_xlfn.RANK.EQ($Q382,$Q$2:$Q$401,0)</f>
        <v>99</v>
      </c>
    </row>
    <row r="383" spans="1:18">
      <c r="A383" t="str" cm="1">
        <f t="array" ref="A383">_xlfn._xlws.SORT(Vendor_Master!A383)</f>
        <v>VND-382</v>
      </c>
      <c r="B383" t="str">
        <f>_xlfn.XLOOKUP(Compliance_Sheet!A383,Vendor_Master!A383,Vendor_Master!B383,"")</f>
        <v>Vendor_382</v>
      </c>
      <c r="C383" t="str">
        <f>_xlfn.XLOOKUP(A383,Vendor_Master!A383,Vendor_Master!C383,"")</f>
        <v>Equipment Maintenance</v>
      </c>
      <c r="D383" t="str">
        <f>_xlfn.XLOOKUP(A383,Vendor_Master!A383,Vendor_Master!D383,"")</f>
        <v>North</v>
      </c>
      <c r="E383">
        <f>_xlfn.XLOOKUP(A383,Vendor_Master!A383,Vendor_Master!E383,0)</f>
        <v>93037</v>
      </c>
      <c r="F383" t="str">
        <f>_xlfn.XLOOKUP(A383,Vendor_Master!A383,Vendor_Master!H383,"")</f>
        <v>contact382@vendor.com</v>
      </c>
      <c r="G383">
        <f ca="1">COUNTIFS(Sustainability_Documents!$A:$A,$A383,Sustainability_Documents!$H:$H,"Missing")</f>
        <v>4</v>
      </c>
      <c r="H383">
        <f ca="1">COUNTIFS(Sustainability_Documents!$A:$A,$A383,Sustainability_Documents!$H:$H,"Expired")</f>
        <v>0</v>
      </c>
      <c r="I383">
        <f ca="1">COUNTIFS(Sustainability_Documents!$A:$A,$A383,Sustainability_Documents!$H:$H,"Expiring Soon")</f>
        <v>0</v>
      </c>
      <c r="J383">
        <f>COUNTIFS(Sustainability_Documents!$A:$A,$A383,Sustainability_Documents!$C:$C,"Yes")</f>
        <v>4</v>
      </c>
      <c r="K383">
        <f ca="1">IF($J383=0,"",($J383-$G383-$H383)/$J383)</f>
        <v>0</v>
      </c>
      <c r="L383">
        <f ca="1">COUNTIFS(OutReach_Log!$A:$A,$A383,OutReach_Log!$G:$G,"Yes")</f>
        <v>1</v>
      </c>
      <c r="M383">
        <f>COUNTIFS(OutReach_Log!$A:$A,$A383,OutReach_Log!$E:$E,"Pending")
 +COUNTIFS(OutReach_Log!$A:$A,$A383,OutReach_Log!$E:$E,"Escalated")</f>
        <v>0</v>
      </c>
      <c r="N383">
        <f>COUNTIFS(Incident_Log!$A:$A,$A383,Incident_Log!$C:$C,"High",Incident_Log!$E:$E,"No")</f>
        <v>0</v>
      </c>
      <c r="O383" t="str">
        <f t="shared" ca="1" si="5"/>
        <v>Attention Required</v>
      </c>
      <c r="P383">
        <f ca="1">($G383*40)+($H383*30)+($I383*10)+($N383*50)+IF($L383&gt;0,20,0)</f>
        <v>180</v>
      </c>
      <c r="Q383">
        <f ca="1">E383*(P383/100)</f>
        <v>167466.6</v>
      </c>
      <c r="R383">
        <f ca="1">_xlfn.RANK.EQ($Q383,$Q$2:$Q$401,0)</f>
        <v>133</v>
      </c>
    </row>
    <row r="384" spans="1:18">
      <c r="A384" t="str" cm="1">
        <f t="array" ref="A384">_xlfn._xlws.SORT(Vendor_Master!A384)</f>
        <v>VND-383</v>
      </c>
      <c r="B384" t="str">
        <f>_xlfn.XLOOKUP(Compliance_Sheet!A384,Vendor_Master!A384,Vendor_Master!B384,"")</f>
        <v>Vendor_383</v>
      </c>
      <c r="C384" t="str">
        <f>_xlfn.XLOOKUP(A384,Vendor_Master!A384,Vendor_Master!C384,"")</f>
        <v>Equipment Maintenance</v>
      </c>
      <c r="D384" t="str">
        <f>_xlfn.XLOOKUP(A384,Vendor_Master!A384,Vendor_Master!D384,"")</f>
        <v>North</v>
      </c>
      <c r="E384">
        <f>_xlfn.XLOOKUP(A384,Vendor_Master!A384,Vendor_Master!E384,0)</f>
        <v>164575</v>
      </c>
      <c r="F384" t="str">
        <f>_xlfn.XLOOKUP(A384,Vendor_Master!A384,Vendor_Master!H384,"")</f>
        <v>contact383@vendor.com</v>
      </c>
      <c r="G384">
        <f ca="1">COUNTIFS(Sustainability_Documents!$A:$A,$A384,Sustainability_Documents!$H:$H,"Missing")</f>
        <v>4</v>
      </c>
      <c r="H384">
        <f ca="1">COUNTIFS(Sustainability_Documents!$A:$A,$A384,Sustainability_Documents!$H:$H,"Expired")</f>
        <v>0</v>
      </c>
      <c r="I384">
        <f ca="1">COUNTIFS(Sustainability_Documents!$A:$A,$A384,Sustainability_Documents!$H:$H,"Expiring Soon")</f>
        <v>0</v>
      </c>
      <c r="J384">
        <f>COUNTIFS(Sustainability_Documents!$A:$A,$A384,Sustainability_Documents!$C:$C,"Yes")</f>
        <v>4</v>
      </c>
      <c r="K384">
        <f ca="1">IF($J384=0,"",($J384-$G384-$H384)/$J384)</f>
        <v>0</v>
      </c>
      <c r="L384">
        <f ca="1">COUNTIFS(OutReach_Log!$A:$A,$A384,OutReach_Log!$G:$G,"Yes")</f>
        <v>1</v>
      </c>
      <c r="M384">
        <f>COUNTIFS(OutReach_Log!$A:$A,$A384,OutReach_Log!$E:$E,"Pending")
 +COUNTIFS(OutReach_Log!$A:$A,$A384,OutReach_Log!$E:$E,"Escalated")</f>
        <v>0</v>
      </c>
      <c r="N384">
        <f>COUNTIFS(Incident_Log!$A:$A,$A384,Incident_Log!$C:$C,"High",Incident_Log!$E:$E,"No")</f>
        <v>0</v>
      </c>
      <c r="O384" t="str">
        <f t="shared" ca="1" si="5"/>
        <v>Attention Required</v>
      </c>
      <c r="P384">
        <f ca="1">($G384*40)+($H384*30)+($I384*10)+($N384*50)+IF($L384&gt;0,20,0)</f>
        <v>180</v>
      </c>
      <c r="Q384">
        <f ca="1">E384*(P384/100)</f>
        <v>296235</v>
      </c>
      <c r="R384">
        <f ca="1">_xlfn.RANK.EQ($Q384,$Q$2:$Q$401,0)</f>
        <v>105</v>
      </c>
    </row>
    <row r="385" spans="1:18">
      <c r="A385" t="str" cm="1">
        <f t="array" ref="A385">_xlfn._xlws.SORT(Vendor_Master!A385)</f>
        <v>VND-384</v>
      </c>
      <c r="B385" t="str">
        <f>_xlfn.XLOOKUP(Compliance_Sheet!A385,Vendor_Master!A385,Vendor_Master!B385,"")</f>
        <v>Vendor_384</v>
      </c>
      <c r="C385" t="str">
        <f>_xlfn.XLOOKUP(A385,Vendor_Master!A385,Vendor_Master!C385,"")</f>
        <v>Equipment Maintenance</v>
      </c>
      <c r="D385" t="str">
        <f>_xlfn.XLOOKUP(A385,Vendor_Master!A385,Vendor_Master!D385,"")</f>
        <v>North</v>
      </c>
      <c r="E385">
        <f>_xlfn.XLOOKUP(A385,Vendor_Master!A385,Vendor_Master!E385,0)</f>
        <v>204592</v>
      </c>
      <c r="F385" t="str">
        <f>_xlfn.XLOOKUP(A385,Vendor_Master!A385,Vendor_Master!H385,"")</f>
        <v>contact384@vendor.com</v>
      </c>
      <c r="G385">
        <f ca="1">COUNTIFS(Sustainability_Documents!$A:$A,$A385,Sustainability_Documents!$H:$H,"Missing")</f>
        <v>4</v>
      </c>
      <c r="H385">
        <f ca="1">COUNTIFS(Sustainability_Documents!$A:$A,$A385,Sustainability_Documents!$H:$H,"Expired")</f>
        <v>0</v>
      </c>
      <c r="I385">
        <f ca="1">COUNTIFS(Sustainability_Documents!$A:$A,$A385,Sustainability_Documents!$H:$H,"Expiring Soon")</f>
        <v>0</v>
      </c>
      <c r="J385">
        <f>COUNTIFS(Sustainability_Documents!$A:$A,$A385,Sustainability_Documents!$C:$C,"Yes")</f>
        <v>4</v>
      </c>
      <c r="K385">
        <f ca="1">IF($J385=0,"",($J385-$G385-$H385)/$J385)</f>
        <v>0</v>
      </c>
      <c r="L385">
        <f ca="1">COUNTIFS(OutReach_Log!$A:$A,$A385,OutReach_Log!$G:$G,"Yes")</f>
        <v>1</v>
      </c>
      <c r="M385">
        <f>COUNTIFS(OutReach_Log!$A:$A,$A385,OutReach_Log!$E:$E,"Pending")
 +COUNTIFS(OutReach_Log!$A:$A,$A385,OutReach_Log!$E:$E,"Escalated")</f>
        <v>1</v>
      </c>
      <c r="N385">
        <f>COUNTIFS(Incident_Log!$A:$A,$A385,Incident_Log!$C:$C,"High",Incident_Log!$E:$E,"No")</f>
        <v>0</v>
      </c>
      <c r="O385" t="str">
        <f t="shared" ca="1" si="5"/>
        <v>Attention Required</v>
      </c>
      <c r="P385">
        <f ca="1">($G385*40)+($H385*30)+($I385*10)+($N385*50)+IF($L385&gt;0,20,0)</f>
        <v>180</v>
      </c>
      <c r="Q385">
        <f ca="1">E385*(P385/100)</f>
        <v>368265.60000000003</v>
      </c>
      <c r="R385">
        <f ca="1">_xlfn.RANK.EQ($Q385,$Q$2:$Q$401,0)</f>
        <v>93</v>
      </c>
    </row>
    <row r="386" spans="1:18">
      <c r="A386" t="str" cm="1">
        <f t="array" ref="A386">_xlfn._xlws.SORT(Vendor_Master!A386)</f>
        <v>VND-385</v>
      </c>
      <c r="B386" t="str">
        <f>_xlfn.XLOOKUP(Compliance_Sheet!A386,Vendor_Master!A386,Vendor_Master!B386,"")</f>
        <v>Vendor_385</v>
      </c>
      <c r="C386" t="str">
        <f>_xlfn.XLOOKUP(A386,Vendor_Master!A386,Vendor_Master!C386,"")</f>
        <v>Equipment Maintenance</v>
      </c>
      <c r="D386" t="str">
        <f>_xlfn.XLOOKUP(A386,Vendor_Master!A386,Vendor_Master!D386,"")</f>
        <v>North</v>
      </c>
      <c r="E386">
        <f>_xlfn.XLOOKUP(A386,Vendor_Master!A386,Vendor_Master!E386,0)</f>
        <v>205996</v>
      </c>
      <c r="F386" t="str">
        <f>_xlfn.XLOOKUP(A386,Vendor_Master!A386,Vendor_Master!H386,"")</f>
        <v>contact385@vendor.com</v>
      </c>
      <c r="G386">
        <f ca="1">COUNTIFS(Sustainability_Documents!$A:$A,$A386,Sustainability_Documents!$H:$H,"Missing")</f>
        <v>4</v>
      </c>
      <c r="H386">
        <f ca="1">COUNTIFS(Sustainability_Documents!$A:$A,$A386,Sustainability_Documents!$H:$H,"Expired")</f>
        <v>0</v>
      </c>
      <c r="I386">
        <f ca="1">COUNTIFS(Sustainability_Documents!$A:$A,$A386,Sustainability_Documents!$H:$H,"Expiring Soon")</f>
        <v>0</v>
      </c>
      <c r="J386">
        <f>COUNTIFS(Sustainability_Documents!$A:$A,$A386,Sustainability_Documents!$C:$C,"Yes")</f>
        <v>4</v>
      </c>
      <c r="K386">
        <f ca="1">IF($J386=0,"",($J386-$G386-$H386)/$J386)</f>
        <v>0</v>
      </c>
      <c r="L386">
        <f ca="1">COUNTIFS(OutReach_Log!$A:$A,$A386,OutReach_Log!$G:$G,"Yes")</f>
        <v>1</v>
      </c>
      <c r="M386">
        <f>COUNTIFS(OutReach_Log!$A:$A,$A386,OutReach_Log!$E:$E,"Pending")
 +COUNTIFS(OutReach_Log!$A:$A,$A386,OutReach_Log!$E:$E,"Escalated")</f>
        <v>1</v>
      </c>
      <c r="N386">
        <f>COUNTIFS(Incident_Log!$A:$A,$A386,Incident_Log!$C:$C,"High",Incident_Log!$E:$E,"No")</f>
        <v>0</v>
      </c>
      <c r="O386" t="str">
        <f t="shared" ca="1" si="5"/>
        <v>Attention Required</v>
      </c>
      <c r="P386">
        <f ca="1">($G386*40)+($H386*30)+($I386*10)+($N386*50)+IF($L386&gt;0,20,0)</f>
        <v>180</v>
      </c>
      <c r="Q386">
        <f ca="1">E386*(P386/100)</f>
        <v>370792.8</v>
      </c>
      <c r="R386">
        <f ca="1">_xlfn.RANK.EQ($Q386,$Q$2:$Q$401,0)</f>
        <v>92</v>
      </c>
    </row>
    <row r="387" spans="1:18">
      <c r="A387" t="str" cm="1">
        <f t="array" ref="A387">_xlfn._xlws.SORT(Vendor_Master!A387)</f>
        <v>VND-386</v>
      </c>
      <c r="B387" t="str">
        <f>_xlfn.XLOOKUP(Compliance_Sheet!A387,Vendor_Master!A387,Vendor_Master!B387,"")</f>
        <v>Vendor_386</v>
      </c>
      <c r="C387" t="str">
        <f>_xlfn.XLOOKUP(A387,Vendor_Master!A387,Vendor_Master!C387,"")</f>
        <v>Equipment Maintenance</v>
      </c>
      <c r="D387" t="str">
        <f>_xlfn.XLOOKUP(A387,Vendor_Master!A387,Vendor_Master!D387,"")</f>
        <v>North</v>
      </c>
      <c r="E387">
        <f>_xlfn.XLOOKUP(A387,Vendor_Master!A387,Vendor_Master!E387,0)</f>
        <v>107784</v>
      </c>
      <c r="F387" t="str">
        <f>_xlfn.XLOOKUP(A387,Vendor_Master!A387,Vendor_Master!H387,"")</f>
        <v>contact386@vendor.com</v>
      </c>
      <c r="G387">
        <f ca="1">COUNTIFS(Sustainability_Documents!$A:$A,$A387,Sustainability_Documents!$H:$H,"Missing")</f>
        <v>4</v>
      </c>
      <c r="H387">
        <f ca="1">COUNTIFS(Sustainability_Documents!$A:$A,$A387,Sustainability_Documents!$H:$H,"Expired")</f>
        <v>0</v>
      </c>
      <c r="I387">
        <f ca="1">COUNTIFS(Sustainability_Documents!$A:$A,$A387,Sustainability_Documents!$H:$H,"Expiring Soon")</f>
        <v>0</v>
      </c>
      <c r="J387">
        <f>COUNTIFS(Sustainability_Documents!$A:$A,$A387,Sustainability_Documents!$C:$C,"Yes")</f>
        <v>4</v>
      </c>
      <c r="K387">
        <f ca="1">IF($J387=0,"",($J387-$G387-$H387)/$J387)</f>
        <v>0</v>
      </c>
      <c r="L387">
        <f ca="1">COUNTIFS(OutReach_Log!$A:$A,$A387,OutReach_Log!$G:$G,"Yes")</f>
        <v>1</v>
      </c>
      <c r="M387">
        <f>COUNTIFS(OutReach_Log!$A:$A,$A387,OutReach_Log!$E:$E,"Pending")
 +COUNTIFS(OutReach_Log!$A:$A,$A387,OutReach_Log!$E:$E,"Escalated")</f>
        <v>0</v>
      </c>
      <c r="N387">
        <f>COUNTIFS(Incident_Log!$A:$A,$A387,Incident_Log!$C:$C,"High",Incident_Log!$E:$E,"No")</f>
        <v>0</v>
      </c>
      <c r="O387" t="str">
        <f t="shared" ref="O387:O401" ca="1" si="6">IF(OR(H387&gt;0,I387&gt;0,N387&gt;0),
   "High Attention Required",
   IF(J387&gt;0,
      "Attention Required",
      "Fully Compliant"
   )
)</f>
        <v>Attention Required</v>
      </c>
      <c r="P387">
        <f ca="1">($G387*40)+($H387*30)+($I387*10)+($N387*50)+IF($L387&gt;0,20,0)</f>
        <v>180</v>
      </c>
      <c r="Q387">
        <f ca="1">E387*(P387/100)</f>
        <v>194011.2</v>
      </c>
      <c r="R387">
        <f ca="1">_xlfn.RANK.EQ($Q387,$Q$2:$Q$401,0)</f>
        <v>122</v>
      </c>
    </row>
    <row r="388" spans="1:18">
      <c r="A388" t="str" cm="1">
        <f t="array" ref="A388">_xlfn._xlws.SORT(Vendor_Master!A388)</f>
        <v>VND-387</v>
      </c>
      <c r="B388" t="str">
        <f>_xlfn.XLOOKUP(Compliance_Sheet!A388,Vendor_Master!A388,Vendor_Master!B388,"")</f>
        <v>Vendor_387</v>
      </c>
      <c r="C388" t="str">
        <f>_xlfn.XLOOKUP(A388,Vendor_Master!A388,Vendor_Master!C388,"")</f>
        <v>Equipment Maintenance</v>
      </c>
      <c r="D388" t="str">
        <f>_xlfn.XLOOKUP(A388,Vendor_Master!A388,Vendor_Master!D388,"")</f>
        <v>North</v>
      </c>
      <c r="E388">
        <f>_xlfn.XLOOKUP(A388,Vendor_Master!A388,Vendor_Master!E388,0)</f>
        <v>132365</v>
      </c>
      <c r="F388" t="str">
        <f>_xlfn.XLOOKUP(A388,Vendor_Master!A388,Vendor_Master!H388,"")</f>
        <v>contact387@vendor.com</v>
      </c>
      <c r="G388">
        <f ca="1">COUNTIFS(Sustainability_Documents!$A:$A,$A388,Sustainability_Documents!$H:$H,"Missing")</f>
        <v>4</v>
      </c>
      <c r="H388">
        <f ca="1">COUNTIFS(Sustainability_Documents!$A:$A,$A388,Sustainability_Documents!$H:$H,"Expired")</f>
        <v>0</v>
      </c>
      <c r="I388">
        <f ca="1">COUNTIFS(Sustainability_Documents!$A:$A,$A388,Sustainability_Documents!$H:$H,"Expiring Soon")</f>
        <v>0</v>
      </c>
      <c r="J388">
        <f>COUNTIFS(Sustainability_Documents!$A:$A,$A388,Sustainability_Documents!$C:$C,"Yes")</f>
        <v>4</v>
      </c>
      <c r="K388">
        <f ca="1">IF($J388=0,"",($J388-$G388-$H388)/$J388)</f>
        <v>0</v>
      </c>
      <c r="L388">
        <f ca="1">COUNTIFS(OutReach_Log!$A:$A,$A388,OutReach_Log!$G:$G,"Yes")</f>
        <v>1</v>
      </c>
      <c r="M388">
        <f>COUNTIFS(OutReach_Log!$A:$A,$A388,OutReach_Log!$E:$E,"Pending")
 +COUNTIFS(OutReach_Log!$A:$A,$A388,OutReach_Log!$E:$E,"Escalated")</f>
        <v>0</v>
      </c>
      <c r="N388">
        <f>COUNTIFS(Incident_Log!$A:$A,$A388,Incident_Log!$C:$C,"High",Incident_Log!$E:$E,"No")</f>
        <v>0</v>
      </c>
      <c r="O388" t="str">
        <f t="shared" ca="1" si="6"/>
        <v>Attention Required</v>
      </c>
      <c r="P388">
        <f ca="1">($G388*40)+($H388*30)+($I388*10)+($N388*50)+IF($L388&gt;0,20,0)</f>
        <v>180</v>
      </c>
      <c r="Q388">
        <f ca="1">E388*(P388/100)</f>
        <v>238257</v>
      </c>
      <c r="R388">
        <f ca="1">_xlfn.RANK.EQ($Q388,$Q$2:$Q$401,0)</f>
        <v>114</v>
      </c>
    </row>
    <row r="389" spans="1:18">
      <c r="A389" t="str" cm="1">
        <f t="array" ref="A389">_xlfn._xlws.SORT(Vendor_Master!A389)</f>
        <v>VND-388</v>
      </c>
      <c r="B389" t="str">
        <f>_xlfn.XLOOKUP(Compliance_Sheet!A389,Vendor_Master!A389,Vendor_Master!B389,"")</f>
        <v>Vendor_388</v>
      </c>
      <c r="C389" t="str">
        <f>_xlfn.XLOOKUP(A389,Vendor_Master!A389,Vendor_Master!C389,"")</f>
        <v>Equipment Maintenance</v>
      </c>
      <c r="D389" t="str">
        <f>_xlfn.XLOOKUP(A389,Vendor_Master!A389,Vendor_Master!D389,"")</f>
        <v>North</v>
      </c>
      <c r="E389">
        <f>_xlfn.XLOOKUP(A389,Vendor_Master!A389,Vendor_Master!E389,0)</f>
        <v>57104</v>
      </c>
      <c r="F389" t="str">
        <f>_xlfn.XLOOKUP(A389,Vendor_Master!A389,Vendor_Master!H389,"")</f>
        <v>contact388@vendor.com</v>
      </c>
      <c r="G389">
        <f ca="1">COUNTIFS(Sustainability_Documents!$A:$A,$A389,Sustainability_Documents!$H:$H,"Missing")</f>
        <v>4</v>
      </c>
      <c r="H389">
        <f ca="1">COUNTIFS(Sustainability_Documents!$A:$A,$A389,Sustainability_Documents!$H:$H,"Expired")</f>
        <v>0</v>
      </c>
      <c r="I389">
        <f ca="1">COUNTIFS(Sustainability_Documents!$A:$A,$A389,Sustainability_Documents!$H:$H,"Expiring Soon")</f>
        <v>0</v>
      </c>
      <c r="J389">
        <f>COUNTIFS(Sustainability_Documents!$A:$A,$A389,Sustainability_Documents!$C:$C,"Yes")</f>
        <v>4</v>
      </c>
      <c r="K389">
        <f ca="1">IF($J389=0,"",($J389-$G389-$H389)/$J389)</f>
        <v>0</v>
      </c>
      <c r="L389">
        <f ca="1">COUNTIFS(OutReach_Log!$A:$A,$A389,OutReach_Log!$G:$G,"Yes")</f>
        <v>1</v>
      </c>
      <c r="M389">
        <f>COUNTIFS(OutReach_Log!$A:$A,$A389,OutReach_Log!$E:$E,"Pending")
 +COUNTIFS(OutReach_Log!$A:$A,$A389,OutReach_Log!$E:$E,"Escalated")</f>
        <v>0</v>
      </c>
      <c r="N389">
        <f>COUNTIFS(Incident_Log!$A:$A,$A389,Incident_Log!$C:$C,"High",Incident_Log!$E:$E,"No")</f>
        <v>0</v>
      </c>
      <c r="O389" t="str">
        <f t="shared" ca="1" si="6"/>
        <v>Attention Required</v>
      </c>
      <c r="P389">
        <f ca="1">($G389*40)+($H389*30)+($I389*10)+($N389*50)+IF($L389&gt;0,20,0)</f>
        <v>180</v>
      </c>
      <c r="Q389">
        <f ca="1">E389*(P389/100)</f>
        <v>102787.2</v>
      </c>
      <c r="R389">
        <f ca="1">_xlfn.RANK.EQ($Q389,$Q$2:$Q$401,0)</f>
        <v>145</v>
      </c>
    </row>
    <row r="390" spans="1:18">
      <c r="A390" t="str" cm="1">
        <f t="array" ref="A390">_xlfn._xlws.SORT(Vendor_Master!A390)</f>
        <v>VND-389</v>
      </c>
      <c r="B390" t="str">
        <f>_xlfn.XLOOKUP(Compliance_Sheet!A390,Vendor_Master!A390,Vendor_Master!B390,"")</f>
        <v>Vendor_389</v>
      </c>
      <c r="C390" t="str">
        <f>_xlfn.XLOOKUP(A390,Vendor_Master!A390,Vendor_Master!C390,"")</f>
        <v>Equipment Maintenance</v>
      </c>
      <c r="D390" t="str">
        <f>_xlfn.XLOOKUP(A390,Vendor_Master!A390,Vendor_Master!D390,"")</f>
        <v>North</v>
      </c>
      <c r="E390">
        <f>_xlfn.XLOOKUP(A390,Vendor_Master!A390,Vendor_Master!E390,0)</f>
        <v>93677</v>
      </c>
      <c r="F390" t="str">
        <f>_xlfn.XLOOKUP(A390,Vendor_Master!A390,Vendor_Master!H390,"")</f>
        <v>contact389@vendor.com</v>
      </c>
      <c r="G390">
        <f ca="1">COUNTIFS(Sustainability_Documents!$A:$A,$A390,Sustainability_Documents!$H:$H,"Missing")</f>
        <v>4</v>
      </c>
      <c r="H390">
        <f ca="1">COUNTIFS(Sustainability_Documents!$A:$A,$A390,Sustainability_Documents!$H:$H,"Expired")</f>
        <v>0</v>
      </c>
      <c r="I390">
        <f ca="1">COUNTIFS(Sustainability_Documents!$A:$A,$A390,Sustainability_Documents!$H:$H,"Expiring Soon")</f>
        <v>0</v>
      </c>
      <c r="J390">
        <f>COUNTIFS(Sustainability_Documents!$A:$A,$A390,Sustainability_Documents!$C:$C,"Yes")</f>
        <v>4</v>
      </c>
      <c r="K390">
        <f ca="1">IF($J390=0,"",($J390-$G390-$H390)/$J390)</f>
        <v>0</v>
      </c>
      <c r="L390">
        <f ca="1">COUNTIFS(OutReach_Log!$A:$A,$A390,OutReach_Log!$G:$G,"Yes")</f>
        <v>1</v>
      </c>
      <c r="M390">
        <f>COUNTIFS(OutReach_Log!$A:$A,$A390,OutReach_Log!$E:$E,"Pending")
 +COUNTIFS(OutReach_Log!$A:$A,$A390,OutReach_Log!$E:$E,"Escalated")</f>
        <v>1</v>
      </c>
      <c r="N390">
        <f>COUNTIFS(Incident_Log!$A:$A,$A390,Incident_Log!$C:$C,"High",Incident_Log!$E:$E,"No")</f>
        <v>0</v>
      </c>
      <c r="O390" t="str">
        <f t="shared" ca="1" si="6"/>
        <v>Attention Required</v>
      </c>
      <c r="P390">
        <f ca="1">($G390*40)+($H390*30)+($I390*10)+($N390*50)+IF($L390&gt;0,20,0)</f>
        <v>180</v>
      </c>
      <c r="Q390">
        <f ca="1">E390*(P390/100)</f>
        <v>168618.6</v>
      </c>
      <c r="R390">
        <f ca="1">_xlfn.RANK.EQ($Q390,$Q$2:$Q$401,0)</f>
        <v>132</v>
      </c>
    </row>
    <row r="391" spans="1:18">
      <c r="A391" t="str" cm="1">
        <f t="array" ref="A391">_xlfn._xlws.SORT(Vendor_Master!A391)</f>
        <v>VND-390</v>
      </c>
      <c r="B391" t="str">
        <f>_xlfn.XLOOKUP(Compliance_Sheet!A391,Vendor_Master!A391,Vendor_Master!B391,"")</f>
        <v>Vendor_390</v>
      </c>
      <c r="C391" t="str">
        <f>_xlfn.XLOOKUP(A391,Vendor_Master!A391,Vendor_Master!C391,"")</f>
        <v>Equipment Maintenance</v>
      </c>
      <c r="D391" t="str">
        <f>_xlfn.XLOOKUP(A391,Vendor_Master!A391,Vendor_Master!D391,"")</f>
        <v>North</v>
      </c>
      <c r="E391">
        <f>_xlfn.XLOOKUP(A391,Vendor_Master!A391,Vendor_Master!E391,0)</f>
        <v>128614</v>
      </c>
      <c r="F391" t="str">
        <f>_xlfn.XLOOKUP(A391,Vendor_Master!A391,Vendor_Master!H391,"")</f>
        <v>contact390@vendor.com</v>
      </c>
      <c r="G391">
        <f ca="1">COUNTIFS(Sustainability_Documents!$A:$A,$A391,Sustainability_Documents!$H:$H,"Missing")</f>
        <v>4</v>
      </c>
      <c r="H391">
        <f ca="1">COUNTIFS(Sustainability_Documents!$A:$A,$A391,Sustainability_Documents!$H:$H,"Expired")</f>
        <v>0</v>
      </c>
      <c r="I391">
        <f ca="1">COUNTIFS(Sustainability_Documents!$A:$A,$A391,Sustainability_Documents!$H:$H,"Expiring Soon")</f>
        <v>0</v>
      </c>
      <c r="J391">
        <f>COUNTIFS(Sustainability_Documents!$A:$A,$A391,Sustainability_Documents!$C:$C,"Yes")</f>
        <v>4</v>
      </c>
      <c r="K391">
        <f ca="1">IF($J391=0,"",($J391-$G391-$H391)/$J391)</f>
        <v>0</v>
      </c>
      <c r="L391">
        <f ca="1">COUNTIFS(OutReach_Log!$A:$A,$A391,OutReach_Log!$G:$G,"Yes")</f>
        <v>1</v>
      </c>
      <c r="M391">
        <f>COUNTIFS(OutReach_Log!$A:$A,$A391,OutReach_Log!$E:$E,"Pending")
 +COUNTIFS(OutReach_Log!$A:$A,$A391,OutReach_Log!$E:$E,"Escalated")</f>
        <v>0</v>
      </c>
      <c r="N391">
        <f>COUNTIFS(Incident_Log!$A:$A,$A391,Incident_Log!$C:$C,"High",Incident_Log!$E:$E,"No")</f>
        <v>0</v>
      </c>
      <c r="O391" t="str">
        <f t="shared" ca="1" si="6"/>
        <v>Attention Required</v>
      </c>
      <c r="P391">
        <f ca="1">($G391*40)+($H391*30)+($I391*10)+($N391*50)+IF($L391&gt;0,20,0)</f>
        <v>180</v>
      </c>
      <c r="Q391">
        <f ca="1">E391*(P391/100)</f>
        <v>231505.2</v>
      </c>
      <c r="R391">
        <f ca="1">_xlfn.RANK.EQ($Q391,$Q$2:$Q$401,0)</f>
        <v>115</v>
      </c>
    </row>
    <row r="392" spans="1:18">
      <c r="A392" t="str" cm="1">
        <f t="array" ref="A392">_xlfn._xlws.SORT(Vendor_Master!A392)</f>
        <v>VND-391</v>
      </c>
      <c r="B392" t="str">
        <f>_xlfn.XLOOKUP(Compliance_Sheet!A392,Vendor_Master!A392,Vendor_Master!B392,"")</f>
        <v>Vendor_391</v>
      </c>
      <c r="C392" t="str">
        <f>_xlfn.XLOOKUP(A392,Vendor_Master!A392,Vendor_Master!C392,"")</f>
        <v>Equipment Maintenance</v>
      </c>
      <c r="D392" t="str">
        <f>_xlfn.XLOOKUP(A392,Vendor_Master!A392,Vendor_Master!D392,"")</f>
        <v>North</v>
      </c>
      <c r="E392">
        <f>_xlfn.XLOOKUP(A392,Vendor_Master!A392,Vendor_Master!E392,0)</f>
        <v>226337</v>
      </c>
      <c r="F392" t="str">
        <f>_xlfn.XLOOKUP(A392,Vendor_Master!A392,Vendor_Master!H392,"")</f>
        <v>contact391@vendor.com</v>
      </c>
      <c r="G392">
        <f ca="1">COUNTIFS(Sustainability_Documents!$A:$A,$A392,Sustainability_Documents!$H:$H,"Missing")</f>
        <v>4</v>
      </c>
      <c r="H392">
        <f ca="1">COUNTIFS(Sustainability_Documents!$A:$A,$A392,Sustainability_Documents!$H:$H,"Expired")</f>
        <v>0</v>
      </c>
      <c r="I392">
        <f ca="1">COUNTIFS(Sustainability_Documents!$A:$A,$A392,Sustainability_Documents!$H:$H,"Expiring Soon")</f>
        <v>0</v>
      </c>
      <c r="J392">
        <f>COUNTIFS(Sustainability_Documents!$A:$A,$A392,Sustainability_Documents!$C:$C,"Yes")</f>
        <v>4</v>
      </c>
      <c r="K392">
        <f ca="1">IF($J392=0,"",($J392-$G392-$H392)/$J392)</f>
        <v>0</v>
      </c>
      <c r="L392">
        <f ca="1">COUNTIFS(OutReach_Log!$A:$A,$A392,OutReach_Log!$G:$G,"Yes")</f>
        <v>1</v>
      </c>
      <c r="M392">
        <f>COUNTIFS(OutReach_Log!$A:$A,$A392,OutReach_Log!$E:$E,"Pending")
 +COUNTIFS(OutReach_Log!$A:$A,$A392,OutReach_Log!$E:$E,"Escalated")</f>
        <v>1</v>
      </c>
      <c r="N392">
        <f>COUNTIFS(Incident_Log!$A:$A,$A392,Incident_Log!$C:$C,"High",Incident_Log!$E:$E,"No")</f>
        <v>0</v>
      </c>
      <c r="O392" t="str">
        <f t="shared" ca="1" si="6"/>
        <v>Attention Required</v>
      </c>
      <c r="P392">
        <f ca="1">($G392*40)+($H392*30)+($I392*10)+($N392*50)+IF($L392&gt;0,20,0)</f>
        <v>180</v>
      </c>
      <c r="Q392">
        <f ca="1">E392*(P392/100)</f>
        <v>407406.60000000003</v>
      </c>
      <c r="R392">
        <f ca="1">_xlfn.RANK.EQ($Q392,$Q$2:$Q$401,0)</f>
        <v>81</v>
      </c>
    </row>
    <row r="393" spans="1:18">
      <c r="A393" t="str" cm="1">
        <f t="array" ref="A393">_xlfn._xlws.SORT(Vendor_Master!A393)</f>
        <v>VND-392</v>
      </c>
      <c r="B393" t="str">
        <f>_xlfn.XLOOKUP(Compliance_Sheet!A393,Vendor_Master!A393,Vendor_Master!B393,"")</f>
        <v>Vendor_392</v>
      </c>
      <c r="C393" t="str">
        <f>_xlfn.XLOOKUP(A393,Vendor_Master!A393,Vendor_Master!C393,"")</f>
        <v>Equipment Maintenance</v>
      </c>
      <c r="D393" t="str">
        <f>_xlfn.XLOOKUP(A393,Vendor_Master!A393,Vendor_Master!D393,"")</f>
        <v>North</v>
      </c>
      <c r="E393">
        <f>_xlfn.XLOOKUP(A393,Vendor_Master!A393,Vendor_Master!E393,0)</f>
        <v>218926</v>
      </c>
      <c r="F393" t="str">
        <f>_xlfn.XLOOKUP(A393,Vendor_Master!A393,Vendor_Master!H393,"")</f>
        <v>contact392@vendor.com</v>
      </c>
      <c r="G393">
        <f ca="1">COUNTIFS(Sustainability_Documents!$A:$A,$A393,Sustainability_Documents!$H:$H,"Missing")</f>
        <v>4</v>
      </c>
      <c r="H393">
        <f ca="1">COUNTIFS(Sustainability_Documents!$A:$A,$A393,Sustainability_Documents!$H:$H,"Expired")</f>
        <v>0</v>
      </c>
      <c r="I393">
        <f ca="1">COUNTIFS(Sustainability_Documents!$A:$A,$A393,Sustainability_Documents!$H:$H,"Expiring Soon")</f>
        <v>0</v>
      </c>
      <c r="J393">
        <f>COUNTIFS(Sustainability_Documents!$A:$A,$A393,Sustainability_Documents!$C:$C,"Yes")</f>
        <v>4</v>
      </c>
      <c r="K393">
        <f ca="1">IF($J393=0,"",($J393-$G393-$H393)/$J393)</f>
        <v>0</v>
      </c>
      <c r="L393">
        <f ca="1">COUNTIFS(OutReach_Log!$A:$A,$A393,OutReach_Log!$G:$G,"Yes")</f>
        <v>1</v>
      </c>
      <c r="M393">
        <f>COUNTIFS(OutReach_Log!$A:$A,$A393,OutReach_Log!$E:$E,"Pending")
 +COUNTIFS(OutReach_Log!$A:$A,$A393,OutReach_Log!$E:$E,"Escalated")</f>
        <v>1</v>
      </c>
      <c r="N393">
        <f>COUNTIFS(Incident_Log!$A:$A,$A393,Incident_Log!$C:$C,"High",Incident_Log!$E:$E,"No")</f>
        <v>0</v>
      </c>
      <c r="O393" t="str">
        <f t="shared" ca="1" si="6"/>
        <v>Attention Required</v>
      </c>
      <c r="P393">
        <f ca="1">($G393*40)+($H393*30)+($I393*10)+($N393*50)+IF($L393&gt;0,20,0)</f>
        <v>180</v>
      </c>
      <c r="Q393">
        <f ca="1">E393*(P393/100)</f>
        <v>394066.8</v>
      </c>
      <c r="R393">
        <f ca="1">_xlfn.RANK.EQ($Q393,$Q$2:$Q$401,0)</f>
        <v>84</v>
      </c>
    </row>
    <row r="394" spans="1:18">
      <c r="A394" t="str" cm="1">
        <f t="array" ref="A394">_xlfn._xlws.SORT(Vendor_Master!A394)</f>
        <v>VND-393</v>
      </c>
      <c r="B394" t="str">
        <f>_xlfn.XLOOKUP(Compliance_Sheet!A394,Vendor_Master!A394,Vendor_Master!B394,"")</f>
        <v>Vendor_393</v>
      </c>
      <c r="C394" t="str">
        <f>_xlfn.XLOOKUP(A394,Vendor_Master!A394,Vendor_Master!C394,"")</f>
        <v>Equipment Maintenance</v>
      </c>
      <c r="D394" t="str">
        <f>_xlfn.XLOOKUP(A394,Vendor_Master!A394,Vendor_Master!D394,"")</f>
        <v>North</v>
      </c>
      <c r="E394">
        <f>_xlfn.XLOOKUP(A394,Vendor_Master!A394,Vendor_Master!E394,0)</f>
        <v>186526</v>
      </c>
      <c r="F394" t="str">
        <f>_xlfn.XLOOKUP(A394,Vendor_Master!A394,Vendor_Master!H394,"")</f>
        <v>contact393@vendor.com</v>
      </c>
      <c r="G394">
        <f ca="1">COUNTIFS(Sustainability_Documents!$A:$A,$A394,Sustainability_Documents!$H:$H,"Missing")</f>
        <v>4</v>
      </c>
      <c r="H394">
        <f ca="1">COUNTIFS(Sustainability_Documents!$A:$A,$A394,Sustainability_Documents!$H:$H,"Expired")</f>
        <v>0</v>
      </c>
      <c r="I394">
        <f ca="1">COUNTIFS(Sustainability_Documents!$A:$A,$A394,Sustainability_Documents!$H:$H,"Expiring Soon")</f>
        <v>0</v>
      </c>
      <c r="J394">
        <f>COUNTIFS(Sustainability_Documents!$A:$A,$A394,Sustainability_Documents!$C:$C,"Yes")</f>
        <v>4</v>
      </c>
      <c r="K394">
        <f ca="1">IF($J394=0,"",($J394-$G394-$H394)/$J394)</f>
        <v>0</v>
      </c>
      <c r="L394">
        <f ca="1">COUNTIFS(OutReach_Log!$A:$A,$A394,OutReach_Log!$G:$G,"Yes")</f>
        <v>1</v>
      </c>
      <c r="M394">
        <f>COUNTIFS(OutReach_Log!$A:$A,$A394,OutReach_Log!$E:$E,"Pending")
 +COUNTIFS(OutReach_Log!$A:$A,$A394,OutReach_Log!$E:$E,"Escalated")</f>
        <v>1</v>
      </c>
      <c r="N394">
        <f>COUNTIFS(Incident_Log!$A:$A,$A394,Incident_Log!$C:$C,"High",Incident_Log!$E:$E,"No")</f>
        <v>0</v>
      </c>
      <c r="O394" t="str">
        <f t="shared" ca="1" si="6"/>
        <v>Attention Required</v>
      </c>
      <c r="P394">
        <f ca="1">($G394*40)+($H394*30)+($I394*10)+($N394*50)+IF($L394&gt;0,20,0)</f>
        <v>180</v>
      </c>
      <c r="Q394">
        <f ca="1">E394*(P394/100)</f>
        <v>335746.8</v>
      </c>
      <c r="R394">
        <f ca="1">_xlfn.RANK.EQ($Q394,$Q$2:$Q$401,0)</f>
        <v>100</v>
      </c>
    </row>
    <row r="395" spans="1:18">
      <c r="A395" t="str" cm="1">
        <f t="array" ref="A395">_xlfn._xlws.SORT(Vendor_Master!A395)</f>
        <v>VND-394</v>
      </c>
      <c r="B395" t="str">
        <f>_xlfn.XLOOKUP(Compliance_Sheet!A395,Vendor_Master!A395,Vendor_Master!B395,"")</f>
        <v>Vendor_394</v>
      </c>
      <c r="C395" t="str">
        <f>_xlfn.XLOOKUP(A395,Vendor_Master!A395,Vendor_Master!C395,"")</f>
        <v>Equipment Maintenance</v>
      </c>
      <c r="D395" t="str">
        <f>_xlfn.XLOOKUP(A395,Vendor_Master!A395,Vendor_Master!D395,"")</f>
        <v>North</v>
      </c>
      <c r="E395">
        <f>_xlfn.XLOOKUP(A395,Vendor_Master!A395,Vendor_Master!E395,0)</f>
        <v>242259</v>
      </c>
      <c r="F395" t="str">
        <f>_xlfn.XLOOKUP(A395,Vendor_Master!A395,Vendor_Master!H395,"")</f>
        <v>contact394@vendor.com</v>
      </c>
      <c r="G395">
        <f ca="1">COUNTIFS(Sustainability_Documents!$A:$A,$A395,Sustainability_Documents!$H:$H,"Missing")</f>
        <v>4</v>
      </c>
      <c r="H395">
        <f ca="1">COUNTIFS(Sustainability_Documents!$A:$A,$A395,Sustainability_Documents!$H:$H,"Expired")</f>
        <v>0</v>
      </c>
      <c r="I395">
        <f ca="1">COUNTIFS(Sustainability_Documents!$A:$A,$A395,Sustainability_Documents!$H:$H,"Expiring Soon")</f>
        <v>0</v>
      </c>
      <c r="J395">
        <f>COUNTIFS(Sustainability_Documents!$A:$A,$A395,Sustainability_Documents!$C:$C,"Yes")</f>
        <v>4</v>
      </c>
      <c r="K395">
        <f ca="1">IF($J395=0,"",($J395-$G395-$H395)/$J395)</f>
        <v>0</v>
      </c>
      <c r="L395">
        <f ca="1">COUNTIFS(OutReach_Log!$A:$A,$A395,OutReach_Log!$G:$G,"Yes")</f>
        <v>1</v>
      </c>
      <c r="M395">
        <f>COUNTIFS(OutReach_Log!$A:$A,$A395,OutReach_Log!$E:$E,"Pending")
 +COUNTIFS(OutReach_Log!$A:$A,$A395,OutReach_Log!$E:$E,"Escalated")</f>
        <v>1</v>
      </c>
      <c r="N395">
        <f>COUNTIFS(Incident_Log!$A:$A,$A395,Incident_Log!$C:$C,"High",Incident_Log!$E:$E,"No")</f>
        <v>0</v>
      </c>
      <c r="O395" t="str">
        <f t="shared" ca="1" si="6"/>
        <v>Attention Required</v>
      </c>
      <c r="P395">
        <f ca="1">($G395*40)+($H395*30)+($I395*10)+($N395*50)+IF($L395&gt;0,20,0)</f>
        <v>180</v>
      </c>
      <c r="Q395">
        <f ca="1">E395*(P395/100)</f>
        <v>436066.2</v>
      </c>
      <c r="R395">
        <f ca="1">_xlfn.RANK.EQ($Q395,$Q$2:$Q$401,0)</f>
        <v>75</v>
      </c>
    </row>
    <row r="396" spans="1:18">
      <c r="A396" t="str" cm="1">
        <f t="array" ref="A396">_xlfn._xlws.SORT(Vendor_Master!A396)</f>
        <v>VND-395</v>
      </c>
      <c r="B396" t="str">
        <f>_xlfn.XLOOKUP(Compliance_Sheet!A396,Vendor_Master!A396,Vendor_Master!B396,"")</f>
        <v>Vendor_395</v>
      </c>
      <c r="C396" t="str">
        <f>_xlfn.XLOOKUP(A396,Vendor_Master!A396,Vendor_Master!C396,"")</f>
        <v>Equipment Maintenance</v>
      </c>
      <c r="D396" t="str">
        <f>_xlfn.XLOOKUP(A396,Vendor_Master!A396,Vendor_Master!D396,"")</f>
        <v>North</v>
      </c>
      <c r="E396">
        <f>_xlfn.XLOOKUP(A396,Vendor_Master!A396,Vendor_Master!E396,0)</f>
        <v>215482</v>
      </c>
      <c r="F396" t="str">
        <f>_xlfn.XLOOKUP(A396,Vendor_Master!A396,Vendor_Master!H396,"")</f>
        <v>contact395@vendor.com</v>
      </c>
      <c r="G396">
        <f ca="1">COUNTIFS(Sustainability_Documents!$A:$A,$A396,Sustainability_Documents!$H:$H,"Missing")</f>
        <v>4</v>
      </c>
      <c r="H396">
        <f ca="1">COUNTIFS(Sustainability_Documents!$A:$A,$A396,Sustainability_Documents!$H:$H,"Expired")</f>
        <v>0</v>
      </c>
      <c r="I396">
        <f ca="1">COUNTIFS(Sustainability_Documents!$A:$A,$A396,Sustainability_Documents!$H:$H,"Expiring Soon")</f>
        <v>0</v>
      </c>
      <c r="J396">
        <f>COUNTIFS(Sustainability_Documents!$A:$A,$A396,Sustainability_Documents!$C:$C,"Yes")</f>
        <v>4</v>
      </c>
      <c r="K396">
        <f ca="1">IF($J396=0,"",($J396-$G396-$H396)/$J396)</f>
        <v>0</v>
      </c>
      <c r="L396">
        <f ca="1">COUNTIFS(OutReach_Log!$A:$A,$A396,OutReach_Log!$G:$G,"Yes")</f>
        <v>1</v>
      </c>
      <c r="M396">
        <f>COUNTIFS(OutReach_Log!$A:$A,$A396,OutReach_Log!$E:$E,"Pending")
 +COUNTIFS(OutReach_Log!$A:$A,$A396,OutReach_Log!$E:$E,"Escalated")</f>
        <v>0</v>
      </c>
      <c r="N396">
        <f>COUNTIFS(Incident_Log!$A:$A,$A396,Incident_Log!$C:$C,"High",Incident_Log!$E:$E,"No")</f>
        <v>0</v>
      </c>
      <c r="O396" t="str">
        <f t="shared" ca="1" si="6"/>
        <v>Attention Required</v>
      </c>
      <c r="P396">
        <f ca="1">($G396*40)+($H396*30)+($I396*10)+($N396*50)+IF($L396&gt;0,20,0)</f>
        <v>180</v>
      </c>
      <c r="Q396">
        <f ca="1">E396*(P396/100)</f>
        <v>387867.60000000003</v>
      </c>
      <c r="R396">
        <f ca="1">_xlfn.RANK.EQ($Q396,$Q$2:$Q$401,0)</f>
        <v>85</v>
      </c>
    </row>
    <row r="397" spans="1:18">
      <c r="A397" t="str" cm="1">
        <f t="array" ref="A397">_xlfn._xlws.SORT(Vendor_Master!A397)</f>
        <v>VND-396</v>
      </c>
      <c r="B397" t="str">
        <f>_xlfn.XLOOKUP(Compliance_Sheet!A397,Vendor_Master!A397,Vendor_Master!B397,"")</f>
        <v>Vendor_396</v>
      </c>
      <c r="C397" t="str">
        <f>_xlfn.XLOOKUP(A397,Vendor_Master!A397,Vendor_Master!C397,"")</f>
        <v>Equipment Maintenance</v>
      </c>
      <c r="D397" t="str">
        <f>_xlfn.XLOOKUP(A397,Vendor_Master!A397,Vendor_Master!D397,"")</f>
        <v>North</v>
      </c>
      <c r="E397">
        <f>_xlfn.XLOOKUP(A397,Vendor_Master!A397,Vendor_Master!E397,0)</f>
        <v>120820</v>
      </c>
      <c r="F397" t="str">
        <f>_xlfn.XLOOKUP(A397,Vendor_Master!A397,Vendor_Master!H397,"")</f>
        <v>contact396@vendor.com</v>
      </c>
      <c r="G397">
        <f ca="1">COUNTIFS(Sustainability_Documents!$A:$A,$A397,Sustainability_Documents!$H:$H,"Missing")</f>
        <v>4</v>
      </c>
      <c r="H397">
        <f ca="1">COUNTIFS(Sustainability_Documents!$A:$A,$A397,Sustainability_Documents!$H:$H,"Expired")</f>
        <v>0</v>
      </c>
      <c r="I397">
        <f ca="1">COUNTIFS(Sustainability_Documents!$A:$A,$A397,Sustainability_Documents!$H:$H,"Expiring Soon")</f>
        <v>0</v>
      </c>
      <c r="J397">
        <f>COUNTIFS(Sustainability_Documents!$A:$A,$A397,Sustainability_Documents!$C:$C,"Yes")</f>
        <v>4</v>
      </c>
      <c r="K397">
        <f ca="1">IF($J397=0,"",($J397-$G397-$H397)/$J397)</f>
        <v>0</v>
      </c>
      <c r="L397">
        <f ca="1">COUNTIFS(OutReach_Log!$A:$A,$A397,OutReach_Log!$G:$G,"Yes")</f>
        <v>1</v>
      </c>
      <c r="M397">
        <f>COUNTIFS(OutReach_Log!$A:$A,$A397,OutReach_Log!$E:$E,"Pending")
 +COUNTIFS(OutReach_Log!$A:$A,$A397,OutReach_Log!$E:$E,"Escalated")</f>
        <v>0</v>
      </c>
      <c r="N397">
        <f>COUNTIFS(Incident_Log!$A:$A,$A397,Incident_Log!$C:$C,"High",Incident_Log!$E:$E,"No")</f>
        <v>0</v>
      </c>
      <c r="O397" t="str">
        <f t="shared" ca="1" si="6"/>
        <v>Attention Required</v>
      </c>
      <c r="P397">
        <f ca="1">($G397*40)+($H397*30)+($I397*10)+($N397*50)+IF($L397&gt;0,20,0)</f>
        <v>180</v>
      </c>
      <c r="Q397">
        <f ca="1">E397*(P397/100)</f>
        <v>217476</v>
      </c>
      <c r="R397">
        <f ca="1">_xlfn.RANK.EQ($Q397,$Q$2:$Q$401,0)</f>
        <v>116</v>
      </c>
    </row>
    <row r="398" spans="1:18">
      <c r="A398" t="str" cm="1">
        <f t="array" ref="A398">_xlfn._xlws.SORT(Vendor_Master!A398)</f>
        <v>VND-397</v>
      </c>
      <c r="B398" t="str">
        <f>_xlfn.XLOOKUP(Compliance_Sheet!A398,Vendor_Master!A398,Vendor_Master!B398,"")</f>
        <v>Vendor_397</v>
      </c>
      <c r="C398" t="str">
        <f>_xlfn.XLOOKUP(A398,Vendor_Master!A398,Vendor_Master!C398,"")</f>
        <v>Equipment Maintenance</v>
      </c>
      <c r="D398" t="str">
        <f>_xlfn.XLOOKUP(A398,Vendor_Master!A398,Vendor_Master!D398,"")</f>
        <v>North</v>
      </c>
      <c r="E398">
        <f>_xlfn.XLOOKUP(A398,Vendor_Master!A398,Vendor_Master!E398,0)</f>
        <v>2727524</v>
      </c>
      <c r="F398" t="str">
        <f>_xlfn.XLOOKUP(A398,Vendor_Master!A398,Vendor_Master!H398,"")</f>
        <v>contact397@vendor.com</v>
      </c>
      <c r="G398">
        <f ca="1">COUNTIFS(Sustainability_Documents!$A:$A,$A398,Sustainability_Documents!$H:$H,"Missing")</f>
        <v>4</v>
      </c>
      <c r="H398">
        <f ca="1">COUNTIFS(Sustainability_Documents!$A:$A,$A398,Sustainability_Documents!$H:$H,"Expired")</f>
        <v>0</v>
      </c>
      <c r="I398">
        <f ca="1">COUNTIFS(Sustainability_Documents!$A:$A,$A398,Sustainability_Documents!$H:$H,"Expiring Soon")</f>
        <v>0</v>
      </c>
      <c r="J398">
        <f>COUNTIFS(Sustainability_Documents!$A:$A,$A398,Sustainability_Documents!$C:$C,"Yes")</f>
        <v>4</v>
      </c>
      <c r="K398">
        <f ca="1">IF($J398=0,"",($J398-$G398-$H398)/$J398)</f>
        <v>0</v>
      </c>
      <c r="L398">
        <f ca="1">COUNTIFS(OutReach_Log!$A:$A,$A398,OutReach_Log!$G:$G,"Yes")</f>
        <v>1</v>
      </c>
      <c r="M398">
        <f>COUNTIFS(OutReach_Log!$A:$A,$A398,OutReach_Log!$E:$E,"Pending")
 +COUNTIFS(OutReach_Log!$A:$A,$A398,OutReach_Log!$E:$E,"Escalated")</f>
        <v>1</v>
      </c>
      <c r="N398">
        <f>COUNTIFS(Incident_Log!$A:$A,$A398,Incident_Log!$C:$C,"High",Incident_Log!$E:$E,"No")</f>
        <v>0</v>
      </c>
      <c r="O398" t="str">
        <f t="shared" ca="1" si="6"/>
        <v>Attention Required</v>
      </c>
      <c r="P398">
        <f ca="1">($G398*40)+($H398*30)+($I398*10)+($N398*50)+IF($L398&gt;0,20,0)</f>
        <v>180</v>
      </c>
      <c r="Q398">
        <f ca="1">E398*(P398/100)</f>
        <v>4909543.2</v>
      </c>
      <c r="R398">
        <f ca="1">_xlfn.RANK.EQ($Q398,$Q$2:$Q$401,0)</f>
        <v>8</v>
      </c>
    </row>
    <row r="399" spans="1:18">
      <c r="A399" t="str" cm="1">
        <f t="array" ref="A399">_xlfn._xlws.SORT(Vendor_Master!A399)</f>
        <v>VND-398</v>
      </c>
      <c r="B399" t="str">
        <f>_xlfn.XLOOKUP(Compliance_Sheet!A399,Vendor_Master!A399,Vendor_Master!B399,"")</f>
        <v>Vendor_398</v>
      </c>
      <c r="C399" t="str">
        <f>_xlfn.XLOOKUP(A399,Vendor_Master!A399,Vendor_Master!C399,"")</f>
        <v>Equipment Maintenance</v>
      </c>
      <c r="D399" t="str">
        <f>_xlfn.XLOOKUP(A399,Vendor_Master!A399,Vendor_Master!D399,"")</f>
        <v>North</v>
      </c>
      <c r="E399">
        <f>_xlfn.XLOOKUP(A399,Vendor_Master!A399,Vendor_Master!E399,0)</f>
        <v>3389070</v>
      </c>
      <c r="F399" t="str">
        <f>_xlfn.XLOOKUP(A399,Vendor_Master!A399,Vendor_Master!H399,"")</f>
        <v>contact398@vendor.com</v>
      </c>
      <c r="G399">
        <f ca="1">COUNTIFS(Sustainability_Documents!$A:$A,$A399,Sustainability_Documents!$H:$H,"Missing")</f>
        <v>4</v>
      </c>
      <c r="H399">
        <f ca="1">COUNTIFS(Sustainability_Documents!$A:$A,$A399,Sustainability_Documents!$H:$H,"Expired")</f>
        <v>0</v>
      </c>
      <c r="I399">
        <f ca="1">COUNTIFS(Sustainability_Documents!$A:$A,$A399,Sustainability_Documents!$H:$H,"Expiring Soon")</f>
        <v>0</v>
      </c>
      <c r="J399">
        <f>COUNTIFS(Sustainability_Documents!$A:$A,$A399,Sustainability_Documents!$C:$C,"Yes")</f>
        <v>4</v>
      </c>
      <c r="K399">
        <f ca="1">IF($J399=0,"",($J399-$G399-$H399)/$J399)</f>
        <v>0</v>
      </c>
      <c r="L399">
        <f ca="1">COUNTIFS(OutReach_Log!$A:$A,$A399,OutReach_Log!$G:$G,"Yes")</f>
        <v>1</v>
      </c>
      <c r="M399">
        <f>COUNTIFS(OutReach_Log!$A:$A,$A399,OutReach_Log!$E:$E,"Pending")
 +COUNTIFS(OutReach_Log!$A:$A,$A399,OutReach_Log!$E:$E,"Escalated")</f>
        <v>0</v>
      </c>
      <c r="N399">
        <f>COUNTIFS(Incident_Log!$A:$A,$A399,Incident_Log!$C:$C,"High",Incident_Log!$E:$E,"No")</f>
        <v>0</v>
      </c>
      <c r="O399" t="str">
        <f t="shared" ca="1" si="6"/>
        <v>Attention Required</v>
      </c>
      <c r="P399">
        <f ca="1">($G399*40)+($H399*30)+($I399*10)+($N399*50)+IF($L399&gt;0,20,0)</f>
        <v>180</v>
      </c>
      <c r="Q399">
        <f ca="1">E399*(P399/100)</f>
        <v>6100326</v>
      </c>
      <c r="R399">
        <f ca="1">_xlfn.RANK.EQ($Q399,$Q$2:$Q$401,0)</f>
        <v>4</v>
      </c>
    </row>
    <row r="400" spans="1:18">
      <c r="A400" t="str" cm="1">
        <f t="array" ref="A400">_xlfn._xlws.SORT(Vendor_Master!A400)</f>
        <v>VND-399</v>
      </c>
      <c r="B400" t="str">
        <f>_xlfn.XLOOKUP(Compliance_Sheet!A400,Vendor_Master!A400,Vendor_Master!B400,"")</f>
        <v>Vendor_399</v>
      </c>
      <c r="C400" t="str">
        <f>_xlfn.XLOOKUP(A400,Vendor_Master!A400,Vendor_Master!C400,"")</f>
        <v>Equipment Maintenance</v>
      </c>
      <c r="D400" t="str">
        <f>_xlfn.XLOOKUP(A400,Vendor_Master!A400,Vendor_Master!D400,"")</f>
        <v>North</v>
      </c>
      <c r="E400">
        <f>_xlfn.XLOOKUP(A400,Vendor_Master!A400,Vendor_Master!E400,0)</f>
        <v>2884267</v>
      </c>
      <c r="F400" t="str">
        <f>_xlfn.XLOOKUP(A400,Vendor_Master!A400,Vendor_Master!H400,"")</f>
        <v>contact399@vendor.com</v>
      </c>
      <c r="G400">
        <f ca="1">COUNTIFS(Sustainability_Documents!$A:$A,$A400,Sustainability_Documents!$H:$H,"Missing")</f>
        <v>4</v>
      </c>
      <c r="H400">
        <f ca="1">COUNTIFS(Sustainability_Documents!$A:$A,$A400,Sustainability_Documents!$H:$H,"Expired")</f>
        <v>0</v>
      </c>
      <c r="I400">
        <f ca="1">COUNTIFS(Sustainability_Documents!$A:$A,$A400,Sustainability_Documents!$H:$H,"Expiring Soon")</f>
        <v>0</v>
      </c>
      <c r="J400">
        <f>COUNTIFS(Sustainability_Documents!$A:$A,$A400,Sustainability_Documents!$C:$C,"Yes")</f>
        <v>4</v>
      </c>
      <c r="K400">
        <f ca="1">IF($J400=0,"",($J400-$G400-$H400)/$J400)</f>
        <v>0</v>
      </c>
      <c r="L400">
        <f ca="1">COUNTIFS(OutReach_Log!$A:$A,$A400,OutReach_Log!$G:$G,"Yes")</f>
        <v>1</v>
      </c>
      <c r="M400">
        <f>COUNTIFS(OutReach_Log!$A:$A,$A400,OutReach_Log!$E:$E,"Pending")
 +COUNTIFS(OutReach_Log!$A:$A,$A400,OutReach_Log!$E:$E,"Escalated")</f>
        <v>0</v>
      </c>
      <c r="N400">
        <f>COUNTIFS(Incident_Log!$A:$A,$A400,Incident_Log!$C:$C,"High",Incident_Log!$E:$E,"No")</f>
        <v>0</v>
      </c>
      <c r="O400" t="str">
        <f t="shared" ca="1" si="6"/>
        <v>Attention Required</v>
      </c>
      <c r="P400">
        <f ca="1">($G400*40)+($H400*30)+($I400*10)+($N400*50)+IF($L400&gt;0,20,0)</f>
        <v>180</v>
      </c>
      <c r="Q400">
        <f ca="1">E400*(P400/100)</f>
        <v>5191680.6000000006</v>
      </c>
      <c r="R400">
        <f ca="1">_xlfn.RANK.EQ($Q400,$Q$2:$Q$401,0)</f>
        <v>7</v>
      </c>
    </row>
    <row r="401" spans="1:18">
      <c r="A401" t="str" cm="1">
        <f t="array" ref="A401">_xlfn._xlws.SORT(Vendor_Master!A401)</f>
        <v>VND-400</v>
      </c>
      <c r="B401" t="str">
        <f>_xlfn.XLOOKUP(Compliance_Sheet!A401,Vendor_Master!A401,Vendor_Master!B401,"")</f>
        <v>Vendor_400</v>
      </c>
      <c r="C401" t="str">
        <f>_xlfn.XLOOKUP(A401,Vendor_Master!A401,Vendor_Master!C401,"")</f>
        <v>Equipment Maintenance</v>
      </c>
      <c r="D401" t="str">
        <f>_xlfn.XLOOKUP(A401,Vendor_Master!A401,Vendor_Master!D401,"")</f>
        <v>North</v>
      </c>
      <c r="E401">
        <f>_xlfn.XLOOKUP(A401,Vendor_Master!A401,Vendor_Master!E401,0)</f>
        <v>2950224</v>
      </c>
      <c r="F401" t="str">
        <f>_xlfn.XLOOKUP(A401,Vendor_Master!A401,Vendor_Master!H401,"")</f>
        <v>contact400@vendor.com</v>
      </c>
      <c r="G401">
        <f ca="1">COUNTIFS(Sustainability_Documents!$A:$A,$A401,Sustainability_Documents!$H:$H,"Missing")</f>
        <v>4</v>
      </c>
      <c r="H401">
        <f ca="1">COUNTIFS(Sustainability_Documents!$A:$A,$A401,Sustainability_Documents!$H:$H,"Expired")</f>
        <v>0</v>
      </c>
      <c r="I401">
        <f ca="1">COUNTIFS(Sustainability_Documents!$A:$A,$A401,Sustainability_Documents!$H:$H,"Expiring Soon")</f>
        <v>0</v>
      </c>
      <c r="J401">
        <f>COUNTIFS(Sustainability_Documents!$A:$A,$A401,Sustainability_Documents!$C:$C,"Yes")</f>
        <v>4</v>
      </c>
      <c r="K401">
        <f ca="1">IF($J401=0,"",($J401-$G401-$H401)/$J401)</f>
        <v>0</v>
      </c>
      <c r="L401">
        <f ca="1">COUNTIFS(OutReach_Log!$A:$A,$A401,OutReach_Log!$G:$G,"Yes")</f>
        <v>1</v>
      </c>
      <c r="M401">
        <f>COUNTIFS(OutReach_Log!$A:$A,$A401,OutReach_Log!$E:$E,"Pending")
 +COUNTIFS(OutReach_Log!$A:$A,$A401,OutReach_Log!$E:$E,"Escalated")</f>
        <v>0</v>
      </c>
      <c r="N401">
        <f>COUNTIFS(Incident_Log!$A:$A,$A401,Incident_Log!$C:$C,"High",Incident_Log!$E:$E,"No")</f>
        <v>0</v>
      </c>
      <c r="O401" t="str">
        <f t="shared" ca="1" si="6"/>
        <v>Attention Required</v>
      </c>
      <c r="P401">
        <f ca="1">($G401*40)+($H401*30)+($I401*10)+($N401*50)+IF($L401&gt;0,20,0)</f>
        <v>180</v>
      </c>
      <c r="Q401">
        <f ca="1">E401*(P401/100)</f>
        <v>5310403.2</v>
      </c>
      <c r="R401">
        <f ca="1">_xlfn.RANK.EQ($Q401,$Q$2:$Q$401,0)</f>
        <v>6</v>
      </c>
    </row>
  </sheetData>
  <autoFilter ref="A1:R401" xr:uid="{32419754-A3DA-486C-8A61-E9F4DBD173A5}">
    <sortState xmlns:xlrd2="http://schemas.microsoft.com/office/spreadsheetml/2017/richdata2" ref="A2:R401">
      <sortCondition ref="A1:A40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E454-4332-4C92-A00F-5554FE59FEF6}">
  <dimension ref="A5:O20"/>
  <sheetViews>
    <sheetView showGridLines="0" topLeftCell="A20" zoomScale="85" zoomScaleNormal="85" workbookViewId="0">
      <selection activeCell="G44" sqref="G44"/>
    </sheetView>
  </sheetViews>
  <sheetFormatPr defaultRowHeight="14.5"/>
  <cols>
    <col min="1" max="2" width="18.6328125" customWidth="1"/>
    <col min="3" max="3" width="27.26953125" customWidth="1"/>
    <col min="4" max="4" width="18.6328125" customWidth="1"/>
    <col min="5" max="5" width="21.81640625" customWidth="1"/>
    <col min="6" max="7" width="18.6328125" customWidth="1"/>
    <col min="9" max="9" width="22.453125" bestFit="1" customWidth="1"/>
    <col min="10" max="10" width="4.08984375" customWidth="1"/>
    <col min="15" max="15" width="39" customWidth="1"/>
  </cols>
  <sheetData>
    <row r="5" spans="1:15">
      <c r="I5" s="16"/>
      <c r="J5" s="11"/>
      <c r="K5" s="19"/>
      <c r="L5" s="12"/>
      <c r="M5" s="22"/>
      <c r="N5" s="12"/>
    </row>
    <row r="6" spans="1:15">
      <c r="I6" s="17"/>
      <c r="K6" s="20"/>
      <c r="M6" s="20"/>
    </row>
    <row r="7" spans="1:15" ht="35" customHeight="1">
      <c r="G7" s="5"/>
      <c r="I7" s="10"/>
      <c r="O7" s="18" t="s">
        <v>466</v>
      </c>
    </row>
    <row r="8" spans="1:15" ht="34" customHeight="1">
      <c r="I8" s="18"/>
      <c r="J8" s="11"/>
      <c r="K8" s="21"/>
      <c r="L8" s="11"/>
      <c r="M8" s="18" t="s">
        <v>465</v>
      </c>
      <c r="N8" s="11"/>
      <c r="O8" s="23">
        <v>448683972</v>
      </c>
    </row>
    <row r="9" spans="1:15" ht="34" customHeight="1">
      <c r="I9" s="18"/>
      <c r="J9" s="11"/>
      <c r="K9" s="21"/>
      <c r="L9" s="11"/>
      <c r="M9" s="18"/>
      <c r="N9" s="11"/>
      <c r="O9" s="23"/>
    </row>
    <row r="10" spans="1:15">
      <c r="A10" s="6" t="s">
        <v>467</v>
      </c>
      <c r="B10" s="6" t="s">
        <v>468</v>
      </c>
      <c r="C10" s="6" t="s">
        <v>3</v>
      </c>
      <c r="D10" s="6" t="s">
        <v>469</v>
      </c>
      <c r="E10" s="6" t="s">
        <v>470</v>
      </c>
      <c r="F10" s="6" t="s">
        <v>471</v>
      </c>
      <c r="G10" s="6" t="s">
        <v>472</v>
      </c>
    </row>
    <row r="11" spans="1:15">
      <c r="A11" s="8">
        <v>1</v>
      </c>
      <c r="B11" s="7" t="str">
        <f ca="1">IFERROR(INDEX(Compliance_Sheet!B:B, MATCH($A11, Compliance_Sheet!R:R, 0)),"")</f>
        <v>Vendor_293</v>
      </c>
      <c r="C11" t="str">
        <f ca="1">IFERROR(INDEX(Compliance_Sheet!D:D, MATCH($A11, Compliance_Sheet!R:R, 0)),"")</f>
        <v>West</v>
      </c>
      <c r="D11">
        <f ca="1">IFERROR(INDEX(Compliance_Sheet!E:E, MATCH($A11, Compliance_Sheet!R:R, 0)),"")</f>
        <v>4952520</v>
      </c>
      <c r="E11" t="str">
        <f ca="1">IFERROR(INDEX(Compliance_Sheet!O:O, MATCH($A11, Compliance_Sheet!R:R, 0)),"")</f>
        <v>High Attention Required</v>
      </c>
      <c r="F11" s="9">
        <f ca="1">IFERROR(INDEX(Compliance_Sheet!P:P, MATCH($A11, Compliance_Sheet!R:R, 0)),"")</f>
        <v>140</v>
      </c>
      <c r="G11" s="24">
        <f ca="1">IFERROR(INDEX(Compliance_Sheet!Q:Q, MATCH($A11, Compliance_Sheet!R:R, 0)),"")</f>
        <v>6933528</v>
      </c>
    </row>
    <row r="12" spans="1:15">
      <c r="A12" s="8">
        <v>2</v>
      </c>
      <c r="B12" s="7" t="str">
        <f ca="1">IFERROR(INDEX(Compliance_Sheet!B:B, MATCH($A12, Compliance_Sheet!R:R, 0)),"")</f>
        <v>Vendor_292</v>
      </c>
      <c r="C12" t="str">
        <f ca="1">IFERROR(INDEX(Compliance_Sheet!D:D, MATCH($A12, Compliance_Sheet!R:R, 0)),"")</f>
        <v>West</v>
      </c>
      <c r="D12">
        <f ca="1">IFERROR(INDEX(Compliance_Sheet!E:E, MATCH($A12, Compliance_Sheet!R:R, 0)),"")</f>
        <v>4634994</v>
      </c>
      <c r="E12" t="str">
        <f ca="1">IFERROR(INDEX(Compliance_Sheet!O:O, MATCH($A12, Compliance_Sheet!R:R, 0)),"")</f>
        <v>High Attention Required</v>
      </c>
      <c r="F12" s="9">
        <f ca="1">IFERROR(INDEX(Compliance_Sheet!P:P, MATCH($A12, Compliance_Sheet!R:R, 0)),"")</f>
        <v>140</v>
      </c>
      <c r="G12" s="24">
        <f ca="1">IFERROR(INDEX(Compliance_Sheet!Q:Q, MATCH($A12, Compliance_Sheet!R:R, 0)),"")</f>
        <v>6488991.5999999996</v>
      </c>
    </row>
    <row r="13" spans="1:15">
      <c r="A13" s="8">
        <v>3</v>
      </c>
      <c r="B13" s="7" t="str">
        <f ca="1">IFERROR(INDEX(Compliance_Sheet!B:B, MATCH($A13, Compliance_Sheet!R:R, 0)),"")</f>
        <v>Vendor_291</v>
      </c>
      <c r="C13" t="str">
        <f ca="1">IFERROR(INDEX(Compliance_Sheet!D:D, MATCH($A13, Compliance_Sheet!R:R, 0)),"")</f>
        <v>West</v>
      </c>
      <c r="D13">
        <f ca="1">IFERROR(INDEX(Compliance_Sheet!E:E, MATCH($A13, Compliance_Sheet!R:R, 0)),"")</f>
        <v>4386358</v>
      </c>
      <c r="E13" t="str">
        <f ca="1">IFERROR(INDEX(Compliance_Sheet!O:O, MATCH($A13, Compliance_Sheet!R:R, 0)),"")</f>
        <v>High Attention Required</v>
      </c>
      <c r="F13" s="9">
        <f ca="1">IFERROR(INDEX(Compliance_Sheet!P:P, MATCH($A13, Compliance_Sheet!R:R, 0)),"")</f>
        <v>140</v>
      </c>
      <c r="G13" s="24">
        <f ca="1">IFERROR(INDEX(Compliance_Sheet!Q:Q, MATCH($A13, Compliance_Sheet!R:R, 0)),"")</f>
        <v>6140901.1999999993</v>
      </c>
    </row>
    <row r="14" spans="1:15">
      <c r="A14" s="8">
        <v>4</v>
      </c>
      <c r="B14" s="7" t="str">
        <f ca="1">IFERROR(INDEX(Compliance_Sheet!B:B, MATCH($A14, Compliance_Sheet!R:R, 0)),"")</f>
        <v>Vendor_398</v>
      </c>
      <c r="C14" t="str">
        <f ca="1">IFERROR(INDEX(Compliance_Sheet!D:D, MATCH($A14, Compliance_Sheet!R:R, 0)),"")</f>
        <v>North</v>
      </c>
      <c r="D14">
        <f ca="1">IFERROR(INDEX(Compliance_Sheet!E:E, MATCH($A14, Compliance_Sheet!R:R, 0)),"")</f>
        <v>3389070</v>
      </c>
      <c r="E14" t="str">
        <f ca="1">IFERROR(INDEX(Compliance_Sheet!O:O, MATCH($A14, Compliance_Sheet!R:R, 0)),"")</f>
        <v>Attention Required</v>
      </c>
      <c r="F14" s="9">
        <f ca="1">IFERROR(INDEX(Compliance_Sheet!P:P, MATCH($A14, Compliance_Sheet!R:R, 0)),"")</f>
        <v>180</v>
      </c>
      <c r="G14" s="24">
        <f ca="1">IFERROR(INDEX(Compliance_Sheet!Q:Q, MATCH($A14, Compliance_Sheet!R:R, 0)),"")</f>
        <v>6100326</v>
      </c>
    </row>
    <row r="15" spans="1:15">
      <c r="A15" s="8">
        <v>5</v>
      </c>
      <c r="B15" s="7" t="str">
        <f ca="1">IFERROR(INDEX(Compliance_Sheet!B:B, MATCH($A15, Compliance_Sheet!R:R, 0)),"")</f>
        <v>Vendor_290</v>
      </c>
      <c r="C15" t="str">
        <f ca="1">IFERROR(INDEX(Compliance_Sheet!D:D, MATCH($A15, Compliance_Sheet!R:R, 0)),"")</f>
        <v>West</v>
      </c>
      <c r="D15">
        <f ca="1">IFERROR(INDEX(Compliance_Sheet!E:E, MATCH($A15, Compliance_Sheet!R:R, 0)),"")</f>
        <v>3926781</v>
      </c>
      <c r="E15" t="str">
        <f ca="1">IFERROR(INDEX(Compliance_Sheet!O:O, MATCH($A15, Compliance_Sheet!R:R, 0)),"")</f>
        <v>High Attention Required</v>
      </c>
      <c r="F15" s="9">
        <f ca="1">IFERROR(INDEX(Compliance_Sheet!P:P, MATCH($A15, Compliance_Sheet!R:R, 0)),"")</f>
        <v>140</v>
      </c>
      <c r="G15" s="24">
        <f ca="1">IFERROR(INDEX(Compliance_Sheet!Q:Q, MATCH($A15, Compliance_Sheet!R:R, 0)),"")</f>
        <v>5497493.3999999994</v>
      </c>
    </row>
    <row r="16" spans="1:15">
      <c r="A16" s="8">
        <v>6</v>
      </c>
      <c r="B16" s="7" t="str">
        <f ca="1">IFERROR(INDEX(Compliance_Sheet!B:B, MATCH($A16, Compliance_Sheet!R:R, 0)),"")</f>
        <v>Vendor_400</v>
      </c>
      <c r="C16" t="str">
        <f ca="1">IFERROR(INDEX(Compliance_Sheet!D:D, MATCH($A16, Compliance_Sheet!R:R, 0)),"")</f>
        <v>North</v>
      </c>
      <c r="D16">
        <f ca="1">IFERROR(INDEX(Compliance_Sheet!E:E, MATCH($A16, Compliance_Sheet!R:R, 0)),"")</f>
        <v>2950224</v>
      </c>
      <c r="E16" t="str">
        <f ca="1">IFERROR(INDEX(Compliance_Sheet!O:O, MATCH($A16, Compliance_Sheet!R:R, 0)),"")</f>
        <v>Attention Required</v>
      </c>
      <c r="F16" s="9">
        <f ca="1">IFERROR(INDEX(Compliance_Sheet!P:P, MATCH($A16, Compliance_Sheet!R:R, 0)),"")</f>
        <v>180</v>
      </c>
      <c r="G16" s="24">
        <f ca="1">IFERROR(INDEX(Compliance_Sheet!Q:Q, MATCH($A16, Compliance_Sheet!R:R, 0)),"")</f>
        <v>5310403.2</v>
      </c>
    </row>
    <row r="17" spans="1:7">
      <c r="A17" s="8">
        <v>7</v>
      </c>
      <c r="B17" s="7" t="str">
        <f ca="1">IFERROR(INDEX(Compliance_Sheet!B:B, MATCH($A17, Compliance_Sheet!R:R, 0)),"")</f>
        <v>Vendor_399</v>
      </c>
      <c r="C17" t="str">
        <f ca="1">IFERROR(INDEX(Compliance_Sheet!D:D, MATCH($A17, Compliance_Sheet!R:R, 0)),"")</f>
        <v>North</v>
      </c>
      <c r="D17">
        <f ca="1">IFERROR(INDEX(Compliance_Sheet!E:E, MATCH($A17, Compliance_Sheet!R:R, 0)),"")</f>
        <v>2884267</v>
      </c>
      <c r="E17" t="str">
        <f ca="1">IFERROR(INDEX(Compliance_Sheet!O:O, MATCH($A17, Compliance_Sheet!R:R, 0)),"")</f>
        <v>Attention Required</v>
      </c>
      <c r="F17" s="9">
        <f ca="1">IFERROR(INDEX(Compliance_Sheet!P:P, MATCH($A17, Compliance_Sheet!R:R, 0)),"")</f>
        <v>180</v>
      </c>
      <c r="G17" s="24">
        <f ca="1">IFERROR(INDEX(Compliance_Sheet!Q:Q, MATCH($A17, Compliance_Sheet!R:R, 0)),"")</f>
        <v>5191680.6000000006</v>
      </c>
    </row>
    <row r="18" spans="1:7">
      <c r="A18" s="8">
        <v>8</v>
      </c>
      <c r="B18" s="7" t="str">
        <f ca="1">IFERROR(INDEX(Compliance_Sheet!B:B, MATCH($A18, Compliance_Sheet!R:R, 0)),"")</f>
        <v>Vendor_397</v>
      </c>
      <c r="C18" t="str">
        <f ca="1">IFERROR(INDEX(Compliance_Sheet!D:D, MATCH($A18, Compliance_Sheet!R:R, 0)),"")</f>
        <v>North</v>
      </c>
      <c r="D18">
        <f ca="1">IFERROR(INDEX(Compliance_Sheet!E:E, MATCH($A18, Compliance_Sheet!R:R, 0)),"")</f>
        <v>2727524</v>
      </c>
      <c r="E18" t="str">
        <f ca="1">IFERROR(INDEX(Compliance_Sheet!O:O, MATCH($A18, Compliance_Sheet!R:R, 0)),"")</f>
        <v>Attention Required</v>
      </c>
      <c r="F18" s="9">
        <f ca="1">IFERROR(INDEX(Compliance_Sheet!P:P, MATCH($A18, Compliance_Sheet!R:R, 0)),"")</f>
        <v>180</v>
      </c>
      <c r="G18" s="24">
        <f ca="1">IFERROR(INDEX(Compliance_Sheet!Q:Q, MATCH($A18, Compliance_Sheet!R:R, 0)),"")</f>
        <v>4909543.2</v>
      </c>
    </row>
    <row r="19" spans="1:7">
      <c r="A19" s="8">
        <v>9</v>
      </c>
      <c r="B19" s="7" t="str">
        <f ca="1">IFERROR(INDEX(Compliance_Sheet!B:B, MATCH($A19, Compliance_Sheet!R:R, 0)),"")</f>
        <v>Vendor_294</v>
      </c>
      <c r="C19" t="str">
        <f ca="1">IFERROR(INDEX(Compliance_Sheet!D:D, MATCH($A19, Compliance_Sheet!R:R, 0)),"")</f>
        <v>West</v>
      </c>
      <c r="D19">
        <f ca="1">IFERROR(INDEX(Compliance_Sheet!E:E, MATCH($A19, Compliance_Sheet!R:R, 0)),"")</f>
        <v>3276946</v>
      </c>
      <c r="E19" t="str">
        <f ca="1">IFERROR(INDEX(Compliance_Sheet!O:O, MATCH($A19, Compliance_Sheet!R:R, 0)),"")</f>
        <v>High Attention Required</v>
      </c>
      <c r="F19" s="9">
        <f ca="1">IFERROR(INDEX(Compliance_Sheet!P:P, MATCH($A19, Compliance_Sheet!R:R, 0)),"")</f>
        <v>140</v>
      </c>
      <c r="G19" s="24">
        <f ca="1">IFERROR(INDEX(Compliance_Sheet!Q:Q, MATCH($A19, Compliance_Sheet!R:R, 0)),"")</f>
        <v>4587724.3999999994</v>
      </c>
    </row>
    <row r="20" spans="1:7">
      <c r="A20" s="8">
        <v>10</v>
      </c>
      <c r="B20" s="7" t="str">
        <f ca="1">IFERROR(INDEX(Compliance_Sheet!B:B, MATCH($A20, Compliance_Sheet!R:R, 0)),"")</f>
        <v>Vendor_262</v>
      </c>
      <c r="C20" t="str">
        <f ca="1">IFERROR(INDEX(Compliance_Sheet!D:D, MATCH($A20, Compliance_Sheet!R:R, 0)),"")</f>
        <v>West</v>
      </c>
      <c r="D20">
        <f ca="1">IFERROR(INDEX(Compliance_Sheet!E:E, MATCH($A20, Compliance_Sheet!R:R, 0)),"")</f>
        <v>3343835</v>
      </c>
      <c r="E20" t="str">
        <f ca="1">IFERROR(INDEX(Compliance_Sheet!O:O, MATCH($A20, Compliance_Sheet!R:R, 0)),"")</f>
        <v>High Attention Required</v>
      </c>
      <c r="F20" s="9">
        <f ca="1">IFERROR(INDEX(Compliance_Sheet!P:P, MATCH($A20, Compliance_Sheet!R:R, 0)),"")</f>
        <v>80</v>
      </c>
      <c r="G20" s="24">
        <f ca="1">IFERROR(INDEX(Compliance_Sheet!Q:Q, MATCH($A20, Compliance_Sheet!R:R, 0)),"")</f>
        <v>2675068</v>
      </c>
    </row>
  </sheetData>
  <conditionalFormatting sqref="G11:G20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{883E035C-463C-4F20-B9A9-D586FC8F1D8A}</x14:id>
        </ext>
      </extLst>
    </cfRule>
  </conditionalFormatting>
  <conditionalFormatting sqref="E11:E20">
    <cfRule type="containsText" dxfId="8" priority="4" operator="containsText" text="High Attention Required">
      <formula>NOT(ISERROR(SEARCH("High Attention Required",E11)))</formula>
    </cfRule>
    <cfRule type="containsText" dxfId="7" priority="5" operator="containsText" text="High Attention Required">
      <formula>NOT(ISERROR(SEARCH("High Attention Required",E11)))</formula>
    </cfRule>
    <cfRule type="containsText" dxfId="6" priority="9" operator="containsText" text="Atten+$E$17,$E$19,$E$21,$E$20">
      <formula>NOT(ISERROR(SEARCH("Atten+$E$17,$E$19,$E$21,$E$20",E11)))</formula>
    </cfRule>
    <cfRule type="containsText" dxfId="5" priority="10" operator="containsText" text="Attention Required">
      <formula>NOT(ISERROR(SEARCH("Attention Required",E11)))</formula>
    </cfRule>
    <cfRule type="containsText" dxfId="4" priority="11" operator="containsText" text="High Attention Required">
      <formula>NOT(ISERROR(SEARCH("High Attention Required",E11)))</formula>
    </cfRule>
  </conditionalFormatting>
  <conditionalFormatting sqref="G21">
    <cfRule type="containsText" dxfId="3" priority="6" operator="containsText" text="High Attention Required">
      <formula>NOT(ISERROR(SEARCH("High Attention Required",G21)))</formula>
    </cfRule>
  </conditionalFormatting>
  <conditionalFormatting sqref="E14">
    <cfRule type="containsText" dxfId="2" priority="3" operator="containsText" text="Attention Required">
      <formula>NOT(ISERROR(SEARCH("Attention Required",E14)))</formula>
    </cfRule>
  </conditionalFormatting>
  <conditionalFormatting sqref="E16:E18">
    <cfRule type="containsText" dxfId="1" priority="2" operator="containsText" text="Attention Required">
      <formula>NOT(ISERROR(SEARCH("Attention Required",E16)))</formula>
    </cfRule>
  </conditionalFormatting>
  <conditionalFormatting sqref="I14 E14 E16:E18">
    <cfRule type="containsText" dxfId="0" priority="1" operator="containsText" text="Attention Required">
      <formula>NOT(ISERROR(SEARCH("Attention Required",E14)))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3E035C-463C-4F20-B9A9-D586FC8F1D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G11:G20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3A1CD-99BE-44CA-BF53-095E0F4925CD}">
  <dimension ref="A2:F46"/>
  <sheetViews>
    <sheetView tabSelected="1" topLeftCell="A21" zoomScale="85" zoomScaleNormal="85" workbookViewId="0">
      <selection activeCell="H40" sqref="H40"/>
    </sheetView>
  </sheetViews>
  <sheetFormatPr defaultRowHeight="14.5"/>
  <cols>
    <col min="1" max="1" width="17.36328125" bestFit="1" customWidth="1"/>
    <col min="2" max="2" width="19.08984375" customWidth="1"/>
    <col min="3" max="3" width="3.81640625" bestFit="1" customWidth="1"/>
    <col min="4" max="4" width="10.36328125" bestFit="1" customWidth="1"/>
    <col min="5" max="5" width="7.1796875" bestFit="1" customWidth="1"/>
    <col min="6" max="6" width="10.36328125" bestFit="1" customWidth="1"/>
  </cols>
  <sheetData>
    <row r="2" spans="1:4" ht="16">
      <c r="A2" s="25" t="s">
        <v>489</v>
      </c>
    </row>
    <row r="3" spans="1:4">
      <c r="A3" s="13" t="s">
        <v>473</v>
      </c>
      <c r="B3" t="s">
        <v>475</v>
      </c>
    </row>
    <row r="4" spans="1:4">
      <c r="A4" s="9" t="s">
        <v>463</v>
      </c>
      <c r="B4" s="14">
        <v>300</v>
      </c>
    </row>
    <row r="5" spans="1:4">
      <c r="A5" s="9" t="s">
        <v>464</v>
      </c>
      <c r="B5" s="14">
        <v>100</v>
      </c>
    </row>
    <row r="6" spans="1:4">
      <c r="A6" s="9" t="s">
        <v>474</v>
      </c>
      <c r="B6" s="14">
        <v>400</v>
      </c>
    </row>
    <row r="7" spans="1:4">
      <c r="A7" s="9"/>
      <c r="B7" s="14"/>
    </row>
    <row r="8" spans="1:4" ht="16">
      <c r="A8" s="25" t="s">
        <v>490</v>
      </c>
    </row>
    <row r="9" spans="1:4">
      <c r="A9" s="13" t="s">
        <v>473</v>
      </c>
      <c r="B9" t="s">
        <v>476</v>
      </c>
    </row>
    <row r="10" spans="1:4">
      <c r="A10" s="9" t="s">
        <v>463</v>
      </c>
      <c r="B10" s="15">
        <v>309914166</v>
      </c>
    </row>
    <row r="11" spans="1:4">
      <c r="A11" s="9" t="s">
        <v>464</v>
      </c>
      <c r="B11" s="15">
        <v>138769806</v>
      </c>
    </row>
    <row r="12" spans="1:4">
      <c r="A12" s="9" t="s">
        <v>474</v>
      </c>
      <c r="B12" s="14">
        <v>448683972</v>
      </c>
    </row>
    <row r="13" spans="1:4">
      <c r="A13" s="9"/>
      <c r="B13" s="14"/>
    </row>
    <row r="14" spans="1:4" ht="16">
      <c r="A14" s="25" t="s">
        <v>491</v>
      </c>
    </row>
    <row r="15" spans="1:4">
      <c r="A15" s="13" t="s">
        <v>475</v>
      </c>
      <c r="B15" s="13" t="s">
        <v>481</v>
      </c>
    </row>
    <row r="16" spans="1:4">
      <c r="A16" s="13" t="s">
        <v>473</v>
      </c>
      <c r="B16" t="s">
        <v>463</v>
      </c>
      <c r="C16" t="s">
        <v>464</v>
      </c>
      <c r="D16" t="s">
        <v>474</v>
      </c>
    </row>
    <row r="17" spans="1:4">
      <c r="A17" s="9" t="s">
        <v>477</v>
      </c>
      <c r="B17" s="14">
        <v>99</v>
      </c>
      <c r="C17" s="14">
        <v>1</v>
      </c>
      <c r="D17" s="14">
        <v>100</v>
      </c>
    </row>
    <row r="18" spans="1:4">
      <c r="A18" s="9" t="s">
        <v>478</v>
      </c>
      <c r="B18" s="14">
        <v>79</v>
      </c>
      <c r="C18" s="14">
        <v>21</v>
      </c>
      <c r="D18" s="14">
        <v>100</v>
      </c>
    </row>
    <row r="19" spans="1:4">
      <c r="A19" s="9" t="s">
        <v>479</v>
      </c>
      <c r="B19" s="14">
        <v>98</v>
      </c>
      <c r="C19" s="14">
        <v>2</v>
      </c>
      <c r="D19" s="14">
        <v>100</v>
      </c>
    </row>
    <row r="20" spans="1:4">
      <c r="A20" s="9" t="s">
        <v>480</v>
      </c>
      <c r="B20" s="14">
        <v>24</v>
      </c>
      <c r="C20" s="14">
        <v>76</v>
      </c>
      <c r="D20" s="14">
        <v>100</v>
      </c>
    </row>
    <row r="21" spans="1:4">
      <c r="A21" s="9" t="s">
        <v>474</v>
      </c>
      <c r="B21" s="14">
        <v>300</v>
      </c>
      <c r="C21" s="14">
        <v>100</v>
      </c>
      <c r="D21" s="14">
        <v>400</v>
      </c>
    </row>
    <row r="22" spans="1:4">
      <c r="A22" s="9"/>
      <c r="B22" s="14"/>
      <c r="C22" s="14"/>
      <c r="D22" s="14"/>
    </row>
    <row r="23" spans="1:4" ht="16">
      <c r="A23" s="25" t="s">
        <v>492</v>
      </c>
    </row>
    <row r="24" spans="1:4">
      <c r="A24" s="13" t="s">
        <v>475</v>
      </c>
      <c r="B24" s="13" t="s">
        <v>481</v>
      </c>
    </row>
    <row r="25" spans="1:4">
      <c r="A25" s="13" t="s">
        <v>473</v>
      </c>
      <c r="B25" t="s">
        <v>463</v>
      </c>
      <c r="C25" t="s">
        <v>464</v>
      </c>
      <c r="D25" t="s">
        <v>474</v>
      </c>
    </row>
    <row r="26" spans="1:4">
      <c r="A26" s="9" t="s">
        <v>310</v>
      </c>
      <c r="B26" s="14"/>
      <c r="C26" s="14">
        <v>80</v>
      </c>
      <c r="D26" s="14">
        <v>80</v>
      </c>
    </row>
    <row r="27" spans="1:4">
      <c r="A27" s="9" t="s">
        <v>311</v>
      </c>
      <c r="B27" s="14">
        <v>79</v>
      </c>
      <c r="C27" s="14">
        <v>2</v>
      </c>
      <c r="D27" s="14">
        <v>81</v>
      </c>
    </row>
    <row r="28" spans="1:4">
      <c r="A28" s="9" t="s">
        <v>309</v>
      </c>
      <c r="B28" s="14">
        <v>63</v>
      </c>
      <c r="C28" s="14">
        <v>17</v>
      </c>
      <c r="D28" s="14">
        <v>80</v>
      </c>
    </row>
    <row r="29" spans="1:4">
      <c r="A29" s="9" t="s">
        <v>308</v>
      </c>
      <c r="B29" s="14">
        <v>80</v>
      </c>
      <c r="C29" s="14"/>
      <c r="D29" s="14">
        <v>80</v>
      </c>
    </row>
    <row r="30" spans="1:4">
      <c r="A30" s="9" t="s">
        <v>307</v>
      </c>
      <c r="B30" s="14">
        <v>78</v>
      </c>
      <c r="C30" s="14">
        <v>1</v>
      </c>
      <c r="D30" s="14">
        <v>79</v>
      </c>
    </row>
    <row r="31" spans="1:4">
      <c r="A31" s="9" t="s">
        <v>474</v>
      </c>
      <c r="B31" s="14">
        <v>300</v>
      </c>
      <c r="C31" s="14">
        <v>100</v>
      </c>
      <c r="D31" s="14">
        <v>400</v>
      </c>
    </row>
    <row r="32" spans="1:4">
      <c r="A32" s="9"/>
      <c r="B32" s="14"/>
      <c r="C32" s="14"/>
      <c r="D32" s="14"/>
    </row>
    <row r="33" spans="1:6" ht="16">
      <c r="A33" s="25" t="s">
        <v>493</v>
      </c>
    </row>
    <row r="34" spans="1:6">
      <c r="A34" s="13" t="s">
        <v>488</v>
      </c>
      <c r="B34" s="13" t="s">
        <v>481</v>
      </c>
    </row>
    <row r="35" spans="1:6">
      <c r="A35" s="13" t="s">
        <v>473</v>
      </c>
      <c r="B35" t="s">
        <v>484</v>
      </c>
      <c r="C35" t="s">
        <v>485</v>
      </c>
      <c r="D35" t="s">
        <v>486</v>
      </c>
      <c r="E35" t="s">
        <v>487</v>
      </c>
      <c r="F35" t="s">
        <v>474</v>
      </c>
    </row>
    <row r="36" spans="1:6">
      <c r="A36" s="9" t="s">
        <v>482</v>
      </c>
      <c r="B36" s="14">
        <v>672</v>
      </c>
      <c r="C36" s="14">
        <v>99</v>
      </c>
      <c r="D36" s="14">
        <v>189</v>
      </c>
      <c r="E36" s="14">
        <v>240</v>
      </c>
      <c r="F36" s="14">
        <v>1200</v>
      </c>
    </row>
    <row r="37" spans="1:6">
      <c r="A37" s="9" t="s">
        <v>483</v>
      </c>
      <c r="B37" s="14">
        <v>224</v>
      </c>
      <c r="C37" s="14">
        <v>35</v>
      </c>
      <c r="D37" s="14">
        <v>61</v>
      </c>
      <c r="E37" s="14">
        <v>80</v>
      </c>
      <c r="F37" s="14">
        <v>400</v>
      </c>
    </row>
    <row r="38" spans="1:6">
      <c r="A38" s="9" t="s">
        <v>474</v>
      </c>
      <c r="B38" s="14">
        <v>896</v>
      </c>
      <c r="C38" s="14">
        <v>134</v>
      </c>
      <c r="D38" s="14">
        <v>250</v>
      </c>
      <c r="E38" s="14">
        <v>320</v>
      </c>
      <c r="F38" s="14">
        <v>1600</v>
      </c>
    </row>
    <row r="39" spans="1:6">
      <c r="A39" s="9"/>
      <c r="B39" s="14"/>
      <c r="C39" s="14"/>
      <c r="D39" s="14"/>
      <c r="E39" s="14"/>
      <c r="F39" s="14"/>
    </row>
    <row r="40" spans="1:6" ht="16">
      <c r="A40" s="25" t="s">
        <v>494</v>
      </c>
    </row>
    <row r="41" spans="1:6">
      <c r="A41" s="13" t="s">
        <v>488</v>
      </c>
      <c r="B41" s="13" t="s">
        <v>481</v>
      </c>
    </row>
    <row r="42" spans="1:6">
      <c r="A42" s="13" t="s">
        <v>473</v>
      </c>
      <c r="B42" t="s">
        <v>438</v>
      </c>
      <c r="C42" t="s">
        <v>437</v>
      </c>
      <c r="D42" t="s">
        <v>474</v>
      </c>
    </row>
    <row r="43" spans="1:6">
      <c r="A43" s="9" t="s">
        <v>436</v>
      </c>
      <c r="B43" s="14">
        <v>6</v>
      </c>
      <c r="C43" s="14">
        <v>3</v>
      </c>
      <c r="D43" s="14">
        <v>9</v>
      </c>
    </row>
    <row r="44" spans="1:6">
      <c r="A44" s="9" t="s">
        <v>435</v>
      </c>
      <c r="B44" s="14">
        <v>12</v>
      </c>
      <c r="C44" s="14">
        <v>94</v>
      </c>
      <c r="D44" s="14">
        <v>106</v>
      </c>
    </row>
    <row r="45" spans="1:6">
      <c r="A45" s="9" t="s">
        <v>434</v>
      </c>
      <c r="B45" s="14">
        <v>12</v>
      </c>
      <c r="C45" s="14">
        <v>53</v>
      </c>
      <c r="D45" s="14">
        <v>65</v>
      </c>
    </row>
    <row r="46" spans="1:6">
      <c r="A46" s="9" t="s">
        <v>474</v>
      </c>
      <c r="B46" s="14">
        <v>30</v>
      </c>
      <c r="C46" s="14">
        <v>150</v>
      </c>
      <c r="D46" s="1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Vendor_Master</vt:lpstr>
      <vt:lpstr>Sustainability_Documents</vt:lpstr>
      <vt:lpstr>Incident_Log</vt:lpstr>
      <vt:lpstr>OutReach_Log</vt:lpstr>
      <vt:lpstr>Compliance_Sheet</vt:lpstr>
      <vt:lpstr>Executive_Summary</vt:lpstr>
      <vt:lpstr>Pivot_Charts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ram vangavolu</dc:creator>
  <cp:lastModifiedBy>siva ram vangavolu</cp:lastModifiedBy>
  <dcterms:created xsi:type="dcterms:W3CDTF">2026-02-28T22:01:53Z</dcterms:created>
  <dcterms:modified xsi:type="dcterms:W3CDTF">2026-03-03T03:11:42Z</dcterms:modified>
</cp:coreProperties>
</file>